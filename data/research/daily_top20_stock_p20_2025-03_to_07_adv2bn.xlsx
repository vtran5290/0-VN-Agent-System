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LOLII\Documents\V\0. VN Agent System\data\research\"/>
    </mc:Choice>
  </mc:AlternateContent>
  <xr:revisionPtr revIDLastSave="0" documentId="13_ncr:1_{7DFCB1C9-BD73-4DC3-97AF-F75E34013563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Sheet1" sheetId="1" r:id="rId1"/>
    <sheet name="Analysis" sheetId="2" r:id="rId2"/>
    <sheet name="Charts" sheetId="3" r:id="rId3"/>
  </sheets>
  <calcPr calcId="191029"/>
  <pivotCaches>
    <pivotCache cacheId="5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2" i="2" l="1"/>
  <c r="K9" i="2"/>
  <c r="J9" i="2"/>
  <c r="K8" i="2"/>
  <c r="K7" i="2"/>
  <c r="K6" i="2"/>
  <c r="DS198" i="1"/>
  <c r="DS197" i="1"/>
  <c r="DS196" i="1"/>
  <c r="DS195" i="1"/>
  <c r="DS194" i="1"/>
  <c r="DS193" i="1"/>
  <c r="DS192" i="1"/>
  <c r="DS191" i="1"/>
  <c r="DS190" i="1"/>
  <c r="DS189" i="1"/>
  <c r="DS188" i="1"/>
  <c r="DS187" i="1"/>
  <c r="DS186" i="1"/>
  <c r="DS185" i="1"/>
  <c r="DS184" i="1"/>
  <c r="DS183" i="1"/>
  <c r="DS182" i="1"/>
  <c r="DS181" i="1"/>
  <c r="DS180" i="1"/>
  <c r="DS179" i="1"/>
  <c r="DS178" i="1"/>
  <c r="DS177" i="1"/>
  <c r="DS176" i="1"/>
  <c r="DS175" i="1"/>
  <c r="DS174" i="1"/>
  <c r="DS173" i="1"/>
  <c r="DS172" i="1"/>
  <c r="DS171" i="1"/>
  <c r="DS170" i="1"/>
  <c r="DS169" i="1"/>
  <c r="DS168" i="1"/>
  <c r="DS167" i="1"/>
  <c r="DS166" i="1"/>
  <c r="DS165" i="1"/>
  <c r="DS164" i="1"/>
  <c r="DS163" i="1"/>
  <c r="DS162" i="1"/>
  <c r="DS161" i="1"/>
  <c r="DS160" i="1"/>
  <c r="DS159" i="1"/>
  <c r="DS158" i="1"/>
  <c r="DS157" i="1"/>
  <c r="DS156" i="1"/>
  <c r="DS155" i="1"/>
  <c r="DS154" i="1"/>
  <c r="DS153" i="1"/>
  <c r="DS152" i="1"/>
  <c r="DS151" i="1"/>
  <c r="DS150" i="1"/>
  <c r="DS149" i="1"/>
  <c r="DS148" i="1"/>
  <c r="DS147" i="1"/>
  <c r="DS146" i="1"/>
  <c r="DS145" i="1"/>
  <c r="DS144" i="1"/>
  <c r="DS143" i="1"/>
  <c r="DS142" i="1"/>
  <c r="DS141" i="1"/>
  <c r="DS140" i="1"/>
  <c r="DS139" i="1"/>
  <c r="DS138" i="1"/>
  <c r="DS137" i="1"/>
  <c r="DS136" i="1"/>
  <c r="DS135" i="1"/>
  <c r="DS134" i="1"/>
  <c r="DS133" i="1"/>
  <c r="DS132" i="1"/>
  <c r="DS131" i="1"/>
  <c r="DS130" i="1"/>
  <c r="DS129" i="1"/>
  <c r="DS128" i="1"/>
  <c r="DS127" i="1"/>
  <c r="DS126" i="1"/>
  <c r="DS125" i="1"/>
  <c r="DS124" i="1"/>
  <c r="DS123" i="1"/>
  <c r="DS122" i="1"/>
  <c r="DS121" i="1"/>
  <c r="DS120" i="1"/>
  <c r="DS119" i="1"/>
  <c r="DS118" i="1"/>
  <c r="DS117" i="1"/>
  <c r="DS116" i="1"/>
  <c r="DS115" i="1"/>
  <c r="DS114" i="1"/>
  <c r="DS113" i="1"/>
  <c r="DS112" i="1"/>
  <c r="DS111" i="1"/>
  <c r="DS110" i="1"/>
  <c r="DS109" i="1"/>
  <c r="DS108" i="1"/>
  <c r="DS107" i="1"/>
  <c r="DS106" i="1"/>
  <c r="DS105" i="1"/>
  <c r="DS104" i="1"/>
  <c r="DS103" i="1"/>
  <c r="DS102" i="1"/>
  <c r="DS101" i="1"/>
  <c r="DS100" i="1"/>
  <c r="DS99" i="1"/>
  <c r="DS98" i="1"/>
  <c r="DS97" i="1"/>
  <c r="DS96" i="1"/>
  <c r="DS95" i="1"/>
  <c r="DS94" i="1"/>
  <c r="DS93" i="1"/>
  <c r="DS92" i="1"/>
  <c r="DS91" i="1"/>
  <c r="DS90" i="1"/>
  <c r="DS89" i="1"/>
  <c r="DS88" i="1"/>
  <c r="DS87" i="1"/>
  <c r="DS86" i="1"/>
  <c r="DS85" i="1"/>
  <c r="DS84" i="1"/>
  <c r="DS83" i="1"/>
  <c r="DS82" i="1"/>
  <c r="DS81" i="1"/>
  <c r="DS80" i="1"/>
  <c r="DS79" i="1"/>
  <c r="DS78" i="1"/>
  <c r="DS77" i="1"/>
  <c r="DS76" i="1"/>
  <c r="DS75" i="1"/>
  <c r="DS74" i="1"/>
  <c r="DS73" i="1"/>
  <c r="DS72" i="1"/>
  <c r="DS71" i="1"/>
  <c r="DS70" i="1"/>
  <c r="DS69" i="1"/>
  <c r="DS68" i="1"/>
  <c r="DS67" i="1"/>
  <c r="DS66" i="1"/>
  <c r="DS65" i="1"/>
  <c r="DS64" i="1"/>
  <c r="DS63" i="1"/>
  <c r="DS62" i="1"/>
  <c r="DS61" i="1"/>
  <c r="DS60" i="1"/>
  <c r="DS59" i="1"/>
  <c r="DS58" i="1"/>
  <c r="DS57" i="1"/>
  <c r="DS56" i="1"/>
  <c r="DS55" i="1"/>
  <c r="DS54" i="1"/>
  <c r="DS53" i="1"/>
  <c r="DS52" i="1"/>
  <c r="DS51" i="1"/>
  <c r="DS50" i="1"/>
  <c r="DS49" i="1"/>
  <c r="DS48" i="1"/>
  <c r="DS47" i="1"/>
  <c r="DS46" i="1"/>
  <c r="DS45" i="1"/>
  <c r="DS44" i="1"/>
  <c r="DS43" i="1"/>
  <c r="DS42" i="1"/>
  <c r="DS41" i="1"/>
  <c r="DS40" i="1"/>
  <c r="DS39" i="1"/>
  <c r="DS38" i="1"/>
  <c r="DS37" i="1"/>
  <c r="DS36" i="1"/>
  <c r="DS35" i="1"/>
  <c r="DS34" i="1"/>
  <c r="DS33" i="1"/>
  <c r="DS32" i="1"/>
  <c r="DS31" i="1"/>
  <c r="DS30" i="1"/>
  <c r="DS29" i="1"/>
  <c r="DS28" i="1"/>
  <c r="DS27" i="1"/>
  <c r="DS26" i="1"/>
  <c r="DS25" i="1"/>
  <c r="DS24" i="1"/>
  <c r="DS23" i="1"/>
  <c r="DS22" i="1"/>
  <c r="DS21" i="1"/>
  <c r="DS20" i="1"/>
  <c r="DS19" i="1"/>
  <c r="DS18" i="1"/>
  <c r="DS17" i="1"/>
  <c r="DS16" i="1"/>
  <c r="DS15" i="1"/>
  <c r="DS14" i="1"/>
  <c r="DS13" i="1"/>
  <c r="DS12" i="1"/>
  <c r="DS11" i="1"/>
  <c r="DS10" i="1"/>
  <c r="DS9" i="1"/>
  <c r="DS8" i="1"/>
  <c r="DS7" i="1"/>
  <c r="DS6" i="1"/>
  <c r="DS5" i="1"/>
  <c r="DS4" i="1"/>
  <c r="DS3" i="1"/>
  <c r="DR2" i="1"/>
  <c r="DR198" i="1"/>
  <c r="DR197" i="1"/>
  <c r="DR196" i="1"/>
  <c r="DR195" i="1"/>
  <c r="DR194" i="1"/>
  <c r="DR193" i="1"/>
  <c r="DR192" i="1"/>
  <c r="DR191" i="1"/>
  <c r="DR190" i="1"/>
  <c r="DR188" i="1"/>
  <c r="DR187" i="1"/>
  <c r="DR186" i="1"/>
  <c r="DR185" i="1"/>
  <c r="DR184" i="1"/>
  <c r="DR183" i="1"/>
  <c r="DR182" i="1"/>
  <c r="DR181" i="1"/>
  <c r="DR180" i="1"/>
  <c r="DR179" i="1"/>
  <c r="DR178" i="1"/>
  <c r="DR177" i="1"/>
  <c r="DR176" i="1"/>
  <c r="DR175" i="1"/>
  <c r="DR174" i="1"/>
  <c r="DR173" i="1"/>
  <c r="DR172" i="1"/>
  <c r="DR171" i="1"/>
  <c r="DR170" i="1"/>
  <c r="DR169" i="1"/>
  <c r="DR168" i="1"/>
  <c r="DR167" i="1"/>
  <c r="DR166" i="1"/>
  <c r="DR165" i="1"/>
  <c r="DR164" i="1"/>
  <c r="DR163" i="1"/>
  <c r="DR162" i="1"/>
  <c r="DR161" i="1"/>
  <c r="DR160" i="1"/>
  <c r="DR159" i="1"/>
  <c r="DR158" i="1"/>
  <c r="DR157" i="1"/>
  <c r="DR156" i="1"/>
  <c r="DR155" i="1"/>
  <c r="DR154" i="1"/>
  <c r="DR153" i="1"/>
  <c r="DR152" i="1"/>
  <c r="DR151" i="1"/>
  <c r="DR150" i="1"/>
  <c r="DR149" i="1"/>
  <c r="DR148" i="1"/>
  <c r="DR147" i="1"/>
  <c r="DR146" i="1"/>
  <c r="DR145" i="1"/>
  <c r="DR144" i="1"/>
  <c r="DR143" i="1"/>
  <c r="DR142" i="1"/>
  <c r="DR141" i="1"/>
  <c r="DR140" i="1"/>
  <c r="DR139" i="1"/>
  <c r="DR138" i="1"/>
  <c r="DR137" i="1"/>
  <c r="DR136" i="1"/>
  <c r="DR135" i="1"/>
  <c r="DR134" i="1"/>
  <c r="DR133" i="1"/>
  <c r="DR132" i="1"/>
  <c r="DR131" i="1"/>
  <c r="DR130" i="1"/>
  <c r="DR129" i="1"/>
  <c r="DR128" i="1"/>
  <c r="DR127" i="1"/>
  <c r="DR126" i="1"/>
  <c r="DR125" i="1"/>
  <c r="DR124" i="1"/>
  <c r="DR123" i="1"/>
  <c r="DR122" i="1"/>
  <c r="DR121" i="1"/>
  <c r="DR120" i="1"/>
  <c r="DR119" i="1"/>
  <c r="DR118" i="1"/>
  <c r="DR117" i="1"/>
  <c r="DR116" i="1"/>
  <c r="DR115" i="1"/>
  <c r="DR114" i="1"/>
  <c r="DR113" i="1"/>
  <c r="DR112" i="1"/>
  <c r="DR111" i="1"/>
  <c r="DR110" i="1"/>
  <c r="DR109" i="1"/>
  <c r="DR108" i="1"/>
  <c r="DR107" i="1"/>
  <c r="DR106" i="1"/>
  <c r="DR105" i="1"/>
  <c r="DR104" i="1"/>
  <c r="DR103" i="1"/>
  <c r="DR102" i="1"/>
  <c r="DR101" i="1"/>
  <c r="DR100" i="1"/>
  <c r="DR99" i="1"/>
  <c r="DR98" i="1"/>
  <c r="DR97" i="1"/>
  <c r="DR96" i="1"/>
  <c r="DR95" i="1"/>
  <c r="DR94" i="1"/>
  <c r="DR93" i="1"/>
  <c r="DR92" i="1"/>
  <c r="DR91" i="1"/>
  <c r="DR90" i="1"/>
  <c r="DR89" i="1"/>
  <c r="DR88" i="1"/>
  <c r="DR87" i="1"/>
  <c r="DR86" i="1"/>
  <c r="DR85" i="1"/>
  <c r="DR84" i="1"/>
  <c r="DR83" i="1"/>
  <c r="DR82" i="1"/>
  <c r="DR81" i="1"/>
  <c r="DR80" i="1"/>
  <c r="DR79" i="1"/>
  <c r="DR78" i="1"/>
  <c r="DR77" i="1"/>
  <c r="DR76" i="1"/>
  <c r="DR75" i="1"/>
  <c r="DR74" i="1"/>
  <c r="DR73" i="1"/>
  <c r="DR72" i="1"/>
  <c r="DR71" i="1"/>
  <c r="DR70" i="1"/>
  <c r="DR69" i="1"/>
  <c r="DR68" i="1"/>
  <c r="DR67" i="1"/>
  <c r="DR66" i="1"/>
  <c r="DR65" i="1"/>
  <c r="DR64" i="1"/>
  <c r="DR63" i="1"/>
  <c r="DR62" i="1"/>
  <c r="DR61" i="1"/>
  <c r="DR60" i="1"/>
  <c r="DR59" i="1"/>
  <c r="DR58" i="1"/>
  <c r="DR57" i="1"/>
  <c r="DR56" i="1"/>
  <c r="DR55" i="1"/>
  <c r="DR54" i="1"/>
  <c r="DR53" i="1"/>
  <c r="DR52" i="1"/>
  <c r="DR51" i="1"/>
  <c r="DR50" i="1"/>
  <c r="DR49" i="1"/>
  <c r="DR48" i="1"/>
  <c r="DR47" i="1"/>
  <c r="DR46" i="1"/>
  <c r="DR45" i="1"/>
  <c r="DR44" i="1"/>
  <c r="DR43" i="1"/>
  <c r="DR42" i="1"/>
  <c r="DR41" i="1"/>
  <c r="DR40" i="1"/>
  <c r="DR39" i="1"/>
  <c r="DR38" i="1"/>
  <c r="DR37" i="1"/>
  <c r="DR36" i="1"/>
  <c r="DR35" i="1"/>
  <c r="DR34" i="1"/>
  <c r="DR33" i="1"/>
  <c r="DR32" i="1"/>
  <c r="DR31" i="1"/>
  <c r="DR30" i="1"/>
  <c r="DR29" i="1"/>
  <c r="DR28" i="1"/>
  <c r="DR27" i="1"/>
  <c r="DR26" i="1"/>
  <c r="DR25" i="1"/>
  <c r="DR24" i="1"/>
  <c r="DR23" i="1"/>
  <c r="DR22" i="1"/>
  <c r="DR21" i="1"/>
  <c r="DR20" i="1"/>
  <c r="DR19" i="1"/>
  <c r="DR18" i="1"/>
  <c r="DR17" i="1"/>
  <c r="DR16" i="1"/>
  <c r="DR15" i="1"/>
  <c r="DR14" i="1"/>
  <c r="DR13" i="1"/>
  <c r="DR12" i="1"/>
  <c r="DR11" i="1"/>
  <c r="DR10" i="1"/>
  <c r="DR9" i="1"/>
  <c r="DR8" i="1"/>
  <c r="DR7" i="1"/>
  <c r="DR6" i="1"/>
  <c r="DR5" i="1"/>
  <c r="DR4" i="1"/>
  <c r="DR3" i="1"/>
  <c r="DR189" i="1"/>
</calcChain>
</file>

<file path=xl/sharedStrings.xml><?xml version="1.0" encoding="utf-8"?>
<sst xmlns="http://schemas.openxmlformats.org/spreadsheetml/2006/main" count="10939" uniqueCount="574">
  <si>
    <t>date</t>
  </si>
  <si>
    <t>symbol</t>
  </si>
  <si>
    <t>name</t>
  </si>
  <si>
    <t>exchange</t>
  </si>
  <si>
    <t>industryCode</t>
  </si>
  <si>
    <t>stock_p20</t>
  </si>
  <si>
    <t>p_now</t>
  </si>
  <si>
    <t>p_hist</t>
  </si>
  <si>
    <t>adv50_vnd</t>
  </si>
  <si>
    <t>close</t>
  </si>
  <si>
    <t>rank</t>
  </si>
  <si>
    <t>2025-03-03</t>
  </si>
  <si>
    <t>MSR</t>
  </si>
  <si>
    <t>CTCP MaSan High - Tech Materials</t>
  </si>
  <si>
    <t>UPCOM</t>
  </si>
  <si>
    <t>1770</t>
  </si>
  <si>
    <t>KSV</t>
  </si>
  <si>
    <t>Tổng Công ty Khoáng sản TKV - CTCP</t>
  </si>
  <si>
    <t>HNX</t>
  </si>
  <si>
    <t>HGM</t>
  </si>
  <si>
    <t>CTCP Cơ khí và Khoáng sản Hà Giang</t>
  </si>
  <si>
    <t>TVN</t>
  </si>
  <si>
    <t>Tổng Công ty Thép Việt Nam - CTCP</t>
  </si>
  <si>
    <t>1750</t>
  </si>
  <si>
    <t>NAG</t>
  </si>
  <si>
    <t>CTCP Tập đoàn Nagakawa</t>
  </si>
  <si>
    <t>2350</t>
  </si>
  <si>
    <t>BMS</t>
  </si>
  <si>
    <t>CTCP Chứng khoán Bảo Minh</t>
  </si>
  <si>
    <t>8780</t>
  </si>
  <si>
    <t>TDC</t>
  </si>
  <si>
    <t>CTCP Kinh doanh và Phát triển Bình Dương</t>
  </si>
  <si>
    <t>HSX</t>
  </si>
  <si>
    <t>8630</t>
  </si>
  <si>
    <t>DVN</t>
  </si>
  <si>
    <t>Tổng Công ty Dược Việt Nam - CTCP</t>
  </si>
  <si>
    <t>4570</t>
  </si>
  <si>
    <t>CTP</t>
  </si>
  <si>
    <t>CTCP Tập đoàn CTP Group</t>
  </si>
  <si>
    <t>3570</t>
  </si>
  <si>
    <t>VTO</t>
  </si>
  <si>
    <t>CTCP Vận tải Xăng dầu Vitaco</t>
  </si>
  <si>
    <t>2770</t>
  </si>
  <si>
    <t>KCB</t>
  </si>
  <si>
    <t>CTCP Khoáng sản và Luyện kim Cao Bằng</t>
  </si>
  <si>
    <t>MTA</t>
  </si>
  <si>
    <t>Tổng Công ty Khoáng sản và Thương mại Hà Tĩnh - CTCP</t>
  </si>
  <si>
    <t>AAS</t>
  </si>
  <si>
    <t>CTCP chứng khoán SmartInvest</t>
  </si>
  <si>
    <t>DBC</t>
  </si>
  <si>
    <t>CTCP Tập đoàn Dabaco Việt Nam</t>
  </si>
  <si>
    <t>DST</t>
  </si>
  <si>
    <t>CTCP Đầu tư Sao Thăng Long</t>
  </si>
  <si>
    <t>MML</t>
  </si>
  <si>
    <t>CTCP Masan MeatLife</t>
  </si>
  <si>
    <t>CTS</t>
  </si>
  <si>
    <t>CTCP Chứng khoán Vietinbank</t>
  </si>
  <si>
    <t>PHR</t>
  </si>
  <si>
    <t>CTCP Cao su Phước Hòa</t>
  </si>
  <si>
    <t>1350</t>
  </si>
  <si>
    <t>CLX</t>
  </si>
  <si>
    <t>CTCP Xuất nhập khẩu và đầu tư Chợ Lớn (Cholimex)</t>
  </si>
  <si>
    <t>5330</t>
  </si>
  <si>
    <t>NTC</t>
  </si>
  <si>
    <t>CTCP Khu Công nghiệp Nam Tân Uyên</t>
  </si>
  <si>
    <t>2025-03-04</t>
  </si>
  <si>
    <t>HNG</t>
  </si>
  <si>
    <t>CTCP Nông nghiệp Quốc tế Hoàng Anh Gia Lai</t>
  </si>
  <si>
    <t>QCG</t>
  </si>
  <si>
    <t>CTCP Quốc Cường - Gia Lai</t>
  </si>
  <si>
    <t>SCR</t>
  </si>
  <si>
    <t>CTCP Địa ốc Sài Gòn Thương Tín</t>
  </si>
  <si>
    <t>CTG</t>
  </si>
  <si>
    <t>Ngân hàng TMCP Công Thương Việt Nam</t>
  </si>
  <si>
    <t>8350</t>
  </si>
  <si>
    <t>NRC</t>
  </si>
  <si>
    <t>CTCP Tập đoàn NRC</t>
  </si>
  <si>
    <t>KVC</t>
  </si>
  <si>
    <t>CTCP Sản xuất Xuất nhập khẩu Inox Kim Vĩ</t>
  </si>
  <si>
    <t>TRC</t>
  </si>
  <si>
    <t>CTCP Cao su Tây Ninh</t>
  </si>
  <si>
    <t>2025-03-05</t>
  </si>
  <si>
    <t>SBT</t>
  </si>
  <si>
    <t>CTCP Thành Thành Công - Biên Hòa</t>
  </si>
  <si>
    <t>TOS</t>
  </si>
  <si>
    <t>CTCP Dịch vụ biển Tân Cảng</t>
  </si>
  <si>
    <t>SJS</t>
  </si>
  <si>
    <t>CTCP SJ Group</t>
  </si>
  <si>
    <t>HHS</t>
  </si>
  <si>
    <t>CTCP Đầu tư dịch vụ Hoàng Huy</t>
  </si>
  <si>
    <t>CTD</t>
  </si>
  <si>
    <t>CTCP Xây dựng COTECCONS</t>
  </si>
  <si>
    <t>DRI</t>
  </si>
  <si>
    <t>CTCP Đầu tư Cao su Đắk Lắk</t>
  </si>
  <si>
    <t>LDG</t>
  </si>
  <si>
    <t>CTCP Đầu tư LDG</t>
  </si>
  <si>
    <t>TLH</t>
  </si>
  <si>
    <t>CTCP Tập đoàn Thép Tiến Lên</t>
  </si>
  <si>
    <t>2025-03-06</t>
  </si>
  <si>
    <t>BSI</t>
  </si>
  <si>
    <t>CTCP Chứng khoán BIDV</t>
  </si>
  <si>
    <t>BKC</t>
  </si>
  <si>
    <t>CTCP Khoáng sản Bắc Kạn</t>
  </si>
  <si>
    <t>PAN</t>
  </si>
  <si>
    <t>CTCP Tập đoàn PAN</t>
  </si>
  <si>
    <t>2025-03-07</t>
  </si>
  <si>
    <t>VDS</t>
  </si>
  <si>
    <t>CTCP Chứng khoán Rồng Việt</t>
  </si>
  <si>
    <t>TCH</t>
  </si>
  <si>
    <t>CTCP Đầu tư Dịch vụ Tài chính Hoàng Huy</t>
  </si>
  <si>
    <t>JVC</t>
  </si>
  <si>
    <t>CTCP Đầu tư y tế - Dược phẩm Việt Nam</t>
  </si>
  <si>
    <t>4530</t>
  </si>
  <si>
    <t>LPB</t>
  </si>
  <si>
    <t>Ngân hàng TMCP Lộc Phát Việt Nam</t>
  </si>
  <si>
    <t>SKG</t>
  </si>
  <si>
    <t>CTCP Tàu cao tốc Superdong - Kiên Giang</t>
  </si>
  <si>
    <t>2025-03-10</t>
  </si>
  <si>
    <t>BCM</t>
  </si>
  <si>
    <t>Tập đoàn Đầu tư và Phát triển Công nghiệp Becamex - CTCP</t>
  </si>
  <si>
    <t>VCI</t>
  </si>
  <si>
    <t>CTCP Chứng Khoán Vietcap</t>
  </si>
  <si>
    <t>GEE</t>
  </si>
  <si>
    <t>CTCP Điện lực Gelex</t>
  </si>
  <si>
    <t>2730</t>
  </si>
  <si>
    <t>SAM</t>
  </si>
  <si>
    <t>CTCP Sam Holdings</t>
  </si>
  <si>
    <t>9570</t>
  </si>
  <si>
    <t>2025-03-11</t>
  </si>
  <si>
    <t>HAX</t>
  </si>
  <si>
    <t>CTCP Dịch Vụ Ô Tô Hàng Xanh</t>
  </si>
  <si>
    <t>3350</t>
  </si>
  <si>
    <t>IPA</t>
  </si>
  <si>
    <t>CTCP Tập đoàn Đầu tư I.P.A</t>
  </si>
  <si>
    <t>8770</t>
  </si>
  <si>
    <t>VND</t>
  </si>
  <si>
    <t>CTCP Chứng khoán VNDIRECT</t>
  </si>
  <si>
    <t>2025-03-12</t>
  </si>
  <si>
    <t>IJC</t>
  </si>
  <si>
    <t>CTCP Phát triển Hạ tầng Kỹ thuật</t>
  </si>
  <si>
    <t>HTN</t>
  </si>
  <si>
    <t>CTCP Hưng Thịnh Incons</t>
  </si>
  <si>
    <t>2025-03-13</t>
  </si>
  <si>
    <t>CTI</t>
  </si>
  <si>
    <t>CTCP Đầu tư Phát triển Cường Thuận IDICO</t>
  </si>
  <si>
    <t>SGP</t>
  </si>
  <si>
    <t>CTCP Cảng Sài Gòn</t>
  </si>
  <si>
    <t>DPR</t>
  </si>
  <si>
    <t>CTCP Cao su Đồng Phú</t>
  </si>
  <si>
    <t>HHV</t>
  </si>
  <si>
    <t>CTCP Đầu tư Hạ tầng giao thông Đèo Cả</t>
  </si>
  <si>
    <t>2025-03-14</t>
  </si>
  <si>
    <t>STB</t>
  </si>
  <si>
    <t>Ngân hàng TMCP Sài Gòn Thương Tín</t>
  </si>
  <si>
    <t>BAF</t>
  </si>
  <si>
    <t>CTCP Nông nghiệp BAF Việt Nam</t>
  </si>
  <si>
    <t>HBC</t>
  </si>
  <si>
    <t>CTCP Tập đoàn Xây dựng Hòa Bình</t>
  </si>
  <si>
    <t>GEG</t>
  </si>
  <si>
    <t>CTCP Điện Gia Lai</t>
  </si>
  <si>
    <t>7530</t>
  </si>
  <si>
    <t>2025-03-17</t>
  </si>
  <si>
    <t>VIX</t>
  </si>
  <si>
    <t>CTCP Chứng khoán VIX</t>
  </si>
  <si>
    <t>VIC</t>
  </si>
  <si>
    <t>Tập đoàn Vingroup - CTCP</t>
  </si>
  <si>
    <t>GVR</t>
  </si>
  <si>
    <t>Tập đoàn Công nghiệp Cao su Việt Nam - CTCP</t>
  </si>
  <si>
    <t>2025-03-18</t>
  </si>
  <si>
    <t>SBG</t>
  </si>
  <si>
    <t>CTCP Tập đoàn Cơ khí Công nghệ cao Siba</t>
  </si>
  <si>
    <t>DXS</t>
  </si>
  <si>
    <t>CTCP Dịch vụ Bất động sản Đất Xanh</t>
  </si>
  <si>
    <t>SHB</t>
  </si>
  <si>
    <t>Ngân hàng TMCP Sài Gòn - Hà Nội</t>
  </si>
  <si>
    <t>2025-03-19</t>
  </si>
  <si>
    <t>FIR</t>
  </si>
  <si>
    <t>CTCP Địa ốc First Real</t>
  </si>
  <si>
    <t>2025-03-20</t>
  </si>
  <si>
    <t>GEX</t>
  </si>
  <si>
    <t>CTCP Tập đoàn GELEX</t>
  </si>
  <si>
    <t>DC4</t>
  </si>
  <si>
    <t>CTCP Dicera Holdings</t>
  </si>
  <si>
    <t>DLG</t>
  </si>
  <si>
    <t>CTCP Tập đoàn Đức Long Gia Lai</t>
  </si>
  <si>
    <t>2025-03-21</t>
  </si>
  <si>
    <t>VAB</t>
  </si>
  <si>
    <t>Ngân hàng TMCP Việt Á</t>
  </si>
  <si>
    <t>APG</t>
  </si>
  <si>
    <t>CTCP Chứng khoán APG</t>
  </si>
  <si>
    <t>VPB</t>
  </si>
  <si>
    <t>Ngân hàng TMCP Việt Nam Thịnh Vượng</t>
  </si>
  <si>
    <t>2025-03-24</t>
  </si>
  <si>
    <t>HQC</t>
  </si>
  <si>
    <t>CTCP Tư vấn - Thương mại - Dịch vụ Địa ốc Hoàng Quân</t>
  </si>
  <si>
    <t>NAF</t>
  </si>
  <si>
    <t>CTCP Nafoods Group</t>
  </si>
  <si>
    <t>3530</t>
  </si>
  <si>
    <t>2025-03-25</t>
  </si>
  <si>
    <t>HVH</t>
  </si>
  <si>
    <t>CTCP Đầu tư và Công nghệ HVC</t>
  </si>
  <si>
    <t>VGC</t>
  </si>
  <si>
    <t>Tổng Công ty Viglacera - CTCP</t>
  </si>
  <si>
    <t>2025-03-26</t>
  </si>
  <si>
    <t>VIG</t>
  </si>
  <si>
    <t>CTCP Chứng khoán Đầu tư Tài chính Việt Nam</t>
  </si>
  <si>
    <t>D2D</t>
  </si>
  <si>
    <t>CTCP Phát triển Đô thị Công nghiệp Số 2</t>
  </si>
  <si>
    <t>2025-03-27</t>
  </si>
  <si>
    <t>DL1</t>
  </si>
  <si>
    <t>CTCP Tập đoàn Alpha Seven</t>
  </si>
  <si>
    <t>ITC</t>
  </si>
  <si>
    <t>CTCP Đầu tư - Kinh doanh Nhà</t>
  </si>
  <si>
    <t>2025-03-28</t>
  </si>
  <si>
    <t>FIT</t>
  </si>
  <si>
    <t>CTCP Tập đoàn F.I.T</t>
  </si>
  <si>
    <t>BOT</t>
  </si>
  <si>
    <t>CTCP BOT Cầu Thái Hà</t>
  </si>
  <si>
    <t>2025-03-31</t>
  </si>
  <si>
    <t>CIG</t>
  </si>
  <si>
    <t>CTCP COMA 18</t>
  </si>
  <si>
    <t>2025-04-01</t>
  </si>
  <si>
    <t>2025-04-02</t>
  </si>
  <si>
    <t>DPG</t>
  </si>
  <si>
    <t>CTCP Tập đoàn Đạt Phương</t>
  </si>
  <si>
    <t>2025-04-03</t>
  </si>
  <si>
    <t>THG</t>
  </si>
  <si>
    <t>CTCP Đầu tư và Xây dựng Tiền Giang</t>
  </si>
  <si>
    <t>2025-04-04</t>
  </si>
  <si>
    <t>VFS</t>
  </si>
  <si>
    <t>CTCP Chứng khoán Nhất Việt</t>
  </si>
  <si>
    <t>2025-04-08</t>
  </si>
  <si>
    <t>CRC</t>
  </si>
  <si>
    <t>CTCP Create Capital Việt Nam</t>
  </si>
  <si>
    <t>SHI</t>
  </si>
  <si>
    <t>CTCP Quốc tế Sơn Hà</t>
  </si>
  <si>
    <t>3720</t>
  </si>
  <si>
    <t>VHM</t>
  </si>
  <si>
    <t>CTCP Vinhomes</t>
  </si>
  <si>
    <t>2025-04-09</t>
  </si>
  <si>
    <t>IMP</t>
  </si>
  <si>
    <t>CTCP Dược phẩm Imexpharm</t>
  </si>
  <si>
    <t>VC3</t>
  </si>
  <si>
    <t>CTCP Tập đoàn Nam Mê Kông</t>
  </si>
  <si>
    <t>TCL</t>
  </si>
  <si>
    <t>CTCP Đại lý giao nhận vận tải xếp dỡ Tân Cảng</t>
  </si>
  <si>
    <t>2025-04-10</t>
  </si>
  <si>
    <t>BMP</t>
  </si>
  <si>
    <t>CTCP Nhựa Bình Minh</t>
  </si>
  <si>
    <t>VEA</t>
  </si>
  <si>
    <t>Tổng Công ty Máy động lực và Máy nông nghiệp Việt Nam - CTCP</t>
  </si>
  <si>
    <t>2750</t>
  </si>
  <si>
    <t>2025-04-11</t>
  </si>
  <si>
    <t>FCM</t>
  </si>
  <si>
    <t>CTCP Bê tông Phan Vũ Hà Nam</t>
  </si>
  <si>
    <t>TDP</t>
  </si>
  <si>
    <t>CTCP Thuận Đức</t>
  </si>
  <si>
    <t>VTD</t>
  </si>
  <si>
    <t>CTCP Vietourist Holdings</t>
  </si>
  <si>
    <t>5750</t>
  </si>
  <si>
    <t>2025-04-14</t>
  </si>
  <si>
    <t>HAH</t>
  </si>
  <si>
    <t>CTCP Vận tải và Xếp dỡ Hải An</t>
  </si>
  <si>
    <t>HVN</t>
  </si>
  <si>
    <t>Tổng Công ty Hàng không Việt Nam - CTCP</t>
  </si>
  <si>
    <t>2025-04-15</t>
  </si>
  <si>
    <t>BFC</t>
  </si>
  <si>
    <t>CTCP Phân bón Bình Điền</t>
  </si>
  <si>
    <t>TSC</t>
  </si>
  <si>
    <t>CTCP Vật tư Kỹ thuật Nông nghiệp Cần Thơ</t>
  </si>
  <si>
    <t>2025-04-16</t>
  </si>
  <si>
    <t>VCG</t>
  </si>
  <si>
    <t>Tổng CTCP Xuất nhập khẩu và Xây dựng Việt Nam</t>
  </si>
  <si>
    <t>BIC</t>
  </si>
  <si>
    <t>Tổng CTCP Bảo hiểm Ngân hàng Đầu tư và Phát triển Việt Nam</t>
  </si>
  <si>
    <t>8530</t>
  </si>
  <si>
    <t>2025-04-17</t>
  </si>
  <si>
    <t>2025-04-18</t>
  </si>
  <si>
    <t>SMC</t>
  </si>
  <si>
    <t>CTCP Đầu tư Thương mại SMC</t>
  </si>
  <si>
    <t>SVN</t>
  </si>
  <si>
    <t>CTCP Tập đoàn Vexilla Việt Nam</t>
  </si>
  <si>
    <t>2025-04-21</t>
  </si>
  <si>
    <t>AAV</t>
  </si>
  <si>
    <t>CTCP AAV Group</t>
  </si>
  <si>
    <t>NTP</t>
  </si>
  <si>
    <t>CTCP Nhựa Thiếu Niên Tiền Phong</t>
  </si>
  <si>
    <t>DDV</t>
  </si>
  <si>
    <t>CTCP DAP - VINACHEM</t>
  </si>
  <si>
    <t>2025-04-22</t>
  </si>
  <si>
    <t>VEF</t>
  </si>
  <si>
    <t>CTCP Trung tâm Hội chợ Triển lãm Việt Nam</t>
  </si>
  <si>
    <t>2790</t>
  </si>
  <si>
    <t>2025-04-23</t>
  </si>
  <si>
    <t>CTF</t>
  </si>
  <si>
    <t>CTCP City Auto</t>
  </si>
  <si>
    <t>SBS</t>
  </si>
  <si>
    <t>CTCP Chứng khoán SBS</t>
  </si>
  <si>
    <t>FCN</t>
  </si>
  <si>
    <t>CTCP FECON</t>
  </si>
  <si>
    <t>2025-04-24</t>
  </si>
  <si>
    <t>KLB</t>
  </si>
  <si>
    <t>Ngân hàng TMCP Kiên Long</t>
  </si>
  <si>
    <t>2025-04-25</t>
  </si>
  <si>
    <t>MGC</t>
  </si>
  <si>
    <t>CTCP Địa chất mỏ - TKV</t>
  </si>
  <si>
    <t>2025-04-28</t>
  </si>
  <si>
    <t>VSC</t>
  </si>
  <si>
    <t>CTCP Container Việt Nam</t>
  </si>
  <si>
    <t>NVL</t>
  </si>
  <si>
    <t>CTCP Tập đoàn Đầu tư Địa ốc No Va</t>
  </si>
  <si>
    <t>2025-04-29</t>
  </si>
  <si>
    <t>BMI</t>
  </si>
  <si>
    <t>Tổng CTCP Bảo Minh</t>
  </si>
  <si>
    <t>2025-05-05</t>
  </si>
  <si>
    <t>FRT</t>
  </si>
  <si>
    <t>CTCP Bán lẻ Kỹ thuật số FPT</t>
  </si>
  <si>
    <t>5370</t>
  </si>
  <si>
    <t>PPC</t>
  </si>
  <si>
    <t>CTCP Nhiệt điện Phả Lại</t>
  </si>
  <si>
    <t>2025-05-06</t>
  </si>
  <si>
    <t>PLC</t>
  </si>
  <si>
    <t>Tổng Công ty Hóa dầu Petrolimex - CTCP</t>
  </si>
  <si>
    <t>2025-05-07</t>
  </si>
  <si>
    <t>2025-05-08</t>
  </si>
  <si>
    <t>DHG</t>
  </si>
  <si>
    <t>CTCP Dược Hậu Giang</t>
  </si>
  <si>
    <t>2025-05-09</t>
  </si>
  <si>
    <t>2025-05-12</t>
  </si>
  <si>
    <t>L14</t>
  </si>
  <si>
    <t>CTCP Licogi 14</t>
  </si>
  <si>
    <t>2025-05-13</t>
  </si>
  <si>
    <t>MWG</t>
  </si>
  <si>
    <t>CTCP Đầu tư Thế giới Di động</t>
  </si>
  <si>
    <t>2025-05-14</t>
  </si>
  <si>
    <t>API</t>
  </si>
  <si>
    <t>CTCP Đầu tư Châu Á - Thái Bình Dương</t>
  </si>
  <si>
    <t>IDJ</t>
  </si>
  <si>
    <t>CTCP Đầu tư IDJ Việt Nam</t>
  </si>
  <si>
    <t>2025-05-15</t>
  </si>
  <si>
    <t>TIN</t>
  </si>
  <si>
    <t>Công ty Tài chính Cổ phần Tín Việt</t>
  </si>
  <si>
    <t>TV2</t>
  </si>
  <si>
    <t>CTCP Tư vấn Xây dựng Điện 2</t>
  </si>
  <si>
    <t>2025-05-16</t>
  </si>
  <si>
    <t>HSG</t>
  </si>
  <si>
    <t>CTCP Tập đoàn Hoa Sen</t>
  </si>
  <si>
    <t>2025-05-19</t>
  </si>
  <si>
    <t>CII</t>
  </si>
  <si>
    <t>CTCP Đầu tư Hạ tầng Kỹ thuật Thành phố Hồ Chí Minh</t>
  </si>
  <si>
    <t>2025-05-20</t>
  </si>
  <si>
    <t>E1VFVN30</t>
  </si>
  <si>
    <t>Quỹ ETF DCVFMVN30</t>
  </si>
  <si>
    <t>8990</t>
  </si>
  <si>
    <t>TCD</t>
  </si>
  <si>
    <t>CTCP Tập đoàn Xây dựng TRACODI</t>
  </si>
  <si>
    <t>2025-05-21</t>
  </si>
  <si>
    <t>2025-05-22</t>
  </si>
  <si>
    <t>2025-05-23</t>
  </si>
  <si>
    <t>2025-05-26</t>
  </si>
  <si>
    <t>LAS</t>
  </si>
  <si>
    <t>CTCP Supe Phốt phát và Hóa chất Lâm Thao</t>
  </si>
  <si>
    <t>2025-05-27</t>
  </si>
  <si>
    <t>GMD</t>
  </si>
  <si>
    <t>CTCP Gemadept</t>
  </si>
  <si>
    <t>NLG</t>
  </si>
  <si>
    <t>CTCP Đầu tư Nam Long</t>
  </si>
  <si>
    <t>2025-05-28</t>
  </si>
  <si>
    <t>TAL</t>
  </si>
  <si>
    <t>CTCP Đầu tư Bất động sản Taseco</t>
  </si>
  <si>
    <t>2025-05-29</t>
  </si>
  <si>
    <t>CEO</t>
  </si>
  <si>
    <t>CTCP Tập đoàn C.E.O</t>
  </si>
  <si>
    <t>2025-05-30</t>
  </si>
  <si>
    <t>VRE</t>
  </si>
  <si>
    <t>CTCP Vincom Retail</t>
  </si>
  <si>
    <t>2025-06-02</t>
  </si>
  <si>
    <t>TDH</t>
  </si>
  <si>
    <t>CTCP Phát triển Nhà Thủ Đức</t>
  </si>
  <si>
    <t>2025-06-03</t>
  </si>
  <si>
    <t>PVB</t>
  </si>
  <si>
    <t>CTCP Bọc ống Dầu khí Việt Nam</t>
  </si>
  <si>
    <t>0570</t>
  </si>
  <si>
    <t>2025-06-04</t>
  </si>
  <si>
    <t>G36</t>
  </si>
  <si>
    <t>Tổng Công ty 36 - CTCP</t>
  </si>
  <si>
    <t>EIB</t>
  </si>
  <si>
    <t>Ngân hàng TMCP Xuất Nhập Khẩu Việt Nam</t>
  </si>
  <si>
    <t>C4G</t>
  </si>
  <si>
    <t>CTCP Tập đoàn CIENCO4</t>
  </si>
  <si>
    <t>NTL</t>
  </si>
  <si>
    <t>CTCP Phát triển đô thị Từ Liêm</t>
  </si>
  <si>
    <t>CRE</t>
  </si>
  <si>
    <t>CTCP Bất động sản Thế Kỷ</t>
  </si>
  <si>
    <t>2025-06-05</t>
  </si>
  <si>
    <t>REE</t>
  </si>
  <si>
    <t>CTCP Cơ điện lạnh</t>
  </si>
  <si>
    <t>PVP</t>
  </si>
  <si>
    <t>CTCP Vận tải Dầu khí Thái Bình Dương</t>
  </si>
  <si>
    <t>2025-06-06</t>
  </si>
  <si>
    <t>VC2</t>
  </si>
  <si>
    <t>CTCP Đầu tư và Xây dựng Vina2</t>
  </si>
  <si>
    <t>2025-06-09</t>
  </si>
  <si>
    <t>DRH</t>
  </si>
  <si>
    <t>CTCP DRH Holdings</t>
  </si>
  <si>
    <t>KHP</t>
  </si>
  <si>
    <t>CTCP Điện Lực Khánh Hòa</t>
  </si>
  <si>
    <t>2025-06-10</t>
  </si>
  <si>
    <t>PET</t>
  </si>
  <si>
    <t>Tổng CTCP Dịch vụ Tổng hợp Dầu khí</t>
  </si>
  <si>
    <t>VNE</t>
  </si>
  <si>
    <t>Tổng CTCP Xây dựng điện Việt Nam</t>
  </si>
  <si>
    <t>2025-06-11</t>
  </si>
  <si>
    <t>HAP</t>
  </si>
  <si>
    <t>CTCP Tập Đoàn HAPACO</t>
  </si>
  <si>
    <t>1730</t>
  </si>
  <si>
    <t>2025-06-12</t>
  </si>
  <si>
    <t>2025-06-13</t>
  </si>
  <si>
    <t>EVF</t>
  </si>
  <si>
    <t>Công ty Tài chính Tổng hợp Cổ phần Điện lực</t>
  </si>
  <si>
    <t>2025-06-16</t>
  </si>
  <si>
    <t>DCL</t>
  </si>
  <si>
    <t>CTCP Dược phẩm Cửu Long</t>
  </si>
  <si>
    <t>PVD</t>
  </si>
  <si>
    <t>Tổng CTCP Khoan và Dịch vụ Khoan Dầu khí</t>
  </si>
  <si>
    <t>BSR</t>
  </si>
  <si>
    <t>CTCP Lọc - Hóa dầu Bình Sơn</t>
  </si>
  <si>
    <t>0530</t>
  </si>
  <si>
    <t>2025-06-17</t>
  </si>
  <si>
    <t>2025-06-18</t>
  </si>
  <si>
    <t>DGW</t>
  </si>
  <si>
    <t>CTCP Thế giới số</t>
  </si>
  <si>
    <t>2025-06-19</t>
  </si>
  <si>
    <t>PVC</t>
  </si>
  <si>
    <t>Tổng Công ty Hóa chất và Dịch vụ dầu khí - CTCP</t>
  </si>
  <si>
    <t>2025-06-20</t>
  </si>
  <si>
    <t>MST</t>
  </si>
  <si>
    <t>CTCP Đầu tư MST</t>
  </si>
  <si>
    <t>2025-06-23</t>
  </si>
  <si>
    <t>KHG</t>
  </si>
  <si>
    <t>CTCP Tập đoàn Khải Hoàn Land</t>
  </si>
  <si>
    <t>VGI</t>
  </si>
  <si>
    <t>Tổng CTCP Đầu tư Quốc tế Viettel</t>
  </si>
  <si>
    <t>6530</t>
  </si>
  <si>
    <t>2025-06-24</t>
  </si>
  <si>
    <t>TCB</t>
  </si>
  <si>
    <t>Ngân hàng TMCP Kỹ thương Việt Nam</t>
  </si>
  <si>
    <t>CNG</t>
  </si>
  <si>
    <t>CTCP CNG Việt Nam</t>
  </si>
  <si>
    <t>7570</t>
  </si>
  <si>
    <t>NT2</t>
  </si>
  <si>
    <t>CTCP Điện lực Dầu khí Nhơn Trạch 2</t>
  </si>
  <si>
    <t>2025-06-25</t>
  </si>
  <si>
    <t>LHG</t>
  </si>
  <si>
    <t>CTCP Long Hậu</t>
  </si>
  <si>
    <t>PVS</t>
  </si>
  <si>
    <t>Tổng CTCP Dịch vụ Kỹ thuật Dầu khí Việt Nam</t>
  </si>
  <si>
    <t>2025-06-26</t>
  </si>
  <si>
    <t>VHC</t>
  </si>
  <si>
    <t>CTCP Vĩnh Hoàn</t>
  </si>
  <si>
    <t>ANV</t>
  </si>
  <si>
    <t>CTCP Nam Việt</t>
  </si>
  <si>
    <t>SZC</t>
  </si>
  <si>
    <t>CTCP Sonadezi Châu Đức</t>
  </si>
  <si>
    <t>2025-06-27</t>
  </si>
  <si>
    <t>MSN</t>
  </si>
  <si>
    <t>CTCP Tập đoàn MaSan</t>
  </si>
  <si>
    <t>2025-06-30</t>
  </si>
  <si>
    <t>2025-07-01</t>
  </si>
  <si>
    <t>APS</t>
  </si>
  <si>
    <t>CTCP Chứng khoán Châu Á - Thái Bình Dương</t>
  </si>
  <si>
    <t>TNG</t>
  </si>
  <si>
    <t>CTCP Đầu tư và Thương mại TNG</t>
  </si>
  <si>
    <t>3760</t>
  </si>
  <si>
    <t>2025-07-02</t>
  </si>
  <si>
    <t>2025-07-03</t>
  </si>
  <si>
    <t>MPC</t>
  </si>
  <si>
    <t>CTCP Tập Đoàn Thủy Sản Minh Phú</t>
  </si>
  <si>
    <t>DGC</t>
  </si>
  <si>
    <t>CTCP Tập đoàn Hóa chất Đức Giang</t>
  </si>
  <si>
    <t>2025-07-04</t>
  </si>
  <si>
    <t>TTF</t>
  </si>
  <si>
    <t>CTCP Tập đoàn Kỹ nghệ Gỗ Trường Thành</t>
  </si>
  <si>
    <t>NVB</t>
  </si>
  <si>
    <t>Ngân hàng TMCP Quốc Dân</t>
  </si>
  <si>
    <t>2025-07-07</t>
  </si>
  <si>
    <t>LIG</t>
  </si>
  <si>
    <t>CTCP Licogi 13</t>
  </si>
  <si>
    <t>2025-07-08</t>
  </si>
  <si>
    <t>FTS</t>
  </si>
  <si>
    <t>CTCP Chứng khoán FPT</t>
  </si>
  <si>
    <t>SHS</t>
  </si>
  <si>
    <t>CTCP Chứng khoán Sài Gòn - Hà Nội</t>
  </si>
  <si>
    <t>2025-07-09</t>
  </si>
  <si>
    <t>SSI</t>
  </si>
  <si>
    <t>CTCP Chứng khoán SSI</t>
  </si>
  <si>
    <t>2025-07-10</t>
  </si>
  <si>
    <t>2025-07-11</t>
  </si>
  <si>
    <t>LSG</t>
  </si>
  <si>
    <t>CTCP Bất động sản Sài Gòn Vi Na</t>
  </si>
  <si>
    <t>NDN</t>
  </si>
  <si>
    <t>CTCP Đầu tư Phát triển Nhà Đà Nẵng</t>
  </si>
  <si>
    <t>2025-07-14</t>
  </si>
  <si>
    <t>PCH</t>
  </si>
  <si>
    <t>CTCP Picomat Holding</t>
  </si>
  <si>
    <t>2025-07-15</t>
  </si>
  <si>
    <t>HDC</t>
  </si>
  <si>
    <t>CTCP Phát triển Nhà Bà Rịa - Vũng Tàu</t>
  </si>
  <si>
    <t>2025-07-16</t>
  </si>
  <si>
    <t>2025-07-17</t>
  </si>
  <si>
    <t>PDR</t>
  </si>
  <si>
    <t>CTCP Phát triển Bất động sản Phát Đạt</t>
  </si>
  <si>
    <t>2025-07-18</t>
  </si>
  <si>
    <t>2025-07-21</t>
  </si>
  <si>
    <t>2025-07-22</t>
  </si>
  <si>
    <t>2025-07-23</t>
  </si>
  <si>
    <t>2025-07-24</t>
  </si>
  <si>
    <t>PXL</t>
  </si>
  <si>
    <t>CTCP Đầu tư khu công nghiệp Dầu khí Long Sơn</t>
  </si>
  <si>
    <t>2025-07-25</t>
  </si>
  <si>
    <t>DIG</t>
  </si>
  <si>
    <t>Tổng CTCP Đầu tư Phát triển Xây dựng</t>
  </si>
  <si>
    <t>MBB</t>
  </si>
  <si>
    <t>Ngân hàng TMCP Quân Đội</t>
  </si>
  <si>
    <t>2025-07-28</t>
  </si>
  <si>
    <t>POW</t>
  </si>
  <si>
    <t>Tổng Công ty Điện lực Dầu khí Việt Nam - CTCP</t>
  </si>
  <si>
    <t>EVS</t>
  </si>
  <si>
    <t>CTCP Chứng khoán EVS</t>
  </si>
  <si>
    <t>2025-07-29</t>
  </si>
  <si>
    <t>MHC</t>
  </si>
  <si>
    <t>CTCP MHC</t>
  </si>
  <si>
    <t>2025-07-30</t>
  </si>
  <si>
    <t>VHG</t>
  </si>
  <si>
    <t>CTCP Đầu tư và Phát triển Việt Trung Nam</t>
  </si>
  <si>
    <t>HUT</t>
  </si>
  <si>
    <t>CTCP Tasco</t>
  </si>
  <si>
    <t>NKG</t>
  </si>
  <si>
    <t>CTCP Thép Nam Kim</t>
  </si>
  <si>
    <t>2025-07-31</t>
  </si>
  <si>
    <t>C69</t>
  </si>
  <si>
    <t>CTCP Xây dựng 1369</t>
  </si>
  <si>
    <t>Column Labels</t>
  </si>
  <si>
    <t>Grand Total</t>
  </si>
  <si>
    <t>Row Labels</t>
  </si>
  <si>
    <t>Sum of stock_p20</t>
  </si>
  <si>
    <t>📊 DASHBOARD - TOP 20 STOCK ANALYSIS</t>
  </si>
  <si>
    <t>Dữ liệu: Top 20 cổ phiếu theo ngày | Tháng 3–7/2025</t>
  </si>
  <si>
    <t>1. TẦN SUẤT XUẤT HIỆN TOP 20 (theo symbol)</t>
  </si>
  <si>
    <t>Symbol</t>
  </si>
  <si>
    <t>Tên công ty</t>
  </si>
  <si>
    <t>Sàn</t>
  </si>
  <si>
    <t>Số lần xuất hiện</t>
  </si>
  <si>
    <t>Rank TB</t>
  </si>
  <si>
    <t>Score TB (stock_p20)</t>
  </si>
  <si>
    <t>ADV50 TB (tỷ VND)</t>
  </si>
  <si>
    <t>2. PHÂN BỐ THEO SÀN GIAO DỊCH</t>
  </si>
  <si>
    <t>Số lượt xuất hiện</t>
  </si>
  <si>
    <t>Tỷ lệ %</t>
  </si>
  <si>
    <t>Tổng</t>
  </si>
  <si>
    <t>3. PHÂN BỐ THEO NGÀNH (industryCode)</t>
  </si>
  <si>
    <t>Mã ngành</t>
  </si>
  <si>
    <t>Tên ngành</t>
  </si>
  <si>
    <t>Số lượt</t>
  </si>
  <si>
    <t>Bất động sản</t>
  </si>
  <si>
    <t>Chứng khoán</t>
  </si>
  <si>
    <t>Xây dựng</t>
  </si>
  <si>
    <t>Ngân hàng</t>
  </si>
  <si>
    <t>Cao su</t>
  </si>
  <si>
    <t>Khoáng sản</t>
  </si>
  <si>
    <t>Nông nghiệp</t>
  </si>
  <si>
    <t>Vận tải</t>
  </si>
  <si>
    <t>Điện</t>
  </si>
  <si>
    <t>Khác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</si>
</sst>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#,##0.0"/>
    <numFmt numFmtId="167" formatCode="0.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i/>
      <sz val="11"/>
      <color rgb="FF595959"/>
      <name val="Calibri"/>
      <family val="2"/>
      <scheme val="minor"/>
    </font>
    <font>
      <b/>
      <sz val="12"/>
      <color rgb="FFFFFFFF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DEEAF1"/>
        <bgColor indexed="64"/>
      </patternFill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9" fontId="0" fillId="0" borderId="0" xfId="0" applyNumberFormat="1"/>
    <xf numFmtId="0" fontId="4" fillId="3" borderId="0" xfId="0" applyFont="1" applyFill="1"/>
    <xf numFmtId="0" fontId="1" fillId="0" borderId="0" xfId="0" applyFont="1"/>
    <xf numFmtId="0" fontId="1" fillId="4" borderId="0" xfId="0" applyFont="1" applyFill="1"/>
    <xf numFmtId="0" fontId="0" fillId="5" borderId="0" xfId="0" applyFill="1"/>
    <xf numFmtId="0" fontId="1" fillId="5" borderId="0" xfId="0" applyFont="1" applyFill="1"/>
    <xf numFmtId="0" fontId="0" fillId="6" borderId="0" xfId="0" applyFill="1"/>
    <xf numFmtId="0" fontId="1" fillId="6" borderId="0" xfId="0" applyFont="1" applyFill="1"/>
    <xf numFmtId="1" fontId="1" fillId="5" borderId="0" xfId="0" applyNumberFormat="1" applyFont="1" applyFill="1"/>
    <xf numFmtId="1" fontId="1" fillId="6" borderId="0" xfId="0" applyNumberFormat="1" applyFont="1" applyFill="1"/>
    <xf numFmtId="1" fontId="0" fillId="6" borderId="0" xfId="0" applyNumberFormat="1" applyFill="1"/>
    <xf numFmtId="1" fontId="0" fillId="5" borderId="0" xfId="0" applyNumberFormat="1" applyFill="1"/>
    <xf numFmtId="164" fontId="1" fillId="5" borderId="0" xfId="0" applyNumberFormat="1" applyFont="1" applyFill="1"/>
    <xf numFmtId="164" fontId="1" fillId="6" borderId="0" xfId="0" applyNumberFormat="1" applyFont="1" applyFill="1"/>
    <xf numFmtId="164" fontId="0" fillId="6" borderId="0" xfId="0" applyNumberFormat="1" applyFill="1"/>
    <xf numFmtId="164" fontId="0" fillId="5" borderId="0" xfId="0" applyNumberFormat="1" applyFill="1"/>
    <xf numFmtId="165" fontId="1" fillId="5" borderId="0" xfId="0" applyNumberFormat="1" applyFont="1" applyFill="1"/>
    <xf numFmtId="165" fontId="1" fillId="6" borderId="0" xfId="0" applyNumberFormat="1" applyFont="1" applyFill="1"/>
    <xf numFmtId="165" fontId="0" fillId="6" borderId="0" xfId="0" applyNumberFormat="1" applyFill="1"/>
    <xf numFmtId="165" fontId="0" fillId="5" borderId="0" xfId="0" applyNumberFormat="1" applyFill="1"/>
    <xf numFmtId="166" fontId="1" fillId="5" borderId="0" xfId="0" applyNumberFormat="1" applyFont="1" applyFill="1"/>
    <xf numFmtId="166" fontId="1" fillId="6" borderId="0" xfId="0" applyNumberFormat="1" applyFont="1" applyFill="1"/>
    <xf numFmtId="166" fontId="0" fillId="6" borderId="0" xfId="0" applyNumberFormat="1" applyFill="1"/>
    <xf numFmtId="166" fontId="0" fillId="5" borderId="0" xfId="0" applyNumberFormat="1" applyFill="1"/>
    <xf numFmtId="167" fontId="0" fillId="5" borderId="0" xfId="0" applyNumberFormat="1" applyFill="1"/>
    <xf numFmtId="167" fontId="0" fillId="0" borderId="0" xfId="0" applyNumberFormat="1"/>
    <xf numFmtId="167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/>
  </cellXfs>
  <cellStyles count="1">
    <cellStyle name="Normal" xfId="0" builtinId="0"/>
  </cellStyles>
  <dxfs count="1">
    <dxf>
      <numFmt numFmtId="13" formatCode="0%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nh Tran" refreshedDate="46143.588821759258" createdVersion="8" refreshedVersion="8" minRefreshableVersion="3" recordCount="2100" xr:uid="{8748D4C9-0610-429D-B1DD-5D924ED41746}">
  <cacheSource type="worksheet">
    <worksheetSource ref="A1:K2101" sheet="Sheet1"/>
  </cacheSource>
  <cacheFields count="11">
    <cacheField name="date" numFmtId="0">
      <sharedItems count="105">
        <s v="2025-03-03"/>
        <s v="2025-03-04"/>
        <s v="2025-03-05"/>
        <s v="2025-03-06"/>
        <s v="2025-03-07"/>
        <s v="2025-03-10"/>
        <s v="2025-03-11"/>
        <s v="2025-03-12"/>
        <s v="2025-03-13"/>
        <s v="2025-03-14"/>
        <s v="2025-03-17"/>
        <s v="2025-03-18"/>
        <s v="2025-03-19"/>
        <s v="2025-03-20"/>
        <s v="2025-03-21"/>
        <s v="2025-03-24"/>
        <s v="2025-03-25"/>
        <s v="2025-03-26"/>
        <s v="2025-03-27"/>
        <s v="2025-03-28"/>
        <s v="2025-03-31"/>
        <s v="2025-04-01"/>
        <s v="2025-04-02"/>
        <s v="2025-04-03"/>
        <s v="2025-04-04"/>
        <s v="2025-04-08"/>
        <s v="2025-04-09"/>
        <s v="2025-04-10"/>
        <s v="2025-04-11"/>
        <s v="2025-04-14"/>
        <s v="2025-04-15"/>
        <s v="2025-04-16"/>
        <s v="2025-04-17"/>
        <s v="2025-04-18"/>
        <s v="2025-04-21"/>
        <s v="2025-04-22"/>
        <s v="2025-04-23"/>
        <s v="2025-04-24"/>
        <s v="2025-04-25"/>
        <s v="2025-04-28"/>
        <s v="2025-04-29"/>
        <s v="2025-05-05"/>
        <s v="2025-05-06"/>
        <s v="2025-05-07"/>
        <s v="2025-05-08"/>
        <s v="2025-05-09"/>
        <s v="2025-05-12"/>
        <s v="2025-05-13"/>
        <s v="2025-05-14"/>
        <s v="2025-05-15"/>
        <s v="2025-05-16"/>
        <s v="2025-05-19"/>
        <s v="2025-05-20"/>
        <s v="2025-05-21"/>
        <s v="2025-05-22"/>
        <s v="2025-05-23"/>
        <s v="2025-05-26"/>
        <s v="2025-05-27"/>
        <s v="2025-05-28"/>
        <s v="2025-05-29"/>
        <s v="2025-05-30"/>
        <s v="2025-06-02"/>
        <s v="2025-06-03"/>
        <s v="2025-06-04"/>
        <s v="2025-06-05"/>
        <s v="2025-06-06"/>
        <s v="2025-06-09"/>
        <s v="2025-06-10"/>
        <s v="2025-06-11"/>
        <s v="2025-06-12"/>
        <s v="2025-06-13"/>
        <s v="2025-06-16"/>
        <s v="2025-06-17"/>
        <s v="2025-06-18"/>
        <s v="2025-06-19"/>
        <s v="2025-06-20"/>
        <s v="2025-06-23"/>
        <s v="2025-06-24"/>
        <s v="2025-06-25"/>
        <s v="2025-06-26"/>
        <s v="2025-06-27"/>
        <s v="2025-06-30"/>
        <s v="2025-07-01"/>
        <s v="2025-07-02"/>
        <s v="2025-07-03"/>
        <s v="2025-07-04"/>
        <s v="2025-07-07"/>
        <s v="2025-07-08"/>
        <s v="2025-07-09"/>
        <s v="2025-07-10"/>
        <s v="2025-07-11"/>
        <s v="2025-07-14"/>
        <s v="2025-07-15"/>
        <s v="2025-07-16"/>
        <s v="2025-07-17"/>
        <s v="2025-07-18"/>
        <s v="2025-07-21"/>
        <s v="2025-07-22"/>
        <s v="2025-07-23"/>
        <s v="2025-07-24"/>
        <s v="2025-07-25"/>
        <s v="2025-07-28"/>
        <s v="2025-07-29"/>
        <s v="2025-07-30"/>
        <s v="2025-07-31"/>
      </sharedItems>
    </cacheField>
    <cacheField name="symbol" numFmtId="0">
      <sharedItems count="196">
        <s v="MSR"/>
        <s v="KSV"/>
        <s v="HGM"/>
        <s v="TVN"/>
        <s v="NAG"/>
        <s v="BMS"/>
        <s v="TDC"/>
        <s v="DVN"/>
        <s v="CTP"/>
        <s v="VTO"/>
        <s v="KCB"/>
        <s v="MTA"/>
        <s v="AAS"/>
        <s v="DBC"/>
        <s v="DST"/>
        <s v="MML"/>
        <s v="CTS"/>
        <s v="PHR"/>
        <s v="CLX"/>
        <s v="NTC"/>
        <s v="HNG"/>
        <s v="QCG"/>
        <s v="SCR"/>
        <s v="CTG"/>
        <s v="NRC"/>
        <s v="KVC"/>
        <s v="TRC"/>
        <s v="SBT"/>
        <s v="TOS"/>
        <s v="SJS"/>
        <s v="HHS"/>
        <s v="CTD"/>
        <s v="DRI"/>
        <s v="LDG"/>
        <s v="TLH"/>
        <s v="BSI"/>
        <s v="BKC"/>
        <s v="PAN"/>
        <s v="VDS"/>
        <s v="TCH"/>
        <s v="JVC"/>
        <s v="LPB"/>
        <s v="SKG"/>
        <s v="BCM"/>
        <s v="VCI"/>
        <s v="GEE"/>
        <s v="SAM"/>
        <s v="HAX"/>
        <s v="IPA"/>
        <s v="VND"/>
        <s v="IJC"/>
        <s v="HTN"/>
        <s v="CTI"/>
        <s v="SGP"/>
        <s v="DPR"/>
        <s v="HHV"/>
        <s v="STB"/>
        <s v="BAF"/>
        <s v="HBC"/>
        <s v="GEG"/>
        <s v="VIX"/>
        <s v="VIC"/>
        <s v="GVR"/>
        <s v="SBG"/>
        <s v="DXS"/>
        <s v="SHB"/>
        <s v="FIR"/>
        <s v="GEX"/>
        <s v="DC4"/>
        <s v="DLG"/>
        <s v="VAB"/>
        <s v="APG"/>
        <s v="VPB"/>
        <s v="HQC"/>
        <s v="NAF"/>
        <s v="HVH"/>
        <s v="VGC"/>
        <s v="VIG"/>
        <s v="D2D"/>
        <s v="DL1"/>
        <s v="ITC"/>
        <s v="FIT"/>
        <s v="BOT"/>
        <s v="CIG"/>
        <s v="DPG"/>
        <s v="THG"/>
        <s v="VFS"/>
        <s v="CRC"/>
        <s v="SHI"/>
        <s v="VHM"/>
        <s v="IMP"/>
        <s v="VC3"/>
        <s v="TCL"/>
        <s v="BMP"/>
        <s v="VEA"/>
        <s v="FCM"/>
        <s v="TDP"/>
        <s v="VTD"/>
        <s v="HAH"/>
        <s v="HVN"/>
        <s v="BFC"/>
        <s v="TSC"/>
        <s v="VCG"/>
        <s v="BIC"/>
        <s v="SMC"/>
        <s v="SVN"/>
        <s v="AAV"/>
        <s v="NTP"/>
        <s v="DDV"/>
        <s v="VEF"/>
        <s v="CTF"/>
        <s v="SBS"/>
        <s v="FCN"/>
        <s v="KLB"/>
        <s v="MGC"/>
        <s v="VSC"/>
        <s v="NVL"/>
        <s v="BMI"/>
        <s v="FRT"/>
        <s v="PPC"/>
        <s v="PLC"/>
        <s v="DHG"/>
        <s v="L14"/>
        <s v="MWG"/>
        <s v="API"/>
        <s v="IDJ"/>
        <s v="TIN"/>
        <s v="TV2"/>
        <s v="HSG"/>
        <s v="CII"/>
        <s v="E1VFVN30"/>
        <s v="TCD"/>
        <s v="LAS"/>
        <s v="GMD"/>
        <s v="NLG"/>
        <s v="TAL"/>
        <s v="CEO"/>
        <s v="VRE"/>
        <s v="TDH"/>
        <s v="PVB"/>
        <s v="G36"/>
        <s v="EIB"/>
        <s v="C4G"/>
        <s v="NTL"/>
        <s v="CRE"/>
        <s v="REE"/>
        <s v="PVP"/>
        <s v="VC2"/>
        <s v="DRH"/>
        <s v="KHP"/>
        <s v="PET"/>
        <s v="VNE"/>
        <s v="HAP"/>
        <s v="EVF"/>
        <s v="DCL"/>
        <s v="PVD"/>
        <s v="BSR"/>
        <s v="DGW"/>
        <s v="PVC"/>
        <s v="MST"/>
        <s v="KHG"/>
        <s v="VGI"/>
        <s v="TCB"/>
        <s v="CNG"/>
        <s v="NT2"/>
        <s v="LHG"/>
        <s v="PVS"/>
        <s v="VHC"/>
        <s v="ANV"/>
        <s v="SZC"/>
        <s v="MSN"/>
        <s v="APS"/>
        <s v="TNG"/>
        <s v="MPC"/>
        <s v="DGC"/>
        <s v="TTF"/>
        <s v="NVB"/>
        <s v="LIG"/>
        <s v="FTS"/>
        <s v="SHS"/>
        <s v="SSI"/>
        <s v="LSG"/>
        <s v="NDN"/>
        <s v="PCH"/>
        <s v="HDC"/>
        <s v="PDR"/>
        <s v="PXL"/>
        <s v="DIG"/>
        <s v="MBB"/>
        <s v="POW"/>
        <s v="EVS"/>
        <s v="MHC"/>
        <s v="VHG"/>
        <s v="HUT"/>
        <s v="NKG"/>
        <s v="C69"/>
      </sharedItems>
    </cacheField>
    <cacheField name="name" numFmtId="0">
      <sharedItems count="196">
        <s v="CTCP MaSan High - Tech Materials"/>
        <s v="Tổng Công ty Khoáng sản TKV - CTCP"/>
        <s v="CTCP Cơ khí và Khoáng sản Hà Giang"/>
        <s v="Tổng Công ty Thép Việt Nam - CTCP"/>
        <s v="CTCP Tập đoàn Nagakawa"/>
        <s v="CTCP Chứng khoán Bảo Minh"/>
        <s v="CTCP Kinh doanh và Phát triển Bình Dương"/>
        <s v="Tổng Công ty Dược Việt Nam - CTCP"/>
        <s v="CTCP Tập đoàn CTP Group"/>
        <s v="CTCP Vận tải Xăng dầu Vitaco"/>
        <s v="CTCP Khoáng sản và Luyện kim Cao Bằng"/>
        <s v="Tổng Công ty Khoáng sản và Thương mại Hà Tĩnh - CTCP"/>
        <s v="CTCP chứng khoán SmartInvest"/>
        <s v="CTCP Tập đoàn Dabaco Việt Nam"/>
        <s v="CTCP Đầu tư Sao Thăng Long"/>
        <s v="CTCP Masan MeatLife"/>
        <s v="CTCP Chứng khoán Vietinbank"/>
        <s v="CTCP Cao su Phước Hòa"/>
        <s v="CTCP Xuất nhập khẩu và đầu tư Chợ Lớn (Cholimex)"/>
        <s v="CTCP Khu Công nghiệp Nam Tân Uyên"/>
        <s v="CTCP Nông nghiệp Quốc tế Hoàng Anh Gia Lai"/>
        <s v="CTCP Quốc Cường - Gia Lai"/>
        <s v="CTCP Địa ốc Sài Gòn Thương Tín"/>
        <s v="Ngân hàng TMCP Công Thương Việt Nam"/>
        <s v="CTCP Tập đoàn NRC"/>
        <s v="CTCP Sản xuất Xuất nhập khẩu Inox Kim Vĩ"/>
        <s v="CTCP Cao su Tây Ninh"/>
        <s v="CTCP Thành Thành Công - Biên Hòa"/>
        <s v="CTCP Dịch vụ biển Tân Cảng"/>
        <s v="CTCP SJ Group"/>
        <s v="CTCP Đầu tư dịch vụ Hoàng Huy"/>
        <s v="CTCP Xây dựng COTECCONS"/>
        <s v="CTCP Đầu tư Cao su Đắk Lắk"/>
        <s v="CTCP Đầu tư LDG"/>
        <s v="CTCP Tập đoàn Thép Tiến Lên"/>
        <s v="CTCP Chứng khoán BIDV"/>
        <s v="CTCP Khoáng sản Bắc Kạn"/>
        <s v="CTCP Tập đoàn PAN"/>
        <s v="CTCP Chứng khoán Rồng Việt"/>
        <s v="CTCP Đầu tư Dịch vụ Tài chính Hoàng Huy"/>
        <s v="CTCP Đầu tư y tế - Dược phẩm Việt Nam"/>
        <s v="Ngân hàng TMCP Lộc Phát Việt Nam"/>
        <s v="CTCP Tàu cao tốc Superdong - Kiên Giang"/>
        <s v="Tập đoàn Đầu tư và Phát triển Công nghiệp Becamex - CTCP"/>
        <s v="CTCP Chứng Khoán Vietcap"/>
        <s v="CTCP Điện lực Gelex"/>
        <s v="CTCP Sam Holdings"/>
        <s v="CTCP Dịch Vụ Ô Tô Hàng Xanh"/>
        <s v="CTCP Tập đoàn Đầu tư I.P.A"/>
        <s v="CTCP Chứng khoán VNDIRECT"/>
        <s v="CTCP Phát triển Hạ tầng Kỹ thuật"/>
        <s v="CTCP Hưng Thịnh Incons"/>
        <s v="CTCP Đầu tư Phát triển Cường Thuận IDICO"/>
        <s v="CTCP Cảng Sài Gòn"/>
        <s v="CTCP Cao su Đồng Phú"/>
        <s v="CTCP Đầu tư Hạ tầng giao thông Đèo Cả"/>
        <s v="Ngân hàng TMCP Sài Gòn Thương Tín"/>
        <s v="CTCP Nông nghiệp BAF Việt Nam"/>
        <s v="CTCP Tập đoàn Xây dựng Hòa Bình"/>
        <s v="CTCP Điện Gia Lai"/>
        <s v="CTCP Chứng khoán VIX"/>
        <s v="Tập đoàn Vingroup - CTCP"/>
        <s v="Tập đoàn Công nghiệp Cao su Việt Nam - CTCP"/>
        <s v="CTCP Tập đoàn Cơ khí Công nghệ cao Siba"/>
        <s v="CTCP Dịch vụ Bất động sản Đất Xanh"/>
        <s v="Ngân hàng TMCP Sài Gòn - Hà Nội"/>
        <s v="CTCP Địa ốc First Real"/>
        <s v="CTCP Tập đoàn GELEX"/>
        <s v="CTCP Dicera Holdings"/>
        <s v="CTCP Tập đoàn Đức Long Gia Lai"/>
        <s v="Ngân hàng TMCP Việt Á"/>
        <s v="CTCP Chứng khoán APG"/>
        <s v="Ngân hàng TMCP Việt Nam Thịnh Vượng"/>
        <s v="CTCP Tư vấn - Thương mại - Dịch vụ Địa ốc Hoàng Quân"/>
        <s v="CTCP Nafoods Group"/>
        <s v="CTCP Đầu tư và Công nghệ HVC"/>
        <s v="Tổng Công ty Viglacera - CTCP"/>
        <s v="CTCP Chứng khoán Đầu tư Tài chính Việt Nam"/>
        <s v="CTCP Phát triển Đô thị Công nghiệp Số 2"/>
        <s v="CTCP Tập đoàn Alpha Seven"/>
        <s v="CTCP Đầu tư - Kinh doanh Nhà"/>
        <s v="CTCP Tập đoàn F.I.T"/>
        <s v="CTCP BOT Cầu Thái Hà"/>
        <s v="CTCP COMA 18"/>
        <s v="CTCP Tập đoàn Đạt Phương"/>
        <s v="CTCP Đầu tư và Xây dựng Tiền Giang"/>
        <s v="CTCP Chứng khoán Nhất Việt"/>
        <s v="CTCP Create Capital Việt Nam"/>
        <s v="CTCP Quốc tế Sơn Hà"/>
        <s v="CTCP Vinhomes"/>
        <s v="CTCP Dược phẩm Imexpharm"/>
        <s v="CTCP Tập đoàn Nam Mê Kông"/>
        <s v="CTCP Đại lý giao nhận vận tải xếp dỡ Tân Cảng"/>
        <s v="CTCP Nhựa Bình Minh"/>
        <s v="Tổng Công ty Máy động lực và Máy nông nghiệp Việt Nam - CTCP"/>
        <s v="CTCP Bê tông Phan Vũ Hà Nam"/>
        <s v="CTCP Thuận Đức"/>
        <s v="CTCP Vietourist Holdings"/>
        <s v="CTCP Vận tải và Xếp dỡ Hải An"/>
        <s v="Tổng Công ty Hàng không Việt Nam - CTCP"/>
        <s v="CTCP Phân bón Bình Điền"/>
        <s v="CTCP Vật tư Kỹ thuật Nông nghiệp Cần Thơ"/>
        <s v="Tổng CTCP Xuất nhập khẩu và Xây dựng Việt Nam"/>
        <s v="Tổng CTCP Bảo hiểm Ngân hàng Đầu tư và Phát triển Việt Nam"/>
        <s v="CTCP Đầu tư Thương mại SMC"/>
        <s v="CTCP Tập đoàn Vexilla Việt Nam"/>
        <s v="CTCP AAV Group"/>
        <s v="CTCP Nhựa Thiếu Niên Tiền Phong"/>
        <s v="CTCP DAP - VINACHEM"/>
        <s v="CTCP Trung tâm Hội chợ Triển lãm Việt Nam"/>
        <s v="CTCP City Auto"/>
        <s v="CTCP Chứng khoán SBS"/>
        <s v="CTCP FECON"/>
        <s v="Ngân hàng TMCP Kiên Long"/>
        <s v="CTCP Địa chất mỏ - TKV"/>
        <s v="CTCP Container Việt Nam"/>
        <s v="CTCP Tập đoàn Đầu tư Địa ốc No Va"/>
        <s v="Tổng CTCP Bảo Minh"/>
        <s v="CTCP Bán lẻ Kỹ thuật số FPT"/>
        <s v="CTCP Nhiệt điện Phả Lại"/>
        <s v="Tổng Công ty Hóa dầu Petrolimex - CTCP"/>
        <s v="CTCP Dược Hậu Giang"/>
        <s v="CTCP Licogi 14"/>
        <s v="CTCP Đầu tư Thế giới Di động"/>
        <s v="CTCP Đầu tư Châu Á - Thái Bình Dương"/>
        <s v="CTCP Đầu tư IDJ Việt Nam"/>
        <s v="Công ty Tài chính Cổ phần Tín Việt"/>
        <s v="CTCP Tư vấn Xây dựng Điện 2"/>
        <s v="CTCP Tập đoàn Hoa Sen"/>
        <s v="CTCP Đầu tư Hạ tầng Kỹ thuật Thành phố Hồ Chí Minh"/>
        <s v="Quỹ ETF DCVFMVN30"/>
        <s v="CTCP Tập đoàn Xây dựng TRACODI"/>
        <s v="CTCP Supe Phốt phát và Hóa chất Lâm Thao"/>
        <s v="CTCP Gemadept"/>
        <s v="CTCP Đầu tư Nam Long"/>
        <s v="CTCP Đầu tư Bất động sản Taseco"/>
        <s v="CTCP Tập đoàn C.E.O"/>
        <s v="CTCP Vincom Retail"/>
        <s v="CTCP Phát triển Nhà Thủ Đức"/>
        <s v="CTCP Bọc ống Dầu khí Việt Nam"/>
        <s v="Tổng Công ty 36 - CTCP"/>
        <s v="Ngân hàng TMCP Xuất Nhập Khẩu Việt Nam"/>
        <s v="CTCP Tập đoàn CIENCO4"/>
        <s v="CTCP Phát triển đô thị Từ Liêm"/>
        <s v="CTCP Bất động sản Thế Kỷ"/>
        <s v="CTCP Cơ điện lạnh"/>
        <s v="CTCP Vận tải Dầu khí Thái Bình Dương"/>
        <s v="CTCP Đầu tư và Xây dựng Vina2"/>
        <s v="CTCP DRH Holdings"/>
        <s v="CTCP Điện Lực Khánh Hòa"/>
        <s v="Tổng CTCP Dịch vụ Tổng hợp Dầu khí"/>
        <s v="Tổng CTCP Xây dựng điện Việt Nam"/>
        <s v="CTCP Tập Đoàn HAPACO"/>
        <s v="Công ty Tài chính Tổng hợp Cổ phần Điện lực"/>
        <s v="CTCP Dược phẩm Cửu Long"/>
        <s v="Tổng CTCP Khoan và Dịch vụ Khoan Dầu khí"/>
        <s v="CTCP Lọc - Hóa dầu Bình Sơn"/>
        <s v="CTCP Thế giới số"/>
        <s v="Tổng Công ty Hóa chất và Dịch vụ dầu khí - CTCP"/>
        <s v="CTCP Đầu tư MST"/>
        <s v="CTCP Tập đoàn Khải Hoàn Land"/>
        <s v="Tổng CTCP Đầu tư Quốc tế Viettel"/>
        <s v="Ngân hàng TMCP Kỹ thương Việt Nam"/>
        <s v="CTCP CNG Việt Nam"/>
        <s v="CTCP Điện lực Dầu khí Nhơn Trạch 2"/>
        <s v="CTCP Long Hậu"/>
        <s v="Tổng CTCP Dịch vụ Kỹ thuật Dầu khí Việt Nam"/>
        <s v="CTCP Vĩnh Hoàn"/>
        <s v="CTCP Nam Việt"/>
        <s v="CTCP Sonadezi Châu Đức"/>
        <s v="CTCP Tập đoàn MaSan"/>
        <s v="CTCP Chứng khoán Châu Á - Thái Bình Dương"/>
        <s v="CTCP Đầu tư và Thương mại TNG"/>
        <s v="CTCP Tập Đoàn Thủy Sản Minh Phú"/>
        <s v="CTCP Tập đoàn Hóa chất Đức Giang"/>
        <s v="CTCP Tập đoàn Kỹ nghệ Gỗ Trường Thành"/>
        <s v="Ngân hàng TMCP Quốc Dân"/>
        <s v="CTCP Licogi 13"/>
        <s v="CTCP Chứng khoán FPT"/>
        <s v="CTCP Chứng khoán Sài Gòn - Hà Nội"/>
        <s v="CTCP Chứng khoán SSI"/>
        <s v="CTCP Bất động sản Sài Gòn Vi Na"/>
        <s v="CTCP Đầu tư Phát triển Nhà Đà Nẵng"/>
        <s v="CTCP Picomat Holding"/>
        <s v="CTCP Phát triển Nhà Bà Rịa - Vũng Tàu"/>
        <s v="CTCP Phát triển Bất động sản Phát Đạt"/>
        <s v="CTCP Đầu tư khu công nghiệp Dầu khí Long Sơn"/>
        <s v="Tổng CTCP Đầu tư Phát triển Xây dựng"/>
        <s v="Ngân hàng TMCP Quân Đội"/>
        <s v="Tổng Công ty Điện lực Dầu khí Việt Nam - CTCP"/>
        <s v="CTCP Chứng khoán EVS"/>
        <s v="CTCP MHC"/>
        <s v="CTCP Đầu tư và Phát triển Việt Trung Nam"/>
        <s v="CTCP Tasco"/>
        <s v="CTCP Thép Nam Kim"/>
        <s v="CTCP Xây dựng 1369"/>
      </sharedItems>
    </cacheField>
    <cacheField name="exchange" numFmtId="0">
      <sharedItems/>
    </cacheField>
    <cacheField name="industryCode" numFmtId="0">
      <sharedItems/>
    </cacheField>
    <cacheField name="stock_p20" numFmtId="0">
      <sharedItems containsSemiMixedTypes="0" containsString="0" containsNumber="1" minValue="0.43761097446007019" maxValue="0.98668182275040994"/>
    </cacheField>
    <cacheField name="p_now" numFmtId="0">
      <sharedItems containsSemiMixedTypes="0" containsString="0" containsNumber="1" minValue="0.17380140562721369" maxValue="0.99384739727165683"/>
    </cacheField>
    <cacheField name="p_hist" numFmtId="0">
      <sharedItems containsString="0" containsBlank="1" containsNumber="1" minValue="0.1" maxValue="1"/>
    </cacheField>
    <cacheField name="adv50_vnd" numFmtId="0">
      <sharedItems containsSemiMixedTypes="0" containsString="0" containsNumber="1" containsInteger="1" minValue="2006761800" maxValue="1043976887200"/>
    </cacheField>
    <cacheField name="close" numFmtId="0">
      <sharedItems containsSemiMixedTypes="0" containsString="0" containsNumber="1" minValue="1.99" maxValue="355"/>
    </cacheField>
    <cacheField name="rank" numFmtId="0">
      <sharedItems containsSemiMixedTypes="0" containsString="0" containsNumber="1" containsInteger="1" minValue="1" maxValue="2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00">
  <r>
    <x v="0"/>
    <x v="0"/>
    <x v="0"/>
    <s v="UPCOM"/>
    <s v="1770"/>
    <n v="0.85376097404630769"/>
    <n v="0.95752194809261548"/>
    <n v="0.75"/>
    <n v="35950609000"/>
    <n v="20.5"/>
    <n v="1"/>
  </r>
  <r>
    <x v="0"/>
    <x v="1"/>
    <x v="1"/>
    <s v="HNX"/>
    <s v="1770"/>
    <n v="0.84795222600404729"/>
    <n v="0.89590445200809443"/>
    <n v="0.8"/>
    <n v="15896347200"/>
    <n v="225.2"/>
    <n v="2"/>
  </r>
  <r>
    <x v="0"/>
    <x v="2"/>
    <x v="2"/>
    <s v="HNX"/>
    <s v="1770"/>
    <n v="0.79591828399952802"/>
    <n v="0.94183656799905613"/>
    <n v="0.65"/>
    <n v="2550769200"/>
    <n v="336"/>
    <n v="3"/>
  </r>
  <r>
    <x v="0"/>
    <x v="3"/>
    <x v="3"/>
    <s v="UPCOM"/>
    <s v="1750"/>
    <n v="0.75249953915114365"/>
    <n v="0.80499907830228734"/>
    <n v="0.7"/>
    <n v="4901301400"/>
    <n v="9.1999999999999993"/>
    <n v="4"/>
  </r>
  <r>
    <x v="0"/>
    <x v="4"/>
    <x v="4"/>
    <s v="HNX"/>
    <s v="2350"/>
    <n v="0.74528714573067689"/>
    <n v="0.94057429146135363"/>
    <n v="0.55000000000000004"/>
    <n v="5541799800"/>
    <n v="13.4"/>
    <n v="5"/>
  </r>
  <r>
    <x v="0"/>
    <x v="5"/>
    <x v="5"/>
    <s v="UPCOM"/>
    <s v="8780"/>
    <n v="0.74103354601464444"/>
    <n v="0.73206709202928877"/>
    <n v="0.75"/>
    <n v="3576154400"/>
    <n v="11.6"/>
    <n v="6"/>
  </r>
  <r>
    <x v="0"/>
    <x v="6"/>
    <x v="6"/>
    <s v="HSX"/>
    <s v="8630"/>
    <n v="0.72582220381587637"/>
    <n v="0.70164440763175273"/>
    <n v="0.75"/>
    <n v="13459606200"/>
    <n v="12.65"/>
    <n v="7"/>
  </r>
  <r>
    <x v="0"/>
    <x v="7"/>
    <x v="7"/>
    <s v="UPCOM"/>
    <s v="4570"/>
    <n v="0.70806511796229099"/>
    <n v="0.91613023592458209"/>
    <n v="0.5"/>
    <n v="3866753800"/>
    <n v="29.5"/>
    <n v="8"/>
  </r>
  <r>
    <x v="0"/>
    <x v="8"/>
    <x v="8"/>
    <s v="HNX"/>
    <s v="3570"/>
    <n v="0.69918132514975573"/>
    <n v="0.94836265029951139"/>
    <n v="0.45"/>
    <n v="5022888200"/>
    <n v="40"/>
    <n v="9"/>
  </r>
  <r>
    <x v="0"/>
    <x v="9"/>
    <x v="9"/>
    <s v="HSX"/>
    <s v="2770"/>
    <n v="0.6888926428124964"/>
    <n v="0.87778528562499281"/>
    <n v="0.5"/>
    <n v="11226644700"/>
    <n v="16"/>
    <n v="10"/>
  </r>
  <r>
    <x v="0"/>
    <x v="10"/>
    <x v="10"/>
    <s v="UPCOM"/>
    <s v="1770"/>
    <n v="0.68339008022991854"/>
    <n v="0.91678016045983701"/>
    <n v="0.45"/>
    <n v="2020038200"/>
    <n v="22.7"/>
    <n v="11"/>
  </r>
  <r>
    <x v="0"/>
    <x v="11"/>
    <x v="11"/>
    <s v="UPCOM"/>
    <s v="1770"/>
    <n v="0.68044655507101048"/>
    <n v="0.96089311014202095"/>
    <n v="0.4"/>
    <n v="3235422400"/>
    <n v="25.4"/>
    <n v="12"/>
  </r>
  <r>
    <x v="0"/>
    <x v="12"/>
    <x v="12"/>
    <s v="UPCOM"/>
    <s v="8780"/>
    <n v="0.67681230140988713"/>
    <n v="0.85362460281977426"/>
    <n v="0.5"/>
    <n v="7518086600"/>
    <n v="9.1"/>
    <n v="13"/>
  </r>
  <r>
    <x v="0"/>
    <x v="13"/>
    <x v="13"/>
    <s v="HSX"/>
    <s v="3570"/>
    <n v="0.66935805299897011"/>
    <n v="0.88871610599794015"/>
    <n v="0.45"/>
    <n v="138226879800"/>
    <n v="30.4"/>
    <n v="14"/>
  </r>
  <r>
    <x v="0"/>
    <x v="14"/>
    <x v="14"/>
    <s v="HNX"/>
    <s v="2350"/>
    <n v="0.66844101696035096"/>
    <n v="0.78688203392070188"/>
    <n v="0.55000000000000004"/>
    <n v="3005803800"/>
    <n v="5.9"/>
    <n v="15"/>
  </r>
  <r>
    <x v="0"/>
    <x v="15"/>
    <x v="15"/>
    <s v="UPCOM"/>
    <s v="3570"/>
    <n v="0.66825746212551218"/>
    <n v="0.78651492425102432"/>
    <n v="0.55000000000000004"/>
    <n v="2673485400"/>
    <n v="31.8"/>
    <n v="16"/>
  </r>
  <r>
    <x v="0"/>
    <x v="16"/>
    <x v="16"/>
    <s v="HSX"/>
    <s v="8780"/>
    <n v="0.66744669804900203"/>
    <n v="0.88489339609800399"/>
    <n v="0.45"/>
    <n v="25116725000"/>
    <n v="39.1"/>
    <n v="17"/>
  </r>
  <r>
    <x v="0"/>
    <x v="17"/>
    <x v="17"/>
    <s v="HSX"/>
    <s v="1350"/>
    <n v="0.66172204617050667"/>
    <n v="0.92344409234101343"/>
    <n v="0.4"/>
    <n v="18080291600"/>
    <n v="64"/>
    <n v="18"/>
  </r>
  <r>
    <x v="0"/>
    <x v="18"/>
    <x v="18"/>
    <s v="UPCOM"/>
    <s v="5330"/>
    <n v="0.66133428068195466"/>
    <n v="0.62266856136390936"/>
    <n v="0.7"/>
    <n v="8836931200"/>
    <n v="18.3"/>
    <n v="19"/>
  </r>
  <r>
    <x v="0"/>
    <x v="19"/>
    <x v="19"/>
    <s v="HSX"/>
    <s v="8630"/>
    <n v="0.66025850610101866"/>
    <n v="0.92051701220203719"/>
    <n v="0.4"/>
    <n v="8026520600"/>
    <n v="239"/>
    <n v="20"/>
  </r>
  <r>
    <x v="1"/>
    <x v="0"/>
    <x v="0"/>
    <s v="UPCOM"/>
    <s v="1770"/>
    <n v="0.87604969491202911"/>
    <n v="0.95209938982405817"/>
    <n v="0.8"/>
    <n v="36965968400"/>
    <n v="20.100000000000001"/>
    <n v="1"/>
  </r>
  <r>
    <x v="1"/>
    <x v="1"/>
    <x v="1"/>
    <s v="HNX"/>
    <s v="1770"/>
    <n v="0.8112272836570058"/>
    <n v="0.82245456731401145"/>
    <n v="0.8"/>
    <n v="16099421000"/>
    <n v="218.5"/>
    <n v="2"/>
  </r>
  <r>
    <x v="1"/>
    <x v="4"/>
    <x v="4"/>
    <s v="HNX"/>
    <s v="2350"/>
    <n v="0.75204259783065996"/>
    <n v="0.90408519566131984"/>
    <n v="0.6"/>
    <n v="5656446600"/>
    <n v="13.2"/>
    <n v="3"/>
  </r>
  <r>
    <x v="1"/>
    <x v="11"/>
    <x v="11"/>
    <s v="UPCOM"/>
    <s v="1770"/>
    <n v="0.7240680880760153"/>
    <n v="0.9481361761520305"/>
    <n v="0.5"/>
    <n v="3311780000"/>
    <n v="23.8"/>
    <n v="4"/>
  </r>
  <r>
    <x v="1"/>
    <x v="3"/>
    <x v="3"/>
    <s v="UPCOM"/>
    <s v="1750"/>
    <n v="0.6978830983343266"/>
    <n v="0.69576619666865325"/>
    <n v="0.7"/>
    <n v="4977690200"/>
    <n v="9"/>
    <n v="5"/>
  </r>
  <r>
    <x v="1"/>
    <x v="20"/>
    <x v="20"/>
    <s v="UPCOM"/>
    <s v="3570"/>
    <n v="0.67724181086231128"/>
    <n v="0.8044836217246224"/>
    <n v="0.55000000000000004"/>
    <n v="43190004200"/>
    <n v="7.7"/>
    <n v="6"/>
  </r>
  <r>
    <x v="1"/>
    <x v="8"/>
    <x v="8"/>
    <s v="HNX"/>
    <s v="3570"/>
    <n v="0.6694469606699569"/>
    <n v="0.93889392133991389"/>
    <n v="0.4"/>
    <n v="5006227000"/>
    <n v="40"/>
    <n v="7"/>
  </r>
  <r>
    <x v="1"/>
    <x v="10"/>
    <x v="10"/>
    <s v="UPCOM"/>
    <s v="1770"/>
    <n v="0.66746277191546655"/>
    <n v="0.88492554383093303"/>
    <n v="0.45"/>
    <n v="2041853000"/>
    <n v="21"/>
    <n v="8"/>
  </r>
  <r>
    <x v="1"/>
    <x v="21"/>
    <x v="21"/>
    <s v="HSX"/>
    <s v="8630"/>
    <n v="0.66324478235572437"/>
    <n v="0.7764895647114487"/>
    <n v="0.55000000000000004"/>
    <n v="10011708300"/>
    <n v="13.4"/>
    <n v="9"/>
  </r>
  <r>
    <x v="1"/>
    <x v="22"/>
    <x v="22"/>
    <s v="HSX"/>
    <s v="8630"/>
    <n v="0.64764236912735862"/>
    <n v="0.89528473825471722"/>
    <n v="0.4"/>
    <n v="12361176100"/>
    <n v="6.45"/>
    <n v="10"/>
  </r>
  <r>
    <x v="1"/>
    <x v="23"/>
    <x v="23"/>
    <s v="HSX"/>
    <s v="8350"/>
    <n v="0.64094876218612828"/>
    <n v="0.73189752437225664"/>
    <n v="0.55000000000000004"/>
    <n v="264875875500"/>
    <n v="41.6"/>
    <n v="11"/>
  </r>
  <r>
    <x v="1"/>
    <x v="2"/>
    <x v="2"/>
    <s v="HNX"/>
    <s v="1770"/>
    <n v="0.63604816430064726"/>
    <n v="0.87209632860129438"/>
    <n v="0.4"/>
    <n v="2565149400"/>
    <n v="305"/>
    <n v="12"/>
  </r>
  <r>
    <x v="1"/>
    <x v="17"/>
    <x v="17"/>
    <s v="HSX"/>
    <s v="1350"/>
    <n v="0.63052032683717896"/>
    <n v="0.96104065367435798"/>
    <n v="0.3"/>
    <n v="19371070400"/>
    <n v="66"/>
    <n v="13"/>
  </r>
  <r>
    <x v="1"/>
    <x v="7"/>
    <x v="7"/>
    <s v="UPCOM"/>
    <s v="4570"/>
    <n v="0.62603202248794676"/>
    <n v="0.85206404497589339"/>
    <n v="0.4"/>
    <n v="3976796200"/>
    <n v="28.6"/>
    <n v="14"/>
  </r>
  <r>
    <x v="1"/>
    <x v="12"/>
    <x v="12"/>
    <s v="UPCOM"/>
    <s v="8780"/>
    <n v="0.62592632218721733"/>
    <n v="0.75185264437443478"/>
    <n v="0.5"/>
    <n v="7623392400"/>
    <n v="8.9"/>
    <n v="15"/>
  </r>
  <r>
    <x v="1"/>
    <x v="24"/>
    <x v="24"/>
    <s v="HNX"/>
    <s v="8630"/>
    <n v="0.61809468894392228"/>
    <n v="0.98618937788784455"/>
    <n v="0.25"/>
    <n v="5059407400"/>
    <n v="6.2"/>
    <n v="16"/>
  </r>
  <r>
    <x v="1"/>
    <x v="25"/>
    <x v="25"/>
    <s v="UPCOM"/>
    <s v="1750"/>
    <n v="0.61632785390484179"/>
    <n v="0.83265570780968368"/>
    <n v="0.4"/>
    <n v="2124965800"/>
    <n v="2.1"/>
    <n v="17"/>
  </r>
  <r>
    <x v="1"/>
    <x v="26"/>
    <x v="26"/>
    <s v="HSX"/>
    <s v="1350"/>
    <n v="0.61291045821141243"/>
    <n v="0.92582091642282482"/>
    <n v="0.3"/>
    <n v="16473763400"/>
    <n v="83.8"/>
    <n v="18"/>
  </r>
  <r>
    <x v="1"/>
    <x v="5"/>
    <x v="5"/>
    <s v="UPCOM"/>
    <s v="8780"/>
    <n v="0.61223511134680009"/>
    <n v="0.57447022269360026"/>
    <n v="0.65"/>
    <n v="3659240400"/>
    <n v="11.4"/>
    <n v="19"/>
  </r>
  <r>
    <x v="1"/>
    <x v="19"/>
    <x v="19"/>
    <s v="HSX"/>
    <s v="8630"/>
    <n v="0.60540131907538652"/>
    <n v="0.86080263815077307"/>
    <n v="0.35"/>
    <n v="8145047800"/>
    <n v="240"/>
    <n v="20"/>
  </r>
  <r>
    <x v="2"/>
    <x v="0"/>
    <x v="0"/>
    <s v="UPCOM"/>
    <s v="1770"/>
    <n v="0.82620330417851284"/>
    <n v="0.95240660835702584"/>
    <n v="0.7"/>
    <n v="37957571400"/>
    <n v="20.7"/>
    <n v="1"/>
  </r>
  <r>
    <x v="2"/>
    <x v="1"/>
    <x v="1"/>
    <s v="HNX"/>
    <s v="1770"/>
    <n v="0.76955126299789844"/>
    <n v="0.73910252599579673"/>
    <n v="0.8"/>
    <n v="16021308000"/>
    <n v="218.5"/>
    <n v="2"/>
  </r>
  <r>
    <x v="2"/>
    <x v="27"/>
    <x v="27"/>
    <s v="HSX"/>
    <s v="3570"/>
    <n v="0.75296994109671056"/>
    <n v="0.90593988219342103"/>
    <n v="0.6"/>
    <n v="26641087800"/>
    <n v="14.4"/>
    <n v="3"/>
  </r>
  <r>
    <x v="2"/>
    <x v="4"/>
    <x v="4"/>
    <s v="HNX"/>
    <s v="2350"/>
    <n v="0.73652428518973312"/>
    <n v="0.87304857037946626"/>
    <n v="0.6"/>
    <n v="5725967400"/>
    <n v="13.2"/>
    <n v="4"/>
  </r>
  <r>
    <x v="2"/>
    <x v="28"/>
    <x v="28"/>
    <s v="UPCOM"/>
    <s v="2770"/>
    <n v="0.72820445323237604"/>
    <n v="0.80640890646475205"/>
    <n v="0.65"/>
    <n v="7581571000"/>
    <n v="133.4"/>
    <n v="5"/>
  </r>
  <r>
    <x v="2"/>
    <x v="11"/>
    <x v="11"/>
    <s v="UPCOM"/>
    <s v="1770"/>
    <n v="0.71583753276139994"/>
    <n v="0.93167506552279977"/>
    <n v="0.5"/>
    <n v="3278950400"/>
    <n v="24.1"/>
    <n v="6"/>
  </r>
  <r>
    <x v="2"/>
    <x v="3"/>
    <x v="3"/>
    <s v="UPCOM"/>
    <s v="1750"/>
    <n v="0.70496792031165212"/>
    <n v="0.65993584062330413"/>
    <n v="0.75"/>
    <n v="5057709400"/>
    <n v="8.9"/>
    <n v="7"/>
  </r>
  <r>
    <x v="2"/>
    <x v="29"/>
    <x v="29"/>
    <s v="HSX"/>
    <s v="8630"/>
    <n v="0.683188118724955"/>
    <n v="0.96637623744990997"/>
    <n v="0.4"/>
    <n v="4199863800"/>
    <n v="108"/>
    <n v="8"/>
  </r>
  <r>
    <x v="2"/>
    <x v="17"/>
    <x v="17"/>
    <s v="HSX"/>
    <s v="1350"/>
    <n v="0.66554532262983712"/>
    <n v="0.93109064525967433"/>
    <n v="0.4"/>
    <n v="19849330800"/>
    <n v="65.5"/>
    <n v="9"/>
  </r>
  <r>
    <x v="2"/>
    <x v="30"/>
    <x v="30"/>
    <s v="HSX"/>
    <s v="8630"/>
    <n v="0.66356155870410061"/>
    <n v="0.67712311740820108"/>
    <n v="0.65"/>
    <n v="11003219840"/>
    <n v="8.26"/>
    <n v="10"/>
  </r>
  <r>
    <x v="2"/>
    <x v="31"/>
    <x v="31"/>
    <s v="HSX"/>
    <s v="2350"/>
    <n v="0.66331612503127457"/>
    <n v="0.87663225006254908"/>
    <n v="0.45"/>
    <n v="96267329800"/>
    <n v="91.4"/>
    <n v="11"/>
  </r>
  <r>
    <x v="2"/>
    <x v="23"/>
    <x v="23"/>
    <s v="HSX"/>
    <s v="8350"/>
    <n v="0.65454869553950812"/>
    <n v="0.70909739107901626"/>
    <n v="0.6"/>
    <n v="268826368400"/>
    <n v="41.2"/>
    <n v="12"/>
  </r>
  <r>
    <x v="2"/>
    <x v="24"/>
    <x v="24"/>
    <s v="HNX"/>
    <s v="8630"/>
    <n v="0.65378708898978299"/>
    <n v="0.9575741779795659"/>
    <n v="0.35"/>
    <n v="5203910600"/>
    <n v="5.8"/>
    <n v="13"/>
  </r>
  <r>
    <x v="2"/>
    <x v="2"/>
    <x v="2"/>
    <s v="HNX"/>
    <s v="1770"/>
    <n v="0.65232305697908544"/>
    <n v="0.85464611395817092"/>
    <n v="0.45"/>
    <n v="2583741400"/>
    <n v="308"/>
    <n v="14"/>
  </r>
  <r>
    <x v="2"/>
    <x v="32"/>
    <x v="32"/>
    <s v="UPCOM"/>
    <s v="1350"/>
    <n v="0.64037416045547535"/>
    <n v="0.88074832091095079"/>
    <n v="0.4"/>
    <n v="21419601000"/>
    <n v="15.5"/>
    <n v="15"/>
  </r>
  <r>
    <x v="2"/>
    <x v="10"/>
    <x v="10"/>
    <s v="UPCOM"/>
    <s v="1770"/>
    <n v="0.62523626101872942"/>
    <n v="0.85047252203745882"/>
    <n v="0.4"/>
    <n v="2052085000"/>
    <n v="20.6"/>
    <n v="16"/>
  </r>
  <r>
    <x v="2"/>
    <x v="8"/>
    <x v="8"/>
    <s v="HNX"/>
    <s v="3570"/>
    <n v="0.61898881242055093"/>
    <n v="0.93797762484110192"/>
    <n v="0.3"/>
    <n v="4992249000"/>
    <n v="40"/>
    <n v="17"/>
  </r>
  <r>
    <x v="2"/>
    <x v="33"/>
    <x v="33"/>
    <s v="HSX"/>
    <s v="8630"/>
    <n v="0.61254151374736554"/>
    <n v="0.72508302749473108"/>
    <n v="0.5"/>
    <n v="3278465660"/>
    <n v="2.11"/>
    <n v="18"/>
  </r>
  <r>
    <x v="2"/>
    <x v="34"/>
    <x v="34"/>
    <s v="HSX"/>
    <s v="1750"/>
    <n v="0.61139514216571045"/>
    <n v="0.97279028433142078"/>
    <n v="0.25"/>
    <n v="2722466140"/>
    <n v="6.05"/>
    <n v="19"/>
  </r>
  <r>
    <x v="2"/>
    <x v="20"/>
    <x v="20"/>
    <s v="UPCOM"/>
    <s v="3570"/>
    <n v="0.60069653116430799"/>
    <n v="0.75139306232861602"/>
    <n v="0.45"/>
    <n v="43587885000"/>
    <n v="7.5"/>
    <n v="20"/>
  </r>
  <r>
    <x v="3"/>
    <x v="4"/>
    <x v="4"/>
    <s v="HNX"/>
    <s v="2350"/>
    <n v="0.74658145154958522"/>
    <n v="0.89316290309917046"/>
    <n v="0.6"/>
    <n v="5866700600"/>
    <n v="13.3"/>
    <n v="1"/>
  </r>
  <r>
    <x v="3"/>
    <x v="11"/>
    <x v="11"/>
    <s v="UPCOM"/>
    <s v="1770"/>
    <n v="0.7375657310888355"/>
    <n v="0.92513146217767106"/>
    <n v="0.55000000000000004"/>
    <n v="3275986800"/>
    <n v="24"/>
    <n v="2"/>
  </r>
  <r>
    <x v="3"/>
    <x v="35"/>
    <x v="35"/>
    <s v="HSX"/>
    <s v="8780"/>
    <n v="0.72872781005954756"/>
    <n v="0.95745562011909502"/>
    <n v="0.5"/>
    <n v="23359785800"/>
    <n v="56.4"/>
    <n v="3"/>
  </r>
  <r>
    <x v="3"/>
    <x v="17"/>
    <x v="17"/>
    <s v="HSX"/>
    <s v="1350"/>
    <n v="0.71788713834161533"/>
    <n v="0.93577427668323065"/>
    <n v="0.5"/>
    <n v="21283293200"/>
    <n v="64.900000000000006"/>
    <n v="4"/>
  </r>
  <r>
    <x v="3"/>
    <x v="12"/>
    <x v="12"/>
    <s v="UPCOM"/>
    <s v="8780"/>
    <n v="0.67539098535818198"/>
    <n v="0.90078197071636401"/>
    <n v="0.45"/>
    <n v="8070996200"/>
    <n v="9.1999999999999993"/>
    <n v="5"/>
  </r>
  <r>
    <x v="3"/>
    <x v="5"/>
    <x v="5"/>
    <s v="UPCOM"/>
    <s v="8780"/>
    <n v="0.66661942199432933"/>
    <n v="0.6332388439886586"/>
    <n v="0.7"/>
    <n v="3819662000"/>
    <n v="11.8"/>
    <n v="6"/>
  </r>
  <r>
    <x v="3"/>
    <x v="34"/>
    <x v="34"/>
    <s v="HSX"/>
    <s v="1750"/>
    <n v="0.66472358326243197"/>
    <n v="0.97944716652486397"/>
    <n v="0.35"/>
    <n v="2866008940"/>
    <n v="6.15"/>
    <n v="7"/>
  </r>
  <r>
    <x v="3"/>
    <x v="27"/>
    <x v="27"/>
    <s v="HSX"/>
    <s v="3570"/>
    <n v="0.6599276543060042"/>
    <n v="0.8198553086120085"/>
    <n v="0.5"/>
    <n v="27564482700"/>
    <n v="14.4"/>
    <n v="8"/>
  </r>
  <r>
    <x v="3"/>
    <x v="36"/>
    <x v="36"/>
    <s v="HNX"/>
    <s v="1770"/>
    <n v="0.65606311473850176"/>
    <n v="0.9121262294770035"/>
    <n v="0.4"/>
    <n v="2028803800"/>
    <n v="58"/>
    <n v="9"/>
  </r>
  <r>
    <x v="3"/>
    <x v="20"/>
    <x v="20"/>
    <s v="UPCOM"/>
    <s v="3570"/>
    <n v="0.65476041242573246"/>
    <n v="0.70952082485146484"/>
    <n v="0.6"/>
    <n v="43622499800"/>
    <n v="7.6"/>
    <n v="10"/>
  </r>
  <r>
    <x v="3"/>
    <x v="24"/>
    <x v="24"/>
    <s v="HNX"/>
    <s v="8630"/>
    <n v="0.65218295813500593"/>
    <n v="0.95436591627001188"/>
    <n v="0.35"/>
    <n v="5306979200"/>
    <n v="5.9"/>
    <n v="11"/>
  </r>
  <r>
    <x v="3"/>
    <x v="8"/>
    <x v="8"/>
    <s v="HNX"/>
    <s v="3570"/>
    <n v="0.64740583798101148"/>
    <n v="0.844811675962023"/>
    <n v="0.45"/>
    <n v="4956677800"/>
    <n v="38"/>
    <n v="12"/>
  </r>
  <r>
    <x v="3"/>
    <x v="32"/>
    <x v="32"/>
    <s v="UPCOM"/>
    <s v="1350"/>
    <n v="0.64472050320495522"/>
    <n v="0.88944100640991053"/>
    <n v="0.4"/>
    <n v="21617811800"/>
    <n v="15.8"/>
    <n v="13"/>
  </r>
  <r>
    <x v="3"/>
    <x v="29"/>
    <x v="29"/>
    <s v="HSX"/>
    <s v="8630"/>
    <n v="0.64186436491945931"/>
    <n v="0.93372872983891864"/>
    <n v="0.35"/>
    <n v="4217002800"/>
    <n v="108"/>
    <n v="14"/>
  </r>
  <r>
    <x v="3"/>
    <x v="1"/>
    <x v="1"/>
    <s v="HNX"/>
    <s v="1770"/>
    <n v="0.6340722747616262"/>
    <n v="0.46814454952325241"/>
    <n v="0.8"/>
    <n v="16097237400"/>
    <n v="204.5"/>
    <n v="15"/>
  </r>
  <r>
    <x v="3"/>
    <x v="37"/>
    <x v="37"/>
    <s v="HSX"/>
    <s v="3570"/>
    <n v="0.63377172907126056"/>
    <n v="0.76754345814252112"/>
    <n v="0.5"/>
    <n v="38318548400"/>
    <n v="28.35"/>
    <n v="16"/>
  </r>
  <r>
    <x v="3"/>
    <x v="0"/>
    <x v="0"/>
    <s v="UPCOM"/>
    <s v="1770"/>
    <n v="0.62781838974683524"/>
    <n v="0.95563677949367043"/>
    <n v="0.3"/>
    <n v="38587230400"/>
    <n v="21.1"/>
    <n v="17"/>
  </r>
  <r>
    <x v="3"/>
    <x v="3"/>
    <x v="3"/>
    <s v="UPCOM"/>
    <s v="1750"/>
    <n v="0.62518046852662379"/>
    <n v="0.65036093705324749"/>
    <n v="0.6"/>
    <n v="5068619000"/>
    <n v="9.1999999999999993"/>
    <n v="18"/>
  </r>
  <r>
    <x v="3"/>
    <x v="7"/>
    <x v="7"/>
    <s v="UPCOM"/>
    <s v="4570"/>
    <n v="0.60809747370932388"/>
    <n v="0.81619494741864762"/>
    <n v="0.4"/>
    <n v="4096531400"/>
    <n v="28.8"/>
    <n v="19"/>
  </r>
  <r>
    <x v="3"/>
    <x v="26"/>
    <x v="26"/>
    <s v="HSX"/>
    <s v="1350"/>
    <n v="0.60078692147386337"/>
    <n v="0.90157384294772669"/>
    <n v="0.3"/>
    <n v="16766841600"/>
    <n v="84.1"/>
    <n v="20"/>
  </r>
  <r>
    <x v="4"/>
    <x v="4"/>
    <x v="4"/>
    <s v="HNX"/>
    <s v="2350"/>
    <n v="0.77683068617012374"/>
    <n v="0.90366137234024757"/>
    <n v="0.65"/>
    <n v="6032199800"/>
    <n v="13.3"/>
    <n v="1"/>
  </r>
  <r>
    <x v="4"/>
    <x v="24"/>
    <x v="24"/>
    <s v="HNX"/>
    <s v="8630"/>
    <n v="0.73671294267171716"/>
    <n v="0.92342588534343428"/>
    <n v="0.55000000000000004"/>
    <n v="5339976800"/>
    <n v="5.8"/>
    <n v="2"/>
  </r>
  <r>
    <x v="4"/>
    <x v="11"/>
    <x v="11"/>
    <s v="UPCOM"/>
    <s v="1770"/>
    <n v="0.73548513136055604"/>
    <n v="0.87097026272111211"/>
    <n v="0.6"/>
    <n v="3278132800"/>
    <n v="23"/>
    <n v="3"/>
  </r>
  <r>
    <x v="4"/>
    <x v="8"/>
    <x v="8"/>
    <s v="HNX"/>
    <s v="3570"/>
    <n v="0.72125979962253428"/>
    <n v="0.89251959924506863"/>
    <n v="0.55000000000000004"/>
    <n v="4876505800"/>
    <n v="39"/>
    <n v="4"/>
  </r>
  <r>
    <x v="4"/>
    <x v="23"/>
    <x v="23"/>
    <s v="HSX"/>
    <s v="8350"/>
    <n v="0.71468385501176102"/>
    <n v="0.77936771002352201"/>
    <n v="0.65"/>
    <n v="276030208700"/>
    <n v="42.4"/>
    <n v="5"/>
  </r>
  <r>
    <x v="4"/>
    <x v="36"/>
    <x v="36"/>
    <s v="HNX"/>
    <s v="1770"/>
    <n v="0.71284460225660551"/>
    <n v="0.87568920451321097"/>
    <n v="0.55000000000000004"/>
    <n v="2102044000"/>
    <n v="53.1"/>
    <n v="6"/>
  </r>
  <r>
    <x v="4"/>
    <x v="17"/>
    <x v="17"/>
    <s v="HSX"/>
    <s v="1350"/>
    <n v="0.70924083276292638"/>
    <n v="0.91848166552585275"/>
    <n v="0.5"/>
    <n v="22106617200"/>
    <n v="65"/>
    <n v="7"/>
  </r>
  <r>
    <x v="4"/>
    <x v="27"/>
    <x v="27"/>
    <s v="HSX"/>
    <s v="3570"/>
    <n v="0.68173182303270607"/>
    <n v="0.8134636460654121"/>
    <n v="0.55000000000000004"/>
    <n v="28139321900"/>
    <n v="14.6"/>
    <n v="8"/>
  </r>
  <r>
    <x v="4"/>
    <x v="35"/>
    <x v="35"/>
    <s v="HSX"/>
    <s v="8780"/>
    <n v="0.67974667465039595"/>
    <n v="0.90949334930079195"/>
    <n v="0.45"/>
    <n v="23895565000"/>
    <n v="55.9"/>
    <n v="9"/>
  </r>
  <r>
    <x v="4"/>
    <x v="38"/>
    <x v="38"/>
    <s v="HSX"/>
    <s v="8780"/>
    <n v="0.66274066634936968"/>
    <n v="0.77548133269873931"/>
    <n v="0.55000000000000004"/>
    <n v="30257698000"/>
    <n v="20.8"/>
    <n v="10"/>
  </r>
  <r>
    <x v="4"/>
    <x v="20"/>
    <x v="20"/>
    <s v="UPCOM"/>
    <s v="3570"/>
    <n v="0.65496957739016193"/>
    <n v="0.70993915478032388"/>
    <n v="0.6"/>
    <n v="42900365000"/>
    <n v="7.6"/>
    <n v="11"/>
  </r>
  <r>
    <x v="4"/>
    <x v="5"/>
    <x v="5"/>
    <s v="UPCOM"/>
    <s v="8780"/>
    <n v="0.6502786664091954"/>
    <n v="0.60055733281839085"/>
    <n v="0.7"/>
    <n v="3896977000"/>
    <n v="11.9"/>
    <n v="12"/>
  </r>
  <r>
    <x v="4"/>
    <x v="39"/>
    <x v="39"/>
    <s v="HSX"/>
    <s v="8630"/>
    <n v="0.64860844611755053"/>
    <n v="0.84721689223510099"/>
    <n v="0.45"/>
    <n v="73115612000"/>
    <n v="17.75"/>
    <n v="13"/>
  </r>
  <r>
    <x v="4"/>
    <x v="26"/>
    <x v="26"/>
    <s v="HSX"/>
    <s v="1350"/>
    <n v="0.64591578767694058"/>
    <n v="0.89183157535388102"/>
    <n v="0.4"/>
    <n v="16998102800"/>
    <n v="82.6"/>
    <n v="14"/>
  </r>
  <r>
    <x v="4"/>
    <x v="12"/>
    <x v="12"/>
    <s v="UPCOM"/>
    <s v="8780"/>
    <n v="0.64338469464109438"/>
    <n v="0.88676938928218885"/>
    <n v="0.4"/>
    <n v="8405892200"/>
    <n v="9.1999999999999993"/>
    <n v="15"/>
  </r>
  <r>
    <x v="4"/>
    <x v="28"/>
    <x v="28"/>
    <s v="UPCOM"/>
    <s v="2770"/>
    <n v="0.64235618906039593"/>
    <n v="0.78471237812079198"/>
    <n v="0.5"/>
    <n v="7658076400"/>
    <n v="137.5"/>
    <n v="16"/>
  </r>
  <r>
    <x v="4"/>
    <x v="40"/>
    <x v="40"/>
    <s v="HSX"/>
    <s v="4530"/>
    <n v="0.64149084932567546"/>
    <n v="0.98298169865135088"/>
    <n v="0.3"/>
    <n v="3432328640"/>
    <n v="5.33"/>
    <n v="17"/>
  </r>
  <r>
    <x v="4"/>
    <x v="30"/>
    <x v="30"/>
    <s v="HSX"/>
    <s v="8630"/>
    <n v="0.63179473916693218"/>
    <n v="0.71358947833386432"/>
    <n v="0.55000000000000004"/>
    <n v="11548686840"/>
    <n v="8.35"/>
    <n v="18"/>
  </r>
  <r>
    <x v="4"/>
    <x v="41"/>
    <x v="41"/>
    <s v="HSX"/>
    <s v="8350"/>
    <n v="0.62994840184871836"/>
    <n v="0.45989680369743657"/>
    <n v="0.8"/>
    <n v="107307892400"/>
    <n v="35.4"/>
    <n v="19"/>
  </r>
  <r>
    <x v="4"/>
    <x v="42"/>
    <x v="42"/>
    <s v="HSX"/>
    <s v="2770"/>
    <n v="0.62068420534880331"/>
    <n v="0.74136841069760673"/>
    <n v="0.5"/>
    <n v="2854442900"/>
    <n v="12.65"/>
    <n v="20"/>
  </r>
  <r>
    <x v="5"/>
    <x v="11"/>
    <x v="11"/>
    <s v="UPCOM"/>
    <s v="1770"/>
    <n v="0.76934656372779353"/>
    <n v="0.93869312745558708"/>
    <n v="0.6"/>
    <n v="3362348800"/>
    <n v="25.3"/>
    <n v="1"/>
  </r>
  <r>
    <x v="5"/>
    <x v="27"/>
    <x v="27"/>
    <s v="HSX"/>
    <s v="3570"/>
    <n v="0.76061700659068054"/>
    <n v="0.87123401318136118"/>
    <n v="0.65"/>
    <n v="28897527100"/>
    <n v="15"/>
    <n v="2"/>
  </r>
  <r>
    <x v="5"/>
    <x v="40"/>
    <x v="40"/>
    <s v="HSX"/>
    <s v="4530"/>
    <n v="0.75536062595275166"/>
    <n v="0.96072125190550339"/>
    <n v="0.55000000000000004"/>
    <n v="3504046800"/>
    <n v="5.22"/>
    <n v="3"/>
  </r>
  <r>
    <x v="5"/>
    <x v="4"/>
    <x v="4"/>
    <s v="HNX"/>
    <s v="2350"/>
    <n v="0.73437424529926099"/>
    <n v="0.86874849059852199"/>
    <n v="0.6"/>
    <n v="6097244400"/>
    <n v="13.3"/>
    <n v="4"/>
  </r>
  <r>
    <x v="5"/>
    <x v="6"/>
    <x v="6"/>
    <s v="HSX"/>
    <s v="8630"/>
    <n v="0.73206998794578659"/>
    <n v="0.86413997589157321"/>
    <n v="0.6"/>
    <n v="14579932100"/>
    <n v="13.1"/>
    <n v="5"/>
  </r>
  <r>
    <x v="5"/>
    <x v="28"/>
    <x v="28"/>
    <s v="UPCOM"/>
    <s v="2770"/>
    <n v="0.70606664262090524"/>
    <n v="0.76213328524181057"/>
    <n v="0.65"/>
    <n v="7674205800"/>
    <n v="135.9"/>
    <n v="6"/>
  </r>
  <r>
    <x v="5"/>
    <x v="12"/>
    <x v="12"/>
    <s v="UPCOM"/>
    <s v="8780"/>
    <n v="0.68839094834203873"/>
    <n v="0.82678189668407753"/>
    <n v="0.55000000000000004"/>
    <n v="8460728400"/>
    <n v="9"/>
    <n v="7"/>
  </r>
  <r>
    <x v="5"/>
    <x v="24"/>
    <x v="24"/>
    <s v="HNX"/>
    <s v="8630"/>
    <n v="0.68669869747409462"/>
    <n v="0.92339739494818918"/>
    <n v="0.45"/>
    <n v="5540890200"/>
    <n v="5.9"/>
    <n v="8"/>
  </r>
  <r>
    <x v="5"/>
    <x v="43"/>
    <x v="43"/>
    <s v="HSX"/>
    <s v="8630"/>
    <n v="0.68661238189701967"/>
    <n v="0.92322476379403939"/>
    <n v="0.45"/>
    <n v="28249632600"/>
    <n v="80.2"/>
    <n v="9"/>
  </r>
  <r>
    <x v="5"/>
    <x v="17"/>
    <x v="17"/>
    <s v="HSX"/>
    <s v="1350"/>
    <n v="0.68302082295817323"/>
    <n v="0.9160416459163464"/>
    <n v="0.45"/>
    <n v="23402106800"/>
    <n v="64.5"/>
    <n v="10"/>
  </r>
  <r>
    <x v="5"/>
    <x v="35"/>
    <x v="35"/>
    <s v="HSX"/>
    <s v="8780"/>
    <n v="0.68203183549264879"/>
    <n v="0.91406367098529762"/>
    <n v="0.45"/>
    <n v="24912573000"/>
    <n v="56"/>
    <n v="11"/>
  </r>
  <r>
    <x v="5"/>
    <x v="23"/>
    <x v="23"/>
    <s v="HSX"/>
    <s v="8350"/>
    <n v="0.67971054534195363"/>
    <n v="0.75942109068390728"/>
    <n v="0.6"/>
    <n v="281338237100"/>
    <n v="42.45"/>
    <n v="12"/>
  </r>
  <r>
    <x v="5"/>
    <x v="44"/>
    <x v="44"/>
    <s v="HSX"/>
    <s v="8780"/>
    <n v="0.67825393543341084"/>
    <n v="0.7565078708668217"/>
    <n v="0.6"/>
    <n v="238551997400"/>
    <n v="39.25"/>
    <n v="13"/>
  </r>
  <r>
    <x v="5"/>
    <x v="2"/>
    <x v="2"/>
    <s v="HNX"/>
    <s v="1770"/>
    <n v="0.67295266905259621"/>
    <n v="0.79590533810519237"/>
    <n v="0.55000000000000004"/>
    <n v="2641384800"/>
    <n v="330"/>
    <n v="14"/>
  </r>
  <r>
    <x v="5"/>
    <x v="26"/>
    <x v="26"/>
    <s v="HSX"/>
    <s v="1350"/>
    <n v="0.66582524391161002"/>
    <n v="0.88165048782322009"/>
    <n v="0.45"/>
    <n v="17200183600"/>
    <n v="82.2"/>
    <n v="15"/>
  </r>
  <r>
    <x v="5"/>
    <x v="10"/>
    <x v="10"/>
    <s v="UPCOM"/>
    <s v="1770"/>
    <n v="0.66347469636527956"/>
    <n v="0.72694939273055914"/>
    <n v="0.6"/>
    <n v="2118457600"/>
    <n v="22"/>
    <n v="16"/>
  </r>
  <r>
    <x v="5"/>
    <x v="36"/>
    <x v="36"/>
    <s v="HNX"/>
    <s v="1770"/>
    <n v="0.64636026632581534"/>
    <n v="0.8427205326516306"/>
    <n v="0.45"/>
    <n v="2148042600"/>
    <n v="58.4"/>
    <n v="17"/>
  </r>
  <r>
    <x v="5"/>
    <x v="3"/>
    <x v="3"/>
    <s v="UPCOM"/>
    <s v="1750"/>
    <n v="0.64502498807585162"/>
    <n v="0.69004997615170327"/>
    <n v="0.6"/>
    <n v="5208347000"/>
    <n v="9.1"/>
    <n v="18"/>
  </r>
  <r>
    <x v="5"/>
    <x v="45"/>
    <x v="45"/>
    <s v="HSX"/>
    <s v="2730"/>
    <n v="0.63885484049117414"/>
    <n v="0.97770968098234834"/>
    <n v="0.3"/>
    <n v="34521553200"/>
    <n v="67.900000000000006"/>
    <n v="19"/>
  </r>
  <r>
    <x v="5"/>
    <x v="46"/>
    <x v="46"/>
    <s v="HSX"/>
    <s v="9570"/>
    <n v="0.63422055208177108"/>
    <n v="0.66844110416354219"/>
    <n v="0.6"/>
    <n v="4117258060"/>
    <n v="7.35"/>
    <n v="20"/>
  </r>
  <r>
    <x v="6"/>
    <x v="24"/>
    <x v="24"/>
    <s v="HNX"/>
    <s v="8630"/>
    <n v="0.83587276298560997"/>
    <n v="0.77174552597121993"/>
    <n v="0.9"/>
    <n v="5363388600"/>
    <n v="5.8"/>
    <n v="1"/>
  </r>
  <r>
    <x v="6"/>
    <x v="40"/>
    <x v="40"/>
    <s v="HSX"/>
    <s v="4530"/>
    <n v="0.79858863906740651"/>
    <n v="0.94717727813481301"/>
    <n v="0.65"/>
    <n v="3545601300"/>
    <n v="5.29"/>
    <n v="2"/>
  </r>
  <r>
    <x v="6"/>
    <x v="11"/>
    <x v="11"/>
    <s v="UPCOM"/>
    <s v="1770"/>
    <n v="0.74024217398000447"/>
    <n v="0.93048434796000901"/>
    <n v="0.55000000000000004"/>
    <n v="3407570000"/>
    <n v="24.8"/>
    <n v="3"/>
  </r>
  <r>
    <x v="6"/>
    <x v="4"/>
    <x v="4"/>
    <s v="HNX"/>
    <s v="2350"/>
    <n v="0.70533125218951642"/>
    <n v="0.8606625043790328"/>
    <n v="0.55000000000000004"/>
    <n v="6230005600"/>
    <n v="13.2"/>
    <n v="4"/>
  </r>
  <r>
    <x v="6"/>
    <x v="36"/>
    <x v="36"/>
    <s v="HNX"/>
    <s v="1770"/>
    <n v="0.68266566700597686"/>
    <n v="0.91533133401195377"/>
    <n v="0.45"/>
    <n v="2284691000"/>
    <n v="64.2"/>
    <n v="5"/>
  </r>
  <r>
    <x v="6"/>
    <x v="35"/>
    <x v="35"/>
    <s v="HSX"/>
    <s v="8780"/>
    <n v="0.66842907404437579"/>
    <n v="0.93685814808875156"/>
    <n v="0.4"/>
    <n v="25998713400"/>
    <n v="57.2"/>
    <n v="6"/>
  </r>
  <r>
    <x v="6"/>
    <x v="45"/>
    <x v="45"/>
    <s v="HSX"/>
    <s v="2730"/>
    <n v="0.66714131036640378"/>
    <n v="0.98428262073280759"/>
    <n v="0.35"/>
    <n v="36377048800"/>
    <n v="70"/>
    <n v="7"/>
  </r>
  <r>
    <x v="6"/>
    <x v="8"/>
    <x v="8"/>
    <s v="HNX"/>
    <s v="3570"/>
    <n v="0.66652657242365443"/>
    <n v="0.7830531448473087"/>
    <n v="0.55000000000000004"/>
    <n v="4730884600"/>
    <n v="37"/>
    <n v="8"/>
  </r>
  <r>
    <x v="6"/>
    <x v="17"/>
    <x v="17"/>
    <s v="HSX"/>
    <s v="1350"/>
    <n v="0.66394556424851325"/>
    <n v="0.92789112849702649"/>
    <n v="0.4"/>
    <n v="25296684400"/>
    <n v="64.8"/>
    <n v="9"/>
  </r>
  <r>
    <x v="6"/>
    <x v="27"/>
    <x v="27"/>
    <s v="HSX"/>
    <s v="3570"/>
    <n v="0.66090470921438782"/>
    <n v="0.82180941842877575"/>
    <n v="0.5"/>
    <n v="29412546400"/>
    <n v="14.95"/>
    <n v="10"/>
  </r>
  <r>
    <x v="6"/>
    <x v="47"/>
    <x v="47"/>
    <s v="HSX"/>
    <s v="3350"/>
    <n v="0.66061146548032257"/>
    <n v="0.72122293096064527"/>
    <n v="0.6"/>
    <n v="13985586900"/>
    <n v="18"/>
    <n v="11"/>
  </r>
  <r>
    <x v="6"/>
    <x v="26"/>
    <x v="26"/>
    <s v="HSX"/>
    <s v="1350"/>
    <n v="0.65757307448190605"/>
    <n v="0.86514614896381214"/>
    <n v="0.45"/>
    <n v="17316340000"/>
    <n v="82.2"/>
    <n v="12"/>
  </r>
  <r>
    <x v="6"/>
    <x v="48"/>
    <x v="48"/>
    <s v="HNX"/>
    <s v="8770"/>
    <n v="0.65706494754620826"/>
    <n v="0.86412989509241656"/>
    <n v="0.45"/>
    <n v="2085326400"/>
    <n v="13.8"/>
    <n v="13"/>
  </r>
  <r>
    <x v="6"/>
    <x v="6"/>
    <x v="6"/>
    <s v="HSX"/>
    <s v="8630"/>
    <n v="0.65606156208364586"/>
    <n v="0.81212312416729171"/>
    <n v="0.5"/>
    <n v="14919808700"/>
    <n v="13.3"/>
    <n v="14"/>
  </r>
  <r>
    <x v="6"/>
    <x v="28"/>
    <x v="28"/>
    <s v="UPCOM"/>
    <s v="2770"/>
    <n v="0.65385104881233402"/>
    <n v="0.85770209762466809"/>
    <n v="0.45"/>
    <n v="7903219800"/>
    <n v="138.5"/>
    <n v="15"/>
  </r>
  <r>
    <x v="6"/>
    <x v="23"/>
    <x v="23"/>
    <s v="HSX"/>
    <s v="8350"/>
    <n v="0.64173625831277259"/>
    <n v="0.73347251662554502"/>
    <n v="0.55000000000000004"/>
    <n v="285008629100"/>
    <n v="42.6"/>
    <n v="16"/>
  </r>
  <r>
    <x v="6"/>
    <x v="38"/>
    <x v="38"/>
    <s v="HSX"/>
    <s v="8780"/>
    <n v="0.63896774839423287"/>
    <n v="0.67793549678846576"/>
    <n v="0.6"/>
    <n v="30414970400"/>
    <n v="20.8"/>
    <n v="17"/>
  </r>
  <r>
    <x v="6"/>
    <x v="43"/>
    <x v="43"/>
    <s v="HSX"/>
    <s v="8630"/>
    <n v="0.63705315748752223"/>
    <n v="0.87410631497504443"/>
    <n v="0.4"/>
    <n v="28854908200"/>
    <n v="80.2"/>
    <n v="18"/>
  </r>
  <r>
    <x v="6"/>
    <x v="10"/>
    <x v="10"/>
    <s v="UPCOM"/>
    <s v="1770"/>
    <n v="0.6313487983989805"/>
    <n v="0.76269759679796112"/>
    <n v="0.5"/>
    <n v="2170662600"/>
    <n v="22"/>
    <n v="19"/>
  </r>
  <r>
    <x v="6"/>
    <x v="49"/>
    <x v="49"/>
    <s v="HSX"/>
    <s v="8780"/>
    <n v="0.62965635676783549"/>
    <n v="0.70931271353567105"/>
    <n v="0.55000000000000004"/>
    <n v="155241703000"/>
    <n v="14.35"/>
    <n v="20"/>
  </r>
  <r>
    <x v="7"/>
    <x v="24"/>
    <x v="24"/>
    <s v="HNX"/>
    <s v="8630"/>
    <n v="0.85423250752487667"/>
    <n v="0.85846501504975348"/>
    <n v="0.85"/>
    <n v="5435557600"/>
    <n v="5.9"/>
    <n v="1"/>
  </r>
  <r>
    <x v="7"/>
    <x v="4"/>
    <x v="4"/>
    <s v="HNX"/>
    <s v="2350"/>
    <n v="0.75351406777769814"/>
    <n v="0.9070281355553963"/>
    <n v="0.6"/>
    <n v="6593049600"/>
    <n v="13.2"/>
    <n v="2"/>
  </r>
  <r>
    <x v="7"/>
    <x v="11"/>
    <x v="11"/>
    <s v="UPCOM"/>
    <s v="1770"/>
    <n v="0.74873113498644384"/>
    <n v="0.89746226997288781"/>
    <n v="0.6"/>
    <n v="3411962000"/>
    <n v="24"/>
    <n v="3"/>
  </r>
  <r>
    <x v="7"/>
    <x v="48"/>
    <x v="48"/>
    <s v="HNX"/>
    <s v="8770"/>
    <n v="0.74505843439889641"/>
    <n v="0.94011686879779266"/>
    <n v="0.55000000000000004"/>
    <n v="2282217800"/>
    <n v="14.3"/>
    <n v="4"/>
  </r>
  <r>
    <x v="7"/>
    <x v="26"/>
    <x v="26"/>
    <s v="HSX"/>
    <s v="1350"/>
    <n v="0.73680354846590879"/>
    <n v="0.82360709693181755"/>
    <n v="0.65"/>
    <n v="17317813200"/>
    <n v="81.7"/>
    <n v="5"/>
  </r>
  <r>
    <x v="7"/>
    <x v="40"/>
    <x v="40"/>
    <s v="HSX"/>
    <s v="4530"/>
    <n v="0.73414705204588904"/>
    <n v="0.96829410409177807"/>
    <n v="0.5"/>
    <n v="3607957300"/>
    <n v="5.41"/>
    <n v="6"/>
  </r>
  <r>
    <x v="7"/>
    <x v="8"/>
    <x v="8"/>
    <s v="HNX"/>
    <s v="3570"/>
    <n v="0.7275811830337231"/>
    <n v="0.85516236606744622"/>
    <n v="0.6"/>
    <n v="4775689800"/>
    <n v="37.6"/>
    <n v="7"/>
  </r>
  <r>
    <x v="7"/>
    <x v="50"/>
    <x v="50"/>
    <s v="HSX"/>
    <s v="8630"/>
    <n v="0.71634506494168915"/>
    <n v="0.88269012988337836"/>
    <n v="0.55000000000000004"/>
    <n v="32390389600"/>
    <n v="15.95"/>
    <n v="8"/>
  </r>
  <r>
    <x v="7"/>
    <x v="28"/>
    <x v="28"/>
    <s v="UPCOM"/>
    <s v="2770"/>
    <n v="0.71575268087534871"/>
    <n v="0.78150536175069751"/>
    <n v="0.65"/>
    <n v="8002411800"/>
    <n v="137"/>
    <n v="9"/>
  </r>
  <r>
    <x v="7"/>
    <x v="45"/>
    <x v="45"/>
    <s v="HSX"/>
    <s v="2730"/>
    <n v="0.68980468684613183"/>
    <n v="0.97960937369226364"/>
    <n v="0.4"/>
    <n v="38021413100"/>
    <n v="71"/>
    <n v="10"/>
  </r>
  <r>
    <x v="7"/>
    <x v="23"/>
    <x v="23"/>
    <s v="HSX"/>
    <s v="8350"/>
    <n v="0.67630194821803358"/>
    <n v="0.75260389643606718"/>
    <n v="0.6"/>
    <n v="290934889200"/>
    <n v="42.65"/>
    <n v="11"/>
  </r>
  <r>
    <x v="7"/>
    <x v="27"/>
    <x v="27"/>
    <s v="HSX"/>
    <s v="3570"/>
    <n v="0.66141896150648338"/>
    <n v="0.82283792301296688"/>
    <n v="0.5"/>
    <n v="29970418800"/>
    <n v="15"/>
    <n v="12"/>
  </r>
  <r>
    <x v="7"/>
    <x v="36"/>
    <x v="36"/>
    <s v="HNX"/>
    <s v="1770"/>
    <n v="0.65903302482195381"/>
    <n v="0.91806604964390748"/>
    <n v="0.4"/>
    <n v="2429006600"/>
    <n v="69"/>
    <n v="13"/>
  </r>
  <r>
    <x v="7"/>
    <x v="51"/>
    <x v="51"/>
    <s v="HSX"/>
    <s v="2350"/>
    <n v="0.65692938037775972"/>
    <n v="0.86385876075551948"/>
    <n v="0.45"/>
    <n v="7718914580"/>
    <n v="11.55"/>
    <n v="14"/>
  </r>
  <r>
    <x v="7"/>
    <x v="35"/>
    <x v="35"/>
    <s v="HSX"/>
    <s v="8780"/>
    <n v="0.6519876474561157"/>
    <n v="0.90397529491223128"/>
    <n v="0.4"/>
    <n v="26833523400"/>
    <n v="56.5"/>
    <n v="15"/>
  </r>
  <r>
    <x v="7"/>
    <x v="44"/>
    <x v="44"/>
    <s v="HSX"/>
    <s v="8780"/>
    <n v="0.64922428860567949"/>
    <n v="0.698448577211359"/>
    <n v="0.6"/>
    <n v="250656750500"/>
    <n v="39.25"/>
    <n v="16"/>
  </r>
  <r>
    <x v="7"/>
    <x v="43"/>
    <x v="43"/>
    <s v="HSX"/>
    <s v="8630"/>
    <n v="0.64905976096648477"/>
    <n v="0.8981195219329694"/>
    <n v="0.4"/>
    <n v="29995806800"/>
    <n v="80.599999999999994"/>
    <n v="17"/>
  </r>
  <r>
    <x v="7"/>
    <x v="38"/>
    <x v="38"/>
    <s v="HSX"/>
    <s v="8780"/>
    <n v="0.64245954908530933"/>
    <n v="0.63491909817061853"/>
    <n v="0.65"/>
    <n v="30410489000"/>
    <n v="20.7"/>
    <n v="18"/>
  </r>
  <r>
    <x v="7"/>
    <x v="17"/>
    <x v="17"/>
    <s v="HSX"/>
    <s v="1350"/>
    <n v="0.64077612253322891"/>
    <n v="0.8815522450664578"/>
    <n v="0.4"/>
    <n v="26282049600"/>
    <n v="64.2"/>
    <n v="19"/>
  </r>
  <r>
    <x v="7"/>
    <x v="22"/>
    <x v="22"/>
    <s v="HSX"/>
    <s v="8630"/>
    <n v="0.64001138491859055"/>
    <n v="0.93002276983718113"/>
    <n v="0.35"/>
    <n v="14683708660"/>
    <n v="6.7"/>
    <n v="20"/>
  </r>
  <r>
    <x v="8"/>
    <x v="11"/>
    <x v="11"/>
    <s v="UPCOM"/>
    <s v="1770"/>
    <n v="0.81770690816050839"/>
    <n v="0.73541381632101677"/>
    <n v="0.9"/>
    <n v="3465090400"/>
    <n v="22.6"/>
    <n v="1"/>
  </r>
  <r>
    <x v="8"/>
    <x v="24"/>
    <x v="24"/>
    <s v="HNX"/>
    <s v="8630"/>
    <n v="0.79823223722773029"/>
    <n v="0.79646447445546054"/>
    <n v="0.8"/>
    <n v="5564866000"/>
    <n v="5.7"/>
    <n v="2"/>
  </r>
  <r>
    <x v="8"/>
    <x v="8"/>
    <x v="8"/>
    <s v="HNX"/>
    <s v="3570"/>
    <n v="0.76514510951873693"/>
    <n v="0.8302902190374738"/>
    <n v="0.7"/>
    <n v="4745943800"/>
    <n v="37.799999999999997"/>
    <n v="3"/>
  </r>
  <r>
    <x v="8"/>
    <x v="48"/>
    <x v="48"/>
    <s v="HNX"/>
    <s v="8770"/>
    <n v="0.73313830542043124"/>
    <n v="0.91627661084086232"/>
    <n v="0.55000000000000004"/>
    <n v="2393180800"/>
    <n v="14.2"/>
    <n v="4"/>
  </r>
  <r>
    <x v="8"/>
    <x v="40"/>
    <x v="40"/>
    <s v="HSX"/>
    <s v="4530"/>
    <n v="0.73127182446223282"/>
    <n v="0.96254364892446564"/>
    <n v="0.5"/>
    <n v="3674795380"/>
    <n v="5.44"/>
    <n v="5"/>
  </r>
  <r>
    <x v="8"/>
    <x v="4"/>
    <x v="4"/>
    <s v="HNX"/>
    <s v="2350"/>
    <n v="0.72086058771094985"/>
    <n v="0.84172117542189973"/>
    <n v="0.6"/>
    <n v="6667828800"/>
    <n v="13.2"/>
    <n v="6"/>
  </r>
  <r>
    <x v="8"/>
    <x v="27"/>
    <x v="27"/>
    <s v="HSX"/>
    <s v="3570"/>
    <n v="0.68802386550165706"/>
    <n v="0.82604773100331408"/>
    <n v="0.55000000000000004"/>
    <n v="30729131000"/>
    <n v="14.9"/>
    <n v="7"/>
  </r>
  <r>
    <x v="8"/>
    <x v="45"/>
    <x v="45"/>
    <s v="HSX"/>
    <s v="2730"/>
    <n v="0.68402720407670903"/>
    <n v="0.96805440815341803"/>
    <n v="0.4"/>
    <n v="39171906700"/>
    <n v="68"/>
    <n v="8"/>
  </r>
  <r>
    <x v="8"/>
    <x v="17"/>
    <x v="17"/>
    <s v="HSX"/>
    <s v="1350"/>
    <n v="0.68153289415588969"/>
    <n v="0.91306578831177931"/>
    <n v="0.45"/>
    <n v="27597278600"/>
    <n v="65.3"/>
    <n v="9"/>
  </r>
  <r>
    <x v="8"/>
    <x v="28"/>
    <x v="28"/>
    <s v="UPCOM"/>
    <s v="2770"/>
    <n v="0.66486777792298102"/>
    <n v="0.72973555584596206"/>
    <n v="0.6"/>
    <n v="8064900600"/>
    <n v="136.4"/>
    <n v="10"/>
  </r>
  <r>
    <x v="8"/>
    <x v="36"/>
    <x v="36"/>
    <s v="HNX"/>
    <s v="1770"/>
    <n v="0.65602801745865413"/>
    <n v="0.8620560349173082"/>
    <n v="0.45"/>
    <n v="2492204000"/>
    <n v="65.099999999999994"/>
    <n v="11"/>
  </r>
  <r>
    <x v="8"/>
    <x v="52"/>
    <x v="52"/>
    <s v="HSX"/>
    <s v="2350"/>
    <n v="0.64250918927308875"/>
    <n v="0.73501837854617735"/>
    <n v="0.55000000000000004"/>
    <n v="22679765200"/>
    <n v="22.1"/>
    <n v="12"/>
  </r>
  <r>
    <x v="8"/>
    <x v="53"/>
    <x v="53"/>
    <s v="UPCOM"/>
    <s v="2770"/>
    <n v="0.6383354861606394"/>
    <n v="0.57667097232127884"/>
    <n v="0.7"/>
    <n v="11206523400"/>
    <n v="35.799999999999997"/>
    <n v="13"/>
  </r>
  <r>
    <x v="8"/>
    <x v="49"/>
    <x v="49"/>
    <s v="HSX"/>
    <s v="8780"/>
    <n v="0.63407400416793769"/>
    <n v="0.81814800833587542"/>
    <n v="0.45"/>
    <n v="181184198200"/>
    <n v="14.95"/>
    <n v="14"/>
  </r>
  <r>
    <x v="8"/>
    <x v="54"/>
    <x v="54"/>
    <s v="HSX"/>
    <s v="1350"/>
    <n v="0.63305140673834948"/>
    <n v="0.81610281347669889"/>
    <n v="0.45"/>
    <n v="32142741800"/>
    <n v="47.45"/>
    <n v="15"/>
  </r>
  <r>
    <x v="8"/>
    <x v="44"/>
    <x v="44"/>
    <s v="HSX"/>
    <s v="8780"/>
    <n v="0.63195476694423924"/>
    <n v="0.66390953388847851"/>
    <n v="0.6"/>
    <n v="255239215000"/>
    <n v="38.85"/>
    <n v="16"/>
  </r>
  <r>
    <x v="8"/>
    <x v="23"/>
    <x v="23"/>
    <s v="HSX"/>
    <s v="8350"/>
    <n v="0.62979555186437353"/>
    <n v="0.70959110372874701"/>
    <n v="0.55000000000000004"/>
    <n v="278385199800"/>
    <n v="42.3"/>
    <n v="17"/>
  </r>
  <r>
    <x v="8"/>
    <x v="26"/>
    <x v="26"/>
    <s v="HSX"/>
    <s v="1350"/>
    <n v="0.62917686164316233"/>
    <n v="0.75835372328632478"/>
    <n v="0.5"/>
    <n v="17655288000"/>
    <n v="79.099999999999994"/>
    <n v="18"/>
  </r>
  <r>
    <x v="8"/>
    <x v="35"/>
    <x v="35"/>
    <s v="HSX"/>
    <s v="8780"/>
    <n v="0.62059334023522039"/>
    <n v="0.89118668047044081"/>
    <n v="0.35"/>
    <n v="27623275200"/>
    <n v="55.8"/>
    <n v="19"/>
  </r>
  <r>
    <x v="8"/>
    <x v="55"/>
    <x v="55"/>
    <s v="HSX"/>
    <s v="2350"/>
    <n v="0.60463872773598759"/>
    <n v="0.50927745547197523"/>
    <n v="0.7"/>
    <n v="106004239100"/>
    <n v="12.5"/>
    <n v="20"/>
  </r>
  <r>
    <x v="9"/>
    <x v="11"/>
    <x v="11"/>
    <s v="UPCOM"/>
    <s v="1770"/>
    <n v="0.83038444194808969"/>
    <n v="0.71076888389617943"/>
    <n v="0.95"/>
    <n v="3403008800"/>
    <n v="23.4"/>
    <n v="1"/>
  </r>
  <r>
    <x v="9"/>
    <x v="40"/>
    <x v="40"/>
    <s v="HSX"/>
    <s v="4530"/>
    <n v="0.77413996418206121"/>
    <n v="0.94827992836412234"/>
    <n v="0.6"/>
    <n v="3726342260"/>
    <n v="5.38"/>
    <n v="2"/>
  </r>
  <r>
    <x v="9"/>
    <x v="45"/>
    <x v="45"/>
    <s v="HSX"/>
    <s v="2730"/>
    <n v="0.71062438331337141"/>
    <n v="0.97124876662674275"/>
    <n v="0.45"/>
    <n v="40265957900"/>
    <n v="69.5"/>
    <n v="3"/>
  </r>
  <r>
    <x v="9"/>
    <x v="24"/>
    <x v="24"/>
    <s v="HNX"/>
    <s v="8630"/>
    <n v="0.70827400904149052"/>
    <n v="0.71654801808298096"/>
    <n v="0.7"/>
    <n v="5601112000"/>
    <n v="5.6"/>
    <n v="4"/>
  </r>
  <r>
    <x v="9"/>
    <x v="48"/>
    <x v="48"/>
    <s v="HNX"/>
    <s v="8770"/>
    <n v="0.69713321308771725"/>
    <n v="0.8942664261754345"/>
    <n v="0.5"/>
    <n v="2479885600"/>
    <n v="14.2"/>
    <n v="5"/>
  </r>
  <r>
    <x v="9"/>
    <x v="36"/>
    <x v="36"/>
    <s v="HNX"/>
    <s v="1770"/>
    <n v="0.68921090948826569"/>
    <n v="0.72842181897653135"/>
    <n v="0.65"/>
    <n v="2509079200"/>
    <n v="63.4"/>
    <n v="6"/>
  </r>
  <r>
    <x v="9"/>
    <x v="27"/>
    <x v="27"/>
    <s v="HSX"/>
    <s v="3570"/>
    <n v="0.68310889223599003"/>
    <n v="0.8162177844719799"/>
    <n v="0.55000000000000004"/>
    <n v="31247022200"/>
    <n v="15"/>
    <n v="7"/>
  </r>
  <r>
    <x v="9"/>
    <x v="28"/>
    <x v="28"/>
    <s v="UPCOM"/>
    <s v="2770"/>
    <n v="0.67135800412945934"/>
    <n v="0.69271600825891855"/>
    <n v="0.65"/>
    <n v="8101778000"/>
    <n v="135.69999999999999"/>
    <n v="8"/>
  </r>
  <r>
    <x v="9"/>
    <x v="8"/>
    <x v="8"/>
    <s v="HNX"/>
    <s v="3570"/>
    <n v="0.63772961059049904"/>
    <n v="0.72545922118099815"/>
    <n v="0.55000000000000004"/>
    <n v="4677733600"/>
    <n v="37.6"/>
    <n v="9"/>
  </r>
  <r>
    <x v="9"/>
    <x v="54"/>
    <x v="54"/>
    <s v="HSX"/>
    <s v="1350"/>
    <n v="0.63298472173558706"/>
    <n v="0.76596944347117413"/>
    <n v="0.5"/>
    <n v="33274624300"/>
    <n v="46.9"/>
    <n v="10"/>
  </r>
  <r>
    <x v="9"/>
    <x v="23"/>
    <x v="23"/>
    <s v="HSX"/>
    <s v="8350"/>
    <n v="0.63022394919588254"/>
    <n v="0.71044789839176503"/>
    <n v="0.55000000000000004"/>
    <n v="281270409600"/>
    <n v="42.3"/>
    <n v="11"/>
  </r>
  <r>
    <x v="9"/>
    <x v="49"/>
    <x v="49"/>
    <s v="HSX"/>
    <s v="8780"/>
    <n v="0.62653937974002383"/>
    <n v="0.75307875948004765"/>
    <n v="0.5"/>
    <n v="187347672100"/>
    <n v="14.95"/>
    <n v="12"/>
  </r>
  <r>
    <x v="9"/>
    <x v="56"/>
    <x v="56"/>
    <s v="HSX"/>
    <s v="8350"/>
    <n v="0.62422400633653896"/>
    <n v="0.64844801267307783"/>
    <n v="0.6"/>
    <n v="334199527500"/>
    <n v="38.85"/>
    <n v="13"/>
  </r>
  <r>
    <x v="9"/>
    <x v="57"/>
    <x v="57"/>
    <s v="HSX"/>
    <s v="3570"/>
    <n v="0.61141179295355408"/>
    <n v="0.87282358590710818"/>
    <n v="0.35"/>
    <n v="104588568600"/>
    <n v="33.200000000000003"/>
    <n v="14"/>
  </r>
  <r>
    <x v="9"/>
    <x v="44"/>
    <x v="44"/>
    <s v="HSX"/>
    <s v="8780"/>
    <n v="0.60268778389642919"/>
    <n v="0.60537556779285839"/>
    <n v="0.6"/>
    <n v="258261355000"/>
    <n v="38.9"/>
    <n v="15"/>
  </r>
  <r>
    <x v="9"/>
    <x v="58"/>
    <x v="58"/>
    <s v="UPCOM"/>
    <s v="2350"/>
    <n v="0.60246912565106003"/>
    <n v="0.60493825130212009"/>
    <n v="0.6"/>
    <n v="13371102400"/>
    <n v="6.9"/>
    <n v="16"/>
  </r>
  <r>
    <x v="9"/>
    <x v="46"/>
    <x v="46"/>
    <s v="HSX"/>
    <s v="9570"/>
    <n v="0.59684167325567317"/>
    <n v="0.54368334651134642"/>
    <n v="0.65"/>
    <n v="3771946920"/>
    <n v="7.28"/>
    <n v="17"/>
  </r>
  <r>
    <x v="9"/>
    <x v="43"/>
    <x v="43"/>
    <s v="HSX"/>
    <s v="8630"/>
    <n v="0.59678808101176239"/>
    <n v="0.84357616202352481"/>
    <n v="0.35"/>
    <n v="30774237600"/>
    <n v="79"/>
    <n v="18"/>
  </r>
  <r>
    <x v="9"/>
    <x v="22"/>
    <x v="22"/>
    <s v="HSX"/>
    <s v="8630"/>
    <n v="0.5930749478547801"/>
    <n v="0.78614989570956006"/>
    <n v="0.4"/>
    <n v="14541981340"/>
    <n v="6.45"/>
    <n v="19"/>
  </r>
  <r>
    <x v="9"/>
    <x v="59"/>
    <x v="59"/>
    <s v="HSX"/>
    <s v="7530"/>
    <n v="0.58966545974114903"/>
    <n v="0.729330919482298"/>
    <n v="0.45"/>
    <n v="9637405900"/>
    <n v="13.45"/>
    <n v="20"/>
  </r>
  <r>
    <x v="10"/>
    <x v="57"/>
    <x v="57"/>
    <s v="HSX"/>
    <s v="3570"/>
    <n v="0.78626283593048862"/>
    <n v="0.77252567186097731"/>
    <n v="0.8"/>
    <n v="100813638700"/>
    <n v="33.1"/>
    <n v="1"/>
  </r>
  <r>
    <x v="10"/>
    <x v="40"/>
    <x v="40"/>
    <s v="HSX"/>
    <s v="4530"/>
    <n v="0.77425853394345667"/>
    <n v="0.94851706788691326"/>
    <n v="0.6"/>
    <n v="3791990260"/>
    <n v="5.4"/>
    <n v="2"/>
  </r>
  <r>
    <x v="10"/>
    <x v="24"/>
    <x v="24"/>
    <s v="HNX"/>
    <s v="8630"/>
    <n v="0.7426727735181442"/>
    <n v="0.88534554703628832"/>
    <n v="0.6"/>
    <n v="5661724400"/>
    <n v="6"/>
    <n v="3"/>
  </r>
  <r>
    <x v="10"/>
    <x v="11"/>
    <x v="11"/>
    <s v="UPCOM"/>
    <s v="1770"/>
    <n v="0.72565590543498715"/>
    <n v="0.50131181086997423"/>
    <n v="0.95"/>
    <n v="3393178200"/>
    <n v="22.7"/>
    <n v="4"/>
  </r>
  <r>
    <x v="10"/>
    <x v="45"/>
    <x v="45"/>
    <s v="HSX"/>
    <s v="2730"/>
    <n v="0.71160721837133933"/>
    <n v="0.9732144367426786"/>
    <n v="0.45"/>
    <n v="41654154600"/>
    <n v="70.8"/>
    <n v="5"/>
  </r>
  <r>
    <x v="10"/>
    <x v="48"/>
    <x v="48"/>
    <s v="HNX"/>
    <s v="8770"/>
    <n v="0.6849811693050325"/>
    <n v="0.86996233861006489"/>
    <n v="0.5"/>
    <n v="2552470400"/>
    <n v="14.3"/>
    <n v="6"/>
  </r>
  <r>
    <x v="10"/>
    <x v="28"/>
    <x v="28"/>
    <s v="UPCOM"/>
    <s v="2770"/>
    <n v="0.67804488285816678"/>
    <n v="0.65608976571633359"/>
    <n v="0.7"/>
    <n v="8190980400"/>
    <n v="133"/>
    <n v="7"/>
  </r>
  <r>
    <x v="10"/>
    <x v="36"/>
    <x v="36"/>
    <s v="HNX"/>
    <s v="1770"/>
    <n v="0.66270205448679764"/>
    <n v="0.67540410897359526"/>
    <n v="0.65"/>
    <n v="2557423200"/>
    <n v="63.9"/>
    <n v="8"/>
  </r>
  <r>
    <x v="10"/>
    <x v="39"/>
    <x v="39"/>
    <s v="HSX"/>
    <s v="8630"/>
    <n v="0.6626893471375519"/>
    <n v="0.8253786942751038"/>
    <n v="0.5"/>
    <n v="79602123400"/>
    <n v="18"/>
    <n v="9"/>
  </r>
  <r>
    <x v="10"/>
    <x v="27"/>
    <x v="27"/>
    <s v="HSX"/>
    <s v="3570"/>
    <n v="0.65652674133951483"/>
    <n v="0.81305348267902955"/>
    <n v="0.5"/>
    <n v="31641356000"/>
    <n v="15.1"/>
    <n v="10"/>
  </r>
  <r>
    <x v="10"/>
    <x v="35"/>
    <x v="35"/>
    <s v="HSX"/>
    <s v="8780"/>
    <n v="0.64764122313914785"/>
    <n v="0.84528244627829574"/>
    <n v="0.45"/>
    <n v="28485908400"/>
    <n v="56.4"/>
    <n v="11"/>
  </r>
  <r>
    <x v="10"/>
    <x v="60"/>
    <x v="60"/>
    <s v="HSX"/>
    <s v="8780"/>
    <n v="0.64624153895850078"/>
    <n v="0.6924830779170017"/>
    <n v="0.6"/>
    <n v="338822791900"/>
    <n v="12.3"/>
    <n v="12"/>
  </r>
  <r>
    <x v="10"/>
    <x v="43"/>
    <x v="43"/>
    <s v="HSX"/>
    <s v="8630"/>
    <n v="0.64275084157064977"/>
    <n v="0.93550168314129944"/>
    <n v="0.35"/>
    <n v="32577374400"/>
    <n v="81.8"/>
    <n v="13"/>
  </r>
  <r>
    <x v="10"/>
    <x v="44"/>
    <x v="44"/>
    <s v="HSX"/>
    <s v="8780"/>
    <n v="0.63884917916789741"/>
    <n v="0.62769835833579479"/>
    <n v="0.65"/>
    <n v="260396476900"/>
    <n v="39.450000000000003"/>
    <n v="14"/>
  </r>
  <r>
    <x v="10"/>
    <x v="30"/>
    <x v="30"/>
    <s v="HSX"/>
    <s v="8630"/>
    <n v="0.63349474744259648"/>
    <n v="0.86698949488519306"/>
    <n v="0.4"/>
    <n v="13369258000"/>
    <n v="8.8000000000000007"/>
    <n v="15"/>
  </r>
  <r>
    <x v="10"/>
    <x v="22"/>
    <x v="22"/>
    <s v="HSX"/>
    <s v="8630"/>
    <n v="0.62619611804985242"/>
    <n v="0.80239223609970489"/>
    <n v="0.45"/>
    <n v="14927113740"/>
    <n v="6.64"/>
    <n v="16"/>
  </r>
  <r>
    <x v="10"/>
    <x v="4"/>
    <x v="4"/>
    <s v="HNX"/>
    <s v="2350"/>
    <n v="0.62485075867922457"/>
    <n v="0.84970151735844912"/>
    <n v="0.4"/>
    <n v="6955649400"/>
    <n v="13.1"/>
    <n v="17"/>
  </r>
  <r>
    <x v="10"/>
    <x v="50"/>
    <x v="50"/>
    <s v="HSX"/>
    <s v="8630"/>
    <n v="0.5952075862426186"/>
    <n v="0.84041517248523723"/>
    <n v="0.35"/>
    <n v="35794924800"/>
    <n v="15.8"/>
    <n v="18"/>
  </r>
  <r>
    <x v="10"/>
    <x v="61"/>
    <x v="61"/>
    <s v="HSX"/>
    <s v="8630"/>
    <n v="0.59146440791088739"/>
    <n v="0.98292881582177472"/>
    <n v="0.2"/>
    <n v="119815866200"/>
    <n v="52.1"/>
    <n v="19"/>
  </r>
  <r>
    <x v="10"/>
    <x v="62"/>
    <x v="62"/>
    <s v="HSX"/>
    <s v="1350"/>
    <n v="0.58284622497177896"/>
    <n v="0.61569244994355798"/>
    <n v="0.55000000000000004"/>
    <n v="82180853900"/>
    <n v="33.049999999999997"/>
    <n v="20"/>
  </r>
  <r>
    <x v="11"/>
    <x v="63"/>
    <x v="63"/>
    <s v="HSX"/>
    <s v="1750"/>
    <n v="0.8339077720541197"/>
    <n v="0.8339077720541197"/>
    <m/>
    <n v="3723778500"/>
    <n v="13.15"/>
    <n v="1"/>
  </r>
  <r>
    <x v="11"/>
    <x v="40"/>
    <x v="40"/>
    <s v="HSX"/>
    <s v="4530"/>
    <n v="0.76575042726530196"/>
    <n v="0.93150085453060405"/>
    <n v="0.6"/>
    <n v="3837860740"/>
    <n v="5.31"/>
    <n v="2"/>
  </r>
  <r>
    <x v="11"/>
    <x v="24"/>
    <x v="24"/>
    <s v="HNX"/>
    <s v="8630"/>
    <n v="0.75118073959745302"/>
    <n v="0.80236147919490608"/>
    <n v="0.7"/>
    <n v="5742757000"/>
    <n v="5.7"/>
    <n v="3"/>
  </r>
  <r>
    <x v="11"/>
    <x v="28"/>
    <x v="28"/>
    <s v="UPCOM"/>
    <s v="2770"/>
    <n v="0.72046186464304651"/>
    <n v="0.79092372928609311"/>
    <n v="0.65"/>
    <n v="8319752800"/>
    <n v="137.80000000000001"/>
    <n v="4"/>
  </r>
  <r>
    <x v="11"/>
    <x v="36"/>
    <x v="36"/>
    <s v="HNX"/>
    <s v="1770"/>
    <n v="0.71774881739126994"/>
    <n v="0.73549763478253993"/>
    <n v="0.7"/>
    <n v="2657053200"/>
    <n v="67.8"/>
    <n v="5"/>
  </r>
  <r>
    <x v="11"/>
    <x v="57"/>
    <x v="57"/>
    <s v="HSX"/>
    <s v="3570"/>
    <n v="0.71602487622492039"/>
    <n v="0.8320497524498407"/>
    <n v="0.6"/>
    <n v="100444828700"/>
    <n v="33.35"/>
    <n v="6"/>
  </r>
  <r>
    <x v="11"/>
    <x v="11"/>
    <x v="11"/>
    <s v="UPCOM"/>
    <s v="1770"/>
    <n v="0.68623358850816563"/>
    <n v="0.42246717701633119"/>
    <n v="0.95"/>
    <n v="3440149400"/>
    <n v="21.4"/>
    <n v="7"/>
  </r>
  <r>
    <x v="11"/>
    <x v="44"/>
    <x v="44"/>
    <s v="HSX"/>
    <s v="8780"/>
    <n v="0.67027460317544307"/>
    <n v="0.59054920635088615"/>
    <n v="0.75"/>
    <n v="265074976900"/>
    <n v="39.1"/>
    <n v="8"/>
  </r>
  <r>
    <x v="11"/>
    <x v="48"/>
    <x v="48"/>
    <s v="HNX"/>
    <s v="8770"/>
    <n v="0.65761381272929287"/>
    <n v="0.86522762545858567"/>
    <n v="0.45"/>
    <n v="2634640600"/>
    <n v="14.3"/>
    <n v="9"/>
  </r>
  <r>
    <x v="11"/>
    <x v="27"/>
    <x v="27"/>
    <s v="HSX"/>
    <s v="3570"/>
    <n v="0.65565076621970497"/>
    <n v="0.81130153243940994"/>
    <n v="0.5"/>
    <n v="31998309700"/>
    <n v="15.15"/>
    <n v="10"/>
  </r>
  <r>
    <x v="11"/>
    <x v="35"/>
    <x v="35"/>
    <s v="HSX"/>
    <s v="8780"/>
    <n v="0.65113546863426586"/>
    <n v="0.80227093726853171"/>
    <n v="0.5"/>
    <n v="28808109200"/>
    <n v="55.6"/>
    <n v="11"/>
  </r>
  <r>
    <x v="11"/>
    <x v="64"/>
    <x v="64"/>
    <s v="HSX"/>
    <s v="8630"/>
    <n v="0.63204072514978549"/>
    <n v="0.56408145029957113"/>
    <n v="0.7"/>
    <n v="11766978740"/>
    <n v="7.45"/>
    <n v="12"/>
  </r>
  <r>
    <x v="11"/>
    <x v="43"/>
    <x v="43"/>
    <s v="HSX"/>
    <s v="8630"/>
    <n v="0.62829388888983506"/>
    <n v="0.90658777777967026"/>
    <n v="0.35"/>
    <n v="33458776400"/>
    <n v="81.8"/>
    <n v="13"/>
  </r>
  <r>
    <x v="11"/>
    <x v="60"/>
    <x v="60"/>
    <s v="HSX"/>
    <s v="8780"/>
    <n v="0.620464442087024"/>
    <n v="0.64092888417404792"/>
    <n v="0.6"/>
    <n v="344442503100"/>
    <n v="12.2"/>
    <n v="14"/>
  </r>
  <r>
    <x v="11"/>
    <x v="30"/>
    <x v="30"/>
    <s v="HSX"/>
    <s v="8630"/>
    <n v="0.6198611153397553"/>
    <n v="0.73972223067951048"/>
    <n v="0.5"/>
    <n v="13598331040"/>
    <n v="8.82"/>
    <n v="15"/>
  </r>
  <r>
    <x v="11"/>
    <x v="49"/>
    <x v="49"/>
    <s v="HSX"/>
    <s v="8780"/>
    <n v="0.60656141958814747"/>
    <n v="0.76312283917629498"/>
    <n v="0.45"/>
    <n v="199451887400"/>
    <n v="15.2"/>
    <n v="16"/>
  </r>
  <r>
    <x v="11"/>
    <x v="22"/>
    <x v="22"/>
    <s v="HSX"/>
    <s v="8630"/>
    <n v="0.591208209843471"/>
    <n v="0.73241641968694193"/>
    <n v="0.45"/>
    <n v="15245178720"/>
    <n v="6.49"/>
    <n v="17"/>
  </r>
  <r>
    <x v="11"/>
    <x v="4"/>
    <x v="4"/>
    <s v="HNX"/>
    <s v="2350"/>
    <n v="0.58457887617689419"/>
    <n v="0.76915775235378836"/>
    <n v="0.4"/>
    <n v="7039673000"/>
    <n v="13"/>
    <n v="18"/>
  </r>
  <r>
    <x v="11"/>
    <x v="65"/>
    <x v="65"/>
    <s v="HSX"/>
    <s v="8350"/>
    <n v="0.58071834193734162"/>
    <n v="0.8614366838746832"/>
    <n v="0.3"/>
    <n v="206578030180"/>
    <n v="11.6"/>
    <n v="19"/>
  </r>
  <r>
    <x v="11"/>
    <x v="45"/>
    <x v="45"/>
    <s v="HSX"/>
    <s v="2730"/>
    <n v="0.57217572558014285"/>
    <n v="0.94435145116028563"/>
    <n v="0.2"/>
    <n v="42282256800"/>
    <n v="69.3"/>
    <n v="20"/>
  </r>
  <r>
    <x v="12"/>
    <x v="57"/>
    <x v="57"/>
    <s v="HSX"/>
    <s v="3570"/>
    <n v="0.81171073544205008"/>
    <n v="0.77342147088410018"/>
    <n v="0.85"/>
    <n v="98554628700"/>
    <n v="33.049999999999997"/>
    <n v="1"/>
  </r>
  <r>
    <x v="12"/>
    <x v="63"/>
    <x v="63"/>
    <s v="HSX"/>
    <s v="1750"/>
    <n v="0.78189161514687555"/>
    <n v="0.78189161514687555"/>
    <m/>
    <n v="3805284100"/>
    <n v="12.8"/>
    <n v="2"/>
  </r>
  <r>
    <x v="12"/>
    <x v="24"/>
    <x v="24"/>
    <s v="HNX"/>
    <s v="8630"/>
    <n v="0.71707765350758601"/>
    <n v="0.78415530701517189"/>
    <n v="0.65"/>
    <n v="5646303000"/>
    <n v="5.8"/>
    <n v="3"/>
  </r>
  <r>
    <x v="12"/>
    <x v="40"/>
    <x v="40"/>
    <s v="HSX"/>
    <s v="4530"/>
    <n v="0.71670909667415161"/>
    <n v="0.93341819334830323"/>
    <n v="0.5"/>
    <n v="3861497600"/>
    <n v="5.27"/>
    <n v="4"/>
  </r>
  <r>
    <x v="12"/>
    <x v="28"/>
    <x v="28"/>
    <s v="UPCOM"/>
    <s v="2770"/>
    <n v="0.68182285940225595"/>
    <n v="0.76364571880451182"/>
    <n v="0.6"/>
    <n v="8355327800"/>
    <n v="137"/>
    <n v="5"/>
  </r>
  <r>
    <x v="12"/>
    <x v="27"/>
    <x v="27"/>
    <s v="HSX"/>
    <s v="3570"/>
    <n v="0.67788344120952027"/>
    <n v="0.80576688241904038"/>
    <n v="0.55000000000000004"/>
    <n v="32196830700"/>
    <n v="15.05"/>
    <n v="6"/>
  </r>
  <r>
    <x v="12"/>
    <x v="48"/>
    <x v="48"/>
    <s v="HNX"/>
    <s v="8770"/>
    <n v="0.66409520175133152"/>
    <n v="0.87819040350266298"/>
    <n v="0.45"/>
    <n v="2692618400"/>
    <n v="14.4"/>
    <n v="7"/>
  </r>
  <r>
    <x v="12"/>
    <x v="60"/>
    <x v="60"/>
    <s v="HSX"/>
    <s v="8780"/>
    <n v="0.66220000768013243"/>
    <n v="0.57440001536026475"/>
    <n v="0.75"/>
    <n v="347783564100"/>
    <n v="12.1"/>
    <n v="8"/>
  </r>
  <r>
    <x v="12"/>
    <x v="44"/>
    <x v="44"/>
    <s v="HSX"/>
    <s v="8780"/>
    <n v="0.65460939098145343"/>
    <n v="0.55921878196290675"/>
    <n v="0.75"/>
    <n v="269523820200"/>
    <n v="38.75"/>
    <n v="9"/>
  </r>
  <r>
    <x v="12"/>
    <x v="35"/>
    <x v="35"/>
    <s v="HSX"/>
    <s v="8780"/>
    <n v="0.64720768580302535"/>
    <n v="0.79441537160605069"/>
    <n v="0.5"/>
    <n v="29574033200"/>
    <n v="55.2"/>
    <n v="10"/>
  </r>
  <r>
    <x v="12"/>
    <x v="64"/>
    <x v="64"/>
    <s v="HSX"/>
    <s v="8630"/>
    <n v="0.64413262400894955"/>
    <n v="0.488265248017899"/>
    <n v="0.8"/>
    <n v="11827992580"/>
    <n v="7.39"/>
    <n v="11"/>
  </r>
  <r>
    <x v="12"/>
    <x v="66"/>
    <x v="66"/>
    <s v="HSX"/>
    <s v="8630"/>
    <n v="0.63372394535166232"/>
    <n v="0.9674478907033246"/>
    <n v="0.3"/>
    <n v="2008075400"/>
    <n v="8.17"/>
    <n v="12"/>
  </r>
  <r>
    <x v="12"/>
    <x v="43"/>
    <x v="43"/>
    <s v="HSX"/>
    <s v="8630"/>
    <n v="0.63148226961774001"/>
    <n v="0.86296453923548"/>
    <n v="0.4"/>
    <n v="33910272600"/>
    <n v="80.7"/>
    <n v="13"/>
  </r>
  <r>
    <x v="12"/>
    <x v="62"/>
    <x v="62"/>
    <s v="HSX"/>
    <s v="1350"/>
    <n v="0.6291853405531862"/>
    <n v="0.85837068110637238"/>
    <n v="0.4"/>
    <n v="89623667900"/>
    <n v="34.799999999999997"/>
    <n v="14"/>
  </r>
  <r>
    <x v="12"/>
    <x v="65"/>
    <x v="65"/>
    <s v="HSX"/>
    <s v="8350"/>
    <n v="0.61474576685228954"/>
    <n v="0.87949153370457911"/>
    <n v="0.35"/>
    <n v="221126259780"/>
    <n v="11.65"/>
    <n v="15"/>
  </r>
  <r>
    <x v="12"/>
    <x v="59"/>
    <x v="59"/>
    <s v="HSX"/>
    <s v="7530"/>
    <n v="0.58303377405916224"/>
    <n v="0.86606754811832454"/>
    <n v="0.3"/>
    <n v="10384702800"/>
    <n v="14.15"/>
    <n v="16"/>
  </r>
  <r>
    <x v="12"/>
    <x v="41"/>
    <x v="41"/>
    <s v="HSX"/>
    <s v="8350"/>
    <n v="0.57658937798558041"/>
    <n v="0.65317875597116071"/>
    <n v="0.5"/>
    <n v="110788446500"/>
    <n v="35.950000000000003"/>
    <n v="17"/>
  </r>
  <r>
    <x v="12"/>
    <x v="56"/>
    <x v="56"/>
    <s v="HSX"/>
    <s v="8350"/>
    <n v="0.56484032978587195"/>
    <n v="0.57968065957174386"/>
    <n v="0.55000000000000004"/>
    <n v="329728923600"/>
    <n v="38.4"/>
    <n v="18"/>
  </r>
  <r>
    <x v="12"/>
    <x v="30"/>
    <x v="30"/>
    <s v="HSX"/>
    <s v="8630"/>
    <n v="0.5642567154887187"/>
    <n v="0.67851343097743733"/>
    <n v="0.45"/>
    <n v="13819557240"/>
    <n v="8.76"/>
    <n v="19"/>
  </r>
  <r>
    <x v="12"/>
    <x v="36"/>
    <x v="36"/>
    <s v="HNX"/>
    <s v="1770"/>
    <n v="0.56270101861128485"/>
    <n v="0.52540203722256973"/>
    <n v="0.6"/>
    <n v="2717095200"/>
    <n v="64.2"/>
    <n v="20"/>
  </r>
  <r>
    <x v="13"/>
    <x v="63"/>
    <x v="63"/>
    <s v="HSX"/>
    <s v="1750"/>
    <n v="0.86035053730224942"/>
    <n v="0.86035053730224942"/>
    <m/>
    <n v="3956516900"/>
    <n v="13.2"/>
    <n v="1"/>
  </r>
  <r>
    <x v="13"/>
    <x v="40"/>
    <x v="40"/>
    <s v="HSX"/>
    <s v="4530"/>
    <n v="0.81164551335694968"/>
    <n v="0.9232910267138994"/>
    <n v="0.7"/>
    <n v="3891951600"/>
    <n v="5.25"/>
    <n v="2"/>
  </r>
  <r>
    <x v="13"/>
    <x v="35"/>
    <x v="35"/>
    <s v="HSX"/>
    <s v="8780"/>
    <n v="0.7004821517728983"/>
    <n v="0.80096430354579662"/>
    <n v="0.6"/>
    <n v="30514511500"/>
    <n v="55.3"/>
    <n v="3"/>
  </r>
  <r>
    <x v="13"/>
    <x v="57"/>
    <x v="57"/>
    <s v="HSX"/>
    <s v="3570"/>
    <n v="0.69622750731381156"/>
    <n v="0.79245501462762324"/>
    <n v="0.6"/>
    <n v="100517778300"/>
    <n v="33"/>
    <n v="4"/>
  </r>
  <r>
    <x v="13"/>
    <x v="24"/>
    <x v="24"/>
    <s v="HNX"/>
    <s v="8630"/>
    <n v="0.69568887238636901"/>
    <n v="0.84137774477273797"/>
    <n v="0.55000000000000004"/>
    <n v="5897809800"/>
    <n v="5.7"/>
    <n v="5"/>
  </r>
  <r>
    <x v="13"/>
    <x v="28"/>
    <x v="28"/>
    <s v="UPCOM"/>
    <s v="2770"/>
    <n v="0.69505898400458821"/>
    <n v="0.74011796800917651"/>
    <n v="0.65"/>
    <n v="8364179600"/>
    <n v="136.30000000000001"/>
    <n v="6"/>
  </r>
  <r>
    <x v="13"/>
    <x v="48"/>
    <x v="48"/>
    <s v="HNX"/>
    <s v="8770"/>
    <n v="0.6552385896096814"/>
    <n v="0.86047717921936284"/>
    <n v="0.45"/>
    <n v="2778611800"/>
    <n v="14.4"/>
    <n v="7"/>
  </r>
  <r>
    <x v="13"/>
    <x v="66"/>
    <x v="66"/>
    <s v="HSX"/>
    <s v="8630"/>
    <n v="0.62759637829089077"/>
    <n v="0.90519275658178155"/>
    <n v="0.35"/>
    <n v="2037989760"/>
    <n v="7.9"/>
    <n v="8"/>
  </r>
  <r>
    <x v="13"/>
    <x v="44"/>
    <x v="44"/>
    <s v="HSX"/>
    <s v="8780"/>
    <n v="0.62565033725636998"/>
    <n v="0.60130067451274005"/>
    <n v="0.65"/>
    <n v="273587213800"/>
    <n v="39.200000000000003"/>
    <n v="9"/>
  </r>
  <r>
    <x v="13"/>
    <x v="59"/>
    <x v="59"/>
    <s v="HSX"/>
    <s v="7530"/>
    <n v="0.6172275125011264"/>
    <n v="0.78445502500225284"/>
    <n v="0.45"/>
    <n v="10534865400"/>
    <n v="14"/>
    <n v="10"/>
  </r>
  <r>
    <x v="13"/>
    <x v="60"/>
    <x v="60"/>
    <s v="HSX"/>
    <s v="8780"/>
    <n v="0.60322783621733156"/>
    <n v="0.60645567243466314"/>
    <n v="0.6"/>
    <n v="352181147300"/>
    <n v="12.3"/>
    <n v="11"/>
  </r>
  <r>
    <x v="13"/>
    <x v="67"/>
    <x v="67"/>
    <s v="HSX"/>
    <s v="2730"/>
    <n v="0.60271942039800297"/>
    <n v="0.85543884079600596"/>
    <n v="0.35"/>
    <n v="172161461500"/>
    <n v="23.85"/>
    <n v="12"/>
  </r>
  <r>
    <x v="13"/>
    <x v="65"/>
    <x v="65"/>
    <s v="HSX"/>
    <s v="8350"/>
    <n v="0.60033403467241864"/>
    <n v="0.90066806934483734"/>
    <n v="0.3"/>
    <n v="238570842280"/>
    <n v="11.75"/>
    <n v="13"/>
  </r>
  <r>
    <x v="13"/>
    <x v="62"/>
    <x v="62"/>
    <s v="HSX"/>
    <s v="1350"/>
    <n v="0.59909133334223053"/>
    <n v="0.69818266668446116"/>
    <n v="0.5"/>
    <n v="90680904900"/>
    <n v="34.5"/>
    <n v="14"/>
  </r>
  <r>
    <x v="13"/>
    <x v="43"/>
    <x v="43"/>
    <s v="HSX"/>
    <s v="8630"/>
    <n v="0.59297175221198417"/>
    <n v="0.83594350442396836"/>
    <n v="0.35"/>
    <n v="35081510400"/>
    <n v="79.5"/>
    <n v="15"/>
  </r>
  <r>
    <x v="13"/>
    <x v="30"/>
    <x v="30"/>
    <s v="HSX"/>
    <s v="8630"/>
    <n v="0.58668420926749665"/>
    <n v="0.6733684185349933"/>
    <n v="0.5"/>
    <n v="14140369120"/>
    <n v="8.6999999999999993"/>
    <n v="16"/>
  </r>
  <r>
    <x v="13"/>
    <x v="68"/>
    <x v="68"/>
    <s v="HSX"/>
    <s v="2350"/>
    <n v="0.58333549609404312"/>
    <n v="0.76667099218808632"/>
    <n v="0.4"/>
    <n v="10318803500"/>
    <n v="14.25"/>
    <n v="17"/>
  </r>
  <r>
    <x v="13"/>
    <x v="64"/>
    <x v="64"/>
    <s v="HSX"/>
    <s v="8630"/>
    <n v="0.58198813385037473"/>
    <n v="0.46397626770074962"/>
    <n v="0.7"/>
    <n v="12018807340"/>
    <n v="7.3"/>
    <n v="18"/>
  </r>
  <r>
    <x v="13"/>
    <x v="2"/>
    <x v="2"/>
    <s v="HNX"/>
    <s v="1770"/>
    <n v="0.56393662565699487"/>
    <n v="0.72787325131398961"/>
    <n v="0.4"/>
    <n v="2658277200"/>
    <n v="329"/>
    <n v="19"/>
  </r>
  <r>
    <x v="13"/>
    <x v="69"/>
    <x v="69"/>
    <s v="HSX"/>
    <s v="8630"/>
    <n v="0.55813355283818211"/>
    <n v="0.76626710567636425"/>
    <n v="0.35"/>
    <n v="2587122320"/>
    <n v="2.12"/>
    <n v="20"/>
  </r>
  <r>
    <x v="14"/>
    <x v="40"/>
    <x v="40"/>
    <s v="HSX"/>
    <s v="4530"/>
    <n v="0.8015200330032527"/>
    <n v="0.95304006600650537"/>
    <n v="0.65"/>
    <n v="3916840440"/>
    <n v="5.39"/>
    <n v="1"/>
  </r>
  <r>
    <x v="14"/>
    <x v="63"/>
    <x v="63"/>
    <s v="HSX"/>
    <s v="1750"/>
    <n v="0.74668046183856962"/>
    <n v="0.74668046183856962"/>
    <m/>
    <n v="3986982800"/>
    <n v="12.95"/>
    <n v="2"/>
  </r>
  <r>
    <x v="14"/>
    <x v="24"/>
    <x v="24"/>
    <s v="HNX"/>
    <s v="8630"/>
    <n v="0.73050567403244315"/>
    <n v="0.81101134806488628"/>
    <n v="0.65"/>
    <n v="5915551400"/>
    <n v="5.9"/>
    <n v="3"/>
  </r>
  <r>
    <x v="14"/>
    <x v="59"/>
    <x v="59"/>
    <s v="HSX"/>
    <s v="7530"/>
    <n v="0.72821112505541619"/>
    <n v="0.70642225011083237"/>
    <n v="0.75"/>
    <n v="10618077000"/>
    <n v="13.8"/>
    <n v="4"/>
  </r>
  <r>
    <x v="14"/>
    <x v="28"/>
    <x v="28"/>
    <s v="UPCOM"/>
    <s v="2770"/>
    <n v="0.71974584667062391"/>
    <n v="0.73949169334124776"/>
    <n v="0.7"/>
    <n v="8387562000"/>
    <n v="135.4"/>
    <n v="5"/>
  </r>
  <r>
    <x v="14"/>
    <x v="35"/>
    <x v="35"/>
    <s v="HSX"/>
    <s v="8780"/>
    <n v="0.70697219282781032"/>
    <n v="0.81394438565562066"/>
    <n v="0.6"/>
    <n v="30918715900"/>
    <n v="55.9"/>
    <n v="6"/>
  </r>
  <r>
    <x v="14"/>
    <x v="57"/>
    <x v="57"/>
    <s v="HSX"/>
    <s v="3570"/>
    <n v="0.68716496720492903"/>
    <n v="0.72432993440985805"/>
    <n v="0.65"/>
    <n v="99176728800"/>
    <n v="32.85"/>
    <n v="7"/>
  </r>
  <r>
    <x v="14"/>
    <x v="27"/>
    <x v="27"/>
    <s v="HSX"/>
    <s v="3570"/>
    <n v="0.66305152845888693"/>
    <n v="0.82610305691777397"/>
    <n v="0.5"/>
    <n v="33762115800"/>
    <n v="15.1"/>
    <n v="8"/>
  </r>
  <r>
    <x v="14"/>
    <x v="65"/>
    <x v="65"/>
    <s v="HSX"/>
    <s v="8350"/>
    <n v="0.64778901663650901"/>
    <n v="0.89557803327301788"/>
    <n v="0.4"/>
    <n v="253774859780"/>
    <n v="11.75"/>
    <n v="9"/>
  </r>
  <r>
    <x v="14"/>
    <x v="44"/>
    <x v="44"/>
    <s v="HSX"/>
    <s v="8780"/>
    <n v="0.64018978770183754"/>
    <n v="0.63037957540367506"/>
    <n v="0.65"/>
    <n v="280549499400"/>
    <n v="39.1"/>
    <n v="10"/>
  </r>
  <r>
    <x v="14"/>
    <x v="49"/>
    <x v="49"/>
    <s v="HSX"/>
    <s v="8780"/>
    <n v="0.63279738626136139"/>
    <n v="0.81559477252272283"/>
    <n v="0.45"/>
    <n v="220491355300"/>
    <n v="15.35"/>
    <n v="11"/>
  </r>
  <r>
    <x v="14"/>
    <x v="66"/>
    <x v="66"/>
    <s v="HSX"/>
    <s v="8630"/>
    <n v="0.62749098851627372"/>
    <n v="0.9549819770325475"/>
    <n v="0.3"/>
    <n v="2098987520"/>
    <n v="8.25"/>
    <n v="12"/>
  </r>
  <r>
    <x v="14"/>
    <x v="48"/>
    <x v="48"/>
    <s v="HNX"/>
    <s v="8770"/>
    <n v="0.62028580517687226"/>
    <n v="0.8405716103537445"/>
    <n v="0.4"/>
    <n v="2844957600"/>
    <n v="14.5"/>
    <n v="13"/>
  </r>
  <r>
    <x v="14"/>
    <x v="60"/>
    <x v="60"/>
    <s v="HSX"/>
    <s v="8780"/>
    <n v="0.6002412900425349"/>
    <n v="0.60048258008506972"/>
    <n v="0.6"/>
    <n v="357020722940"/>
    <n v="12.25"/>
    <n v="14"/>
  </r>
  <r>
    <x v="14"/>
    <x v="2"/>
    <x v="2"/>
    <s v="HNX"/>
    <s v="1770"/>
    <n v="0.59805408251919356"/>
    <n v="0.74610816503838717"/>
    <n v="0.45"/>
    <n v="2676273200"/>
    <n v="329"/>
    <n v="15"/>
  </r>
  <r>
    <x v="14"/>
    <x v="70"/>
    <x v="70"/>
    <s v="HSX"/>
    <s v="8350"/>
    <n v="0.57903046277360515"/>
    <n v="0.80806092554721021"/>
    <n v="0.35"/>
    <n v="8703708200"/>
    <n v="10.7"/>
    <n v="16"/>
  </r>
  <r>
    <x v="14"/>
    <x v="71"/>
    <x v="71"/>
    <s v="HSX"/>
    <s v="8780"/>
    <n v="0.57738234202631478"/>
    <n v="0.85476468405262951"/>
    <n v="0.3"/>
    <n v="4706204120"/>
    <n v="10.55"/>
    <n v="17"/>
  </r>
  <r>
    <x v="14"/>
    <x v="62"/>
    <x v="62"/>
    <s v="HSX"/>
    <s v="1350"/>
    <n v="0.57409433803748444"/>
    <n v="0.74818867607496886"/>
    <n v="0.4"/>
    <n v="92533226800"/>
    <n v="34.549999999999997"/>
    <n v="18"/>
  </r>
  <r>
    <x v="14"/>
    <x v="22"/>
    <x v="22"/>
    <s v="HSX"/>
    <s v="8630"/>
    <n v="0.57330964289414832"/>
    <n v="0.79661928578829666"/>
    <n v="0.35"/>
    <n v="16164764460"/>
    <n v="6.77"/>
    <n v="19"/>
  </r>
  <r>
    <x v="14"/>
    <x v="72"/>
    <x v="72"/>
    <s v="HSX"/>
    <s v="8350"/>
    <n v="0.55995577554224174"/>
    <n v="0.51991155108448361"/>
    <n v="0.6"/>
    <n v="304046034500"/>
    <n v="19.5"/>
    <n v="20"/>
  </r>
  <r>
    <x v="15"/>
    <x v="40"/>
    <x v="40"/>
    <s v="HSX"/>
    <s v="4530"/>
    <n v="0.74935224662509103"/>
    <n v="0.94870449325018191"/>
    <n v="0.55000000000000004"/>
    <n v="3897675120"/>
    <n v="5.45"/>
    <n v="1"/>
  </r>
  <r>
    <x v="15"/>
    <x v="63"/>
    <x v="63"/>
    <s v="HSX"/>
    <s v="1750"/>
    <n v="0.73599155451984943"/>
    <n v="0.73599155451984943"/>
    <m/>
    <n v="4007122200"/>
    <n v="12.95"/>
    <n v="2"/>
  </r>
  <r>
    <x v="15"/>
    <x v="65"/>
    <x v="65"/>
    <s v="HSX"/>
    <s v="8350"/>
    <n v="0.72608912774286893"/>
    <n v="0.95217825548573776"/>
    <n v="0.5"/>
    <n v="272781132980"/>
    <n v="12.4"/>
    <n v="3"/>
  </r>
  <r>
    <x v="15"/>
    <x v="28"/>
    <x v="28"/>
    <s v="UPCOM"/>
    <s v="2770"/>
    <n v="0.72172761388042805"/>
    <n v="0.74345522776085604"/>
    <n v="0.7"/>
    <n v="8424708000"/>
    <n v="135"/>
    <n v="4"/>
  </r>
  <r>
    <x v="15"/>
    <x v="4"/>
    <x v="4"/>
    <s v="HNX"/>
    <s v="2350"/>
    <n v="0.71510974670721228"/>
    <n v="0.88021949341442451"/>
    <n v="0.55000000000000004"/>
    <n v="7802217200"/>
    <n v="13.6"/>
    <n v="5"/>
  </r>
  <r>
    <x v="15"/>
    <x v="35"/>
    <x v="35"/>
    <s v="HSX"/>
    <s v="8780"/>
    <n v="0.70334653124744761"/>
    <n v="0.8566930624948953"/>
    <n v="0.55000000000000004"/>
    <n v="31625777900"/>
    <n v="58"/>
    <n v="6"/>
  </r>
  <r>
    <x v="15"/>
    <x v="73"/>
    <x v="73"/>
    <s v="HSX"/>
    <s v="8630"/>
    <n v="0.68920554422987235"/>
    <n v="0.7784110884597446"/>
    <n v="0.6"/>
    <n v="9988662940"/>
    <n v="3.47"/>
    <n v="7"/>
  </r>
  <r>
    <x v="15"/>
    <x v="44"/>
    <x v="44"/>
    <s v="HSX"/>
    <s v="8780"/>
    <n v="0.68099899736054859"/>
    <n v="0.61199799472109728"/>
    <n v="0.75"/>
    <n v="285318510500"/>
    <n v="39.450000000000003"/>
    <n v="8"/>
  </r>
  <r>
    <x v="15"/>
    <x v="2"/>
    <x v="2"/>
    <s v="HNX"/>
    <s v="1770"/>
    <n v="0.64737642851560151"/>
    <n v="0.84475285703120306"/>
    <n v="0.45"/>
    <n v="2710483400"/>
    <n v="331.3"/>
    <n v="9"/>
  </r>
  <r>
    <x v="15"/>
    <x v="66"/>
    <x v="66"/>
    <s v="HSX"/>
    <s v="8630"/>
    <n v="0.62992245324691587"/>
    <n v="0.90984490649383176"/>
    <n v="0.35"/>
    <n v="2063316640"/>
    <n v="8.15"/>
    <n v="10"/>
  </r>
  <r>
    <x v="15"/>
    <x v="59"/>
    <x v="59"/>
    <s v="HSX"/>
    <s v="7530"/>
    <n v="0.62612768373739525"/>
    <n v="0.65225536747479063"/>
    <n v="0.6"/>
    <n v="10787397000"/>
    <n v="13.7"/>
    <n v="11"/>
  </r>
  <r>
    <x v="15"/>
    <x v="48"/>
    <x v="48"/>
    <s v="HNX"/>
    <s v="8770"/>
    <n v="0.61399725941011718"/>
    <n v="0.87799451882023438"/>
    <n v="0.35"/>
    <n v="2932536600"/>
    <n v="14.7"/>
    <n v="12"/>
  </r>
  <r>
    <x v="15"/>
    <x v="57"/>
    <x v="57"/>
    <s v="HSX"/>
    <s v="3570"/>
    <n v="0.61194986442810917"/>
    <n v="0.72389972885621845"/>
    <n v="0.5"/>
    <n v="99188021000"/>
    <n v="33"/>
    <n v="13"/>
  </r>
  <r>
    <x v="15"/>
    <x v="27"/>
    <x v="27"/>
    <s v="HSX"/>
    <s v="3570"/>
    <n v="0.61086928256892858"/>
    <n v="0.77173856513785721"/>
    <n v="0.45"/>
    <n v="33938628800"/>
    <n v="15.05"/>
    <n v="14"/>
  </r>
  <r>
    <x v="15"/>
    <x v="71"/>
    <x v="71"/>
    <s v="HSX"/>
    <s v="8780"/>
    <n v="0.59658558227948599"/>
    <n v="0.84317116455897201"/>
    <n v="0.35"/>
    <n v="4734288660"/>
    <n v="10.55"/>
    <n v="15"/>
  </r>
  <r>
    <x v="15"/>
    <x v="74"/>
    <x v="74"/>
    <s v="HSX"/>
    <s v="3530"/>
    <n v="0.59333109227186032"/>
    <n v="0.68666218454372063"/>
    <n v="0.5"/>
    <n v="6077307700"/>
    <n v="21"/>
    <n v="16"/>
  </r>
  <r>
    <x v="15"/>
    <x v="56"/>
    <x v="56"/>
    <s v="HSX"/>
    <s v="8350"/>
    <n v="0.57535882715883924"/>
    <n v="0.55071765431767861"/>
    <n v="0.6"/>
    <n v="331271127200"/>
    <n v="38.6"/>
    <n v="17"/>
  </r>
  <r>
    <x v="15"/>
    <x v="30"/>
    <x v="30"/>
    <s v="HSX"/>
    <s v="8630"/>
    <n v="0.56327535146526042"/>
    <n v="0.67655070293052078"/>
    <n v="0.45"/>
    <n v="14546985120"/>
    <n v="8.76"/>
    <n v="18"/>
  </r>
  <r>
    <x v="15"/>
    <x v="22"/>
    <x v="22"/>
    <s v="HSX"/>
    <s v="8630"/>
    <n v="0.56181503360643092"/>
    <n v="0.82363006721286192"/>
    <n v="0.3"/>
    <n v="16438843220"/>
    <n v="6.9"/>
    <n v="19"/>
  </r>
  <r>
    <x v="15"/>
    <x v="60"/>
    <x v="60"/>
    <s v="HSX"/>
    <s v="8780"/>
    <n v="0.56090264175409121"/>
    <n v="0.57180528350818238"/>
    <n v="0.55000000000000004"/>
    <n v="360470039440"/>
    <n v="12.35"/>
    <n v="20"/>
  </r>
  <r>
    <x v="16"/>
    <x v="26"/>
    <x v="26"/>
    <s v="HSX"/>
    <s v="1350"/>
    <n v="0.84231674687018976"/>
    <n v="0.88463349374037958"/>
    <n v="0.8"/>
    <n v="18621109400"/>
    <n v="85.1"/>
    <n v="1"/>
  </r>
  <r>
    <x v="16"/>
    <x v="63"/>
    <x v="63"/>
    <s v="HSX"/>
    <s v="1750"/>
    <n v="0.78147197683241498"/>
    <n v="0.78147197683241498"/>
    <m/>
    <n v="4187849600"/>
    <n v="12.7"/>
    <n v="2"/>
  </r>
  <r>
    <x v="16"/>
    <x v="65"/>
    <x v="65"/>
    <s v="HSX"/>
    <s v="8350"/>
    <n v="0.72397005735072462"/>
    <n v="0.94794011470144923"/>
    <n v="0.5"/>
    <n v="290416150080"/>
    <n v="12.4"/>
    <n v="3"/>
  </r>
  <r>
    <x v="16"/>
    <x v="28"/>
    <x v="28"/>
    <s v="UPCOM"/>
    <s v="2770"/>
    <n v="0.71826135473360164"/>
    <n v="0.68652270946720328"/>
    <n v="0.75"/>
    <n v="8465076400"/>
    <n v="134.19999999999999"/>
    <n v="4"/>
  </r>
  <r>
    <x v="16"/>
    <x v="40"/>
    <x v="40"/>
    <s v="HSX"/>
    <s v="4530"/>
    <n v="0.68733190571478131"/>
    <n v="0.97466381142956249"/>
    <n v="0.4"/>
    <n v="3972184480"/>
    <n v="5.66"/>
    <n v="5"/>
  </r>
  <r>
    <x v="16"/>
    <x v="66"/>
    <x v="66"/>
    <s v="HSX"/>
    <s v="8630"/>
    <n v="0.661775254955971"/>
    <n v="0.92355050991194187"/>
    <n v="0.4"/>
    <n v="2076539600"/>
    <n v="8.15"/>
    <n v="6"/>
  </r>
  <r>
    <x v="16"/>
    <x v="59"/>
    <x v="59"/>
    <s v="HSX"/>
    <s v="7530"/>
    <n v="0.65331381828579316"/>
    <n v="0.65662763657158629"/>
    <n v="0.65"/>
    <n v="10940293800"/>
    <n v="13.8"/>
    <n v="7"/>
  </r>
  <r>
    <x v="16"/>
    <x v="4"/>
    <x v="4"/>
    <s v="HNX"/>
    <s v="2350"/>
    <n v="0.64987620558206449"/>
    <n v="0.84975241116412892"/>
    <n v="0.45"/>
    <n v="8042738600"/>
    <n v="13.5"/>
    <n v="8"/>
  </r>
  <r>
    <x v="16"/>
    <x v="60"/>
    <x v="60"/>
    <s v="HSX"/>
    <s v="8780"/>
    <n v="0.64644444229445219"/>
    <n v="0.69288888458890452"/>
    <n v="0.6"/>
    <n v="372805945140"/>
    <n v="12.45"/>
    <n v="9"/>
  </r>
  <r>
    <x v="16"/>
    <x v="48"/>
    <x v="48"/>
    <s v="HNX"/>
    <s v="8770"/>
    <n v="0.63646155152598027"/>
    <n v="0.77292310305196055"/>
    <n v="0.5"/>
    <n v="2962775000"/>
    <n v="14.3"/>
    <n v="10"/>
  </r>
  <r>
    <x v="16"/>
    <x v="57"/>
    <x v="57"/>
    <s v="HSX"/>
    <s v="3570"/>
    <n v="0.63025585237494042"/>
    <n v="0.76051170474988083"/>
    <n v="0.5"/>
    <n v="100083800800"/>
    <n v="33.35"/>
    <n v="11"/>
  </r>
  <r>
    <x v="16"/>
    <x v="35"/>
    <x v="35"/>
    <s v="HSX"/>
    <s v="8780"/>
    <n v="0.60101669239234612"/>
    <n v="0.8020333847846921"/>
    <n v="0.4"/>
    <n v="32655112100"/>
    <n v="57.1"/>
    <n v="12"/>
  </r>
  <r>
    <x v="16"/>
    <x v="30"/>
    <x v="30"/>
    <s v="HSX"/>
    <s v="8630"/>
    <n v="0.59216055539858659"/>
    <n v="0.63432111079717313"/>
    <n v="0.55000000000000004"/>
    <n v="14669519640"/>
    <n v="8.7899999999999991"/>
    <n v="13"/>
  </r>
  <r>
    <x v="16"/>
    <x v="27"/>
    <x v="27"/>
    <s v="HSX"/>
    <s v="3570"/>
    <n v="0.58629502354719221"/>
    <n v="0.7725900470943845"/>
    <n v="0.4"/>
    <n v="34460748500"/>
    <n v="14.95"/>
    <n v="14"/>
  </r>
  <r>
    <x v="16"/>
    <x v="67"/>
    <x v="67"/>
    <s v="HSX"/>
    <s v="2730"/>
    <n v="0.58416271964717625"/>
    <n v="0.81832543929435253"/>
    <n v="0.35"/>
    <n v="185000105600"/>
    <n v="23.45"/>
    <n v="15"/>
  </r>
  <r>
    <x v="16"/>
    <x v="75"/>
    <x v="75"/>
    <s v="HSX"/>
    <s v="2350"/>
    <n v="0.58222530590767319"/>
    <n v="0.91445061181534637"/>
    <n v="0.25"/>
    <n v="4481832200"/>
    <n v="10.9"/>
    <n v="16"/>
  </r>
  <r>
    <x v="16"/>
    <x v="71"/>
    <x v="71"/>
    <s v="HSX"/>
    <s v="8780"/>
    <n v="0.58190310821094948"/>
    <n v="0.86380621642189903"/>
    <n v="0.3"/>
    <n v="4771511560"/>
    <n v="10.55"/>
    <n v="17"/>
  </r>
  <r>
    <x v="16"/>
    <x v="62"/>
    <x v="62"/>
    <s v="HSX"/>
    <s v="1350"/>
    <n v="0.57700438956166888"/>
    <n v="0.75400877912333775"/>
    <n v="0.4"/>
    <n v="94177739500"/>
    <n v="34.6"/>
    <n v="18"/>
  </r>
  <r>
    <x v="16"/>
    <x v="76"/>
    <x v="76"/>
    <s v="HSX"/>
    <s v="2350"/>
    <n v="0.56811148352033813"/>
    <n v="0.53622296704067629"/>
    <n v="0.6"/>
    <n v="56301663300"/>
    <n v="51.4"/>
    <n v="19"/>
  </r>
  <r>
    <x v="16"/>
    <x v="61"/>
    <x v="61"/>
    <s v="HSX"/>
    <s v="8630"/>
    <n v="0.54271736627416323"/>
    <n v="0.98543473254832648"/>
    <n v="0.1"/>
    <n v="166018803000"/>
    <n v="56.9"/>
    <n v="20"/>
  </r>
  <r>
    <x v="17"/>
    <x v="26"/>
    <x v="26"/>
    <s v="HSX"/>
    <s v="1350"/>
    <n v="0.78771002555182412"/>
    <n v="0.77542005110364831"/>
    <n v="0.8"/>
    <n v="18723921200"/>
    <n v="84.9"/>
    <n v="1"/>
  </r>
  <r>
    <x v="17"/>
    <x v="77"/>
    <x v="77"/>
    <s v="HNX"/>
    <s v="8780"/>
    <n v="0.77935777026094222"/>
    <n v="0.95871554052188435"/>
    <n v="0.6"/>
    <n v="2040034400"/>
    <n v="7.6"/>
    <n v="2"/>
  </r>
  <r>
    <x v="17"/>
    <x v="65"/>
    <x v="65"/>
    <s v="HSX"/>
    <s v="8350"/>
    <n v="0.74895327397091371"/>
    <n v="0.94790654794182727"/>
    <n v="0.55000000000000004"/>
    <n v="300359415680"/>
    <n v="12.25"/>
    <n v="3"/>
  </r>
  <r>
    <x v="17"/>
    <x v="4"/>
    <x v="4"/>
    <s v="HNX"/>
    <s v="2350"/>
    <n v="0.71544182626414532"/>
    <n v="0.93088365252829064"/>
    <n v="0.5"/>
    <n v="8407743200"/>
    <n v="13.9"/>
    <n v="4"/>
  </r>
  <r>
    <x v="17"/>
    <x v="63"/>
    <x v="63"/>
    <s v="HSX"/>
    <s v="1750"/>
    <n v="0.70564084214314926"/>
    <n v="0.70564084214314926"/>
    <m/>
    <n v="4239673700"/>
    <n v="12.85"/>
    <n v="5"/>
  </r>
  <r>
    <x v="17"/>
    <x v="60"/>
    <x v="60"/>
    <s v="HSX"/>
    <s v="8780"/>
    <n v="0.70542411409053729"/>
    <n v="0.71084822818107463"/>
    <n v="0.7"/>
    <n v="383655294180"/>
    <n v="12.6"/>
    <n v="6"/>
  </r>
  <r>
    <x v="17"/>
    <x v="28"/>
    <x v="28"/>
    <s v="UPCOM"/>
    <s v="2770"/>
    <n v="0.69186075636702693"/>
    <n v="0.68372151273405379"/>
    <n v="0.7"/>
    <n v="8502341600"/>
    <n v="134.5"/>
    <n v="7"/>
  </r>
  <r>
    <x v="17"/>
    <x v="40"/>
    <x v="40"/>
    <s v="HSX"/>
    <s v="4530"/>
    <n v="0.69038547158505081"/>
    <n v="0.93077094317010167"/>
    <n v="0.45"/>
    <n v="4109400400"/>
    <n v="5.27"/>
    <n v="8"/>
  </r>
  <r>
    <x v="17"/>
    <x v="57"/>
    <x v="57"/>
    <s v="HSX"/>
    <s v="3570"/>
    <n v="0.68644989735271422"/>
    <n v="0.72289979470542853"/>
    <n v="0.65"/>
    <n v="100861428600"/>
    <n v="33.15"/>
    <n v="9"/>
  </r>
  <r>
    <x v="17"/>
    <x v="66"/>
    <x v="66"/>
    <s v="HSX"/>
    <s v="8630"/>
    <n v="0.65715857987390947"/>
    <n v="0.9143171597478188"/>
    <n v="0.4"/>
    <n v="2066935100"/>
    <n v="8.0299999999999994"/>
    <n v="10"/>
  </r>
  <r>
    <x v="17"/>
    <x v="73"/>
    <x v="73"/>
    <s v="HSX"/>
    <s v="8630"/>
    <n v="0.65116167010818771"/>
    <n v="0.60232334021637557"/>
    <n v="0.7"/>
    <n v="11012832920"/>
    <n v="3.37"/>
    <n v="11"/>
  </r>
  <r>
    <x v="17"/>
    <x v="59"/>
    <x v="59"/>
    <s v="HSX"/>
    <s v="7530"/>
    <n v="0.62186256174963139"/>
    <n v="0.69372512349926274"/>
    <n v="0.55000000000000004"/>
    <n v="11097689700"/>
    <n v="13.95"/>
    <n v="12"/>
  </r>
  <r>
    <x v="17"/>
    <x v="39"/>
    <x v="39"/>
    <s v="HSX"/>
    <s v="8630"/>
    <n v="0.6113988653526321"/>
    <n v="0.77279773070526425"/>
    <n v="0.45"/>
    <n v="88516514500"/>
    <n v="18.2"/>
    <n v="13"/>
  </r>
  <r>
    <x v="17"/>
    <x v="71"/>
    <x v="71"/>
    <s v="HSX"/>
    <s v="8780"/>
    <n v="0.60308040699786847"/>
    <n v="0.85616081399573696"/>
    <n v="0.35"/>
    <n v="4719363860"/>
    <n v="10.55"/>
    <n v="14"/>
  </r>
  <r>
    <x v="17"/>
    <x v="62"/>
    <x v="62"/>
    <s v="HSX"/>
    <s v="1350"/>
    <n v="0.60050077079032937"/>
    <n v="0.70100154158065875"/>
    <n v="0.5"/>
    <n v="94717484800"/>
    <n v="34.5"/>
    <n v="15"/>
  </r>
  <r>
    <x v="17"/>
    <x v="75"/>
    <x v="75"/>
    <s v="HSX"/>
    <s v="2350"/>
    <n v="0.56523126634718623"/>
    <n v="0.9304625326943724"/>
    <n v="0.2"/>
    <n v="4622662540"/>
    <n v="11.1"/>
    <n v="16"/>
  </r>
  <r>
    <x v="17"/>
    <x v="64"/>
    <x v="64"/>
    <s v="HSX"/>
    <s v="8630"/>
    <n v="0.56126975277902524"/>
    <n v="0.37253950555805038"/>
    <n v="0.75"/>
    <n v="11497729420"/>
    <n v="7.1"/>
    <n v="17"/>
  </r>
  <r>
    <x v="17"/>
    <x v="30"/>
    <x v="30"/>
    <s v="HSX"/>
    <s v="8630"/>
    <n v="0.55324779225055054"/>
    <n v="0.85649558450110108"/>
    <n v="0.25"/>
    <n v="15246215200"/>
    <n v="9.1999999999999993"/>
    <n v="18"/>
  </r>
  <r>
    <x v="17"/>
    <x v="78"/>
    <x v="78"/>
    <s v="HSX"/>
    <s v="8630"/>
    <n v="0.54907495792124184"/>
    <n v="0.94814991584248365"/>
    <n v="0.15"/>
    <n v="3401119200"/>
    <n v="43"/>
    <n v="19"/>
  </r>
  <r>
    <x v="17"/>
    <x v="27"/>
    <x v="27"/>
    <s v="HSX"/>
    <s v="3570"/>
    <n v="0.54845879781496121"/>
    <n v="0.74691759562992244"/>
    <n v="0.35"/>
    <n v="34902955700"/>
    <n v="14.9"/>
    <n v="20"/>
  </r>
  <r>
    <x v="18"/>
    <x v="26"/>
    <x v="26"/>
    <s v="HSX"/>
    <s v="1350"/>
    <n v="0.82768794905187382"/>
    <n v="0.7553758981037475"/>
    <n v="0.9"/>
    <n v="18892908000"/>
    <n v="82.6"/>
    <n v="1"/>
  </r>
  <r>
    <x v="18"/>
    <x v="65"/>
    <x v="65"/>
    <s v="HSX"/>
    <s v="8350"/>
    <n v="0.81085985588039544"/>
    <n v="0.97171971176079075"/>
    <n v="0.65"/>
    <n v="315810931580"/>
    <n v="12.7"/>
    <n v="2"/>
  </r>
  <r>
    <x v="18"/>
    <x v="77"/>
    <x v="77"/>
    <s v="HNX"/>
    <s v="8780"/>
    <n v="0.80414783294696135"/>
    <n v="0.90829566589392263"/>
    <n v="0.7"/>
    <n v="2068855400"/>
    <n v="7.5"/>
    <n v="3"/>
  </r>
  <r>
    <x v="18"/>
    <x v="4"/>
    <x v="4"/>
    <s v="HNX"/>
    <s v="2350"/>
    <n v="0.76219781865983549"/>
    <n v="0.924395637319671"/>
    <n v="0.6"/>
    <n v="8592692400"/>
    <n v="14.4"/>
    <n v="4"/>
  </r>
  <r>
    <x v="18"/>
    <x v="40"/>
    <x v="40"/>
    <s v="HSX"/>
    <s v="4530"/>
    <n v="0.6798218108269557"/>
    <n v="0.90964362165391133"/>
    <n v="0.45"/>
    <n v="4203682800"/>
    <n v="5.3"/>
    <n v="5"/>
  </r>
  <r>
    <x v="18"/>
    <x v="63"/>
    <x v="63"/>
    <s v="HSX"/>
    <s v="1750"/>
    <n v="0.65775391702599184"/>
    <n v="0.65775391702599184"/>
    <m/>
    <n v="4243718000"/>
    <n v="12.75"/>
    <n v="6"/>
  </r>
  <r>
    <x v="18"/>
    <x v="60"/>
    <x v="60"/>
    <s v="HSX"/>
    <s v="8780"/>
    <n v="0.61811554105094157"/>
    <n v="0.63623108210188317"/>
    <n v="0.6"/>
    <n v="388886680340"/>
    <n v="12.55"/>
    <n v="7"/>
  </r>
  <r>
    <x v="18"/>
    <x v="66"/>
    <x v="66"/>
    <s v="HSX"/>
    <s v="8630"/>
    <n v="0.61662383270833476"/>
    <n v="0.88324766541666955"/>
    <n v="0.35"/>
    <n v="2064496300"/>
    <n v="8.0500000000000007"/>
    <n v="8"/>
  </r>
  <r>
    <x v="18"/>
    <x v="39"/>
    <x v="39"/>
    <s v="HSX"/>
    <s v="8630"/>
    <n v="0.61363210089653464"/>
    <n v="0.8772642017930693"/>
    <n v="0.35"/>
    <n v="93663597300"/>
    <n v="18.8"/>
    <n v="9"/>
  </r>
  <r>
    <x v="18"/>
    <x v="75"/>
    <x v="75"/>
    <s v="HSX"/>
    <s v="2350"/>
    <n v="0.61343017352283091"/>
    <n v="0.97686034704566194"/>
    <n v="0.25"/>
    <n v="4613805780"/>
    <n v="11.85"/>
    <n v="10"/>
  </r>
  <r>
    <x v="18"/>
    <x v="79"/>
    <x v="79"/>
    <s v="HNX"/>
    <s v="2770"/>
    <n v="0.60730661421656085"/>
    <n v="0.96461322843312158"/>
    <n v="0.25"/>
    <n v="4062859200"/>
    <n v="6.7"/>
    <n v="11"/>
  </r>
  <r>
    <x v="18"/>
    <x v="80"/>
    <x v="80"/>
    <s v="HSX"/>
    <s v="8630"/>
    <n v="0.59847655941189226"/>
    <n v="0.89695311882378448"/>
    <n v="0.3"/>
    <n v="5116280840"/>
    <n v="12.05"/>
    <n v="12"/>
  </r>
  <r>
    <x v="18"/>
    <x v="70"/>
    <x v="70"/>
    <s v="HSX"/>
    <s v="8350"/>
    <n v="0.58080661674123313"/>
    <n v="0.56161323348246617"/>
    <n v="0.6"/>
    <n v="9452126600"/>
    <n v="10.4"/>
    <n v="13"/>
  </r>
  <r>
    <x v="18"/>
    <x v="30"/>
    <x v="30"/>
    <s v="HSX"/>
    <s v="8630"/>
    <n v="0.57193750352815609"/>
    <n v="0.94387500705631222"/>
    <n v="0.2"/>
    <n v="15963980320"/>
    <n v="9.84"/>
    <n v="14"/>
  </r>
  <r>
    <x v="18"/>
    <x v="71"/>
    <x v="71"/>
    <s v="HSX"/>
    <s v="8780"/>
    <n v="0.56972264742376"/>
    <n v="0.83944529484752006"/>
    <n v="0.3"/>
    <n v="4751455560"/>
    <n v="10.55"/>
    <n v="15"/>
  </r>
  <r>
    <x v="18"/>
    <x v="27"/>
    <x v="27"/>
    <s v="HSX"/>
    <s v="3570"/>
    <n v="0.56412032990355021"/>
    <n v="0.72824065980710051"/>
    <n v="0.4"/>
    <n v="34992099800"/>
    <n v="14.85"/>
    <n v="16"/>
  </r>
  <r>
    <x v="18"/>
    <x v="59"/>
    <x v="59"/>
    <s v="HSX"/>
    <s v="7530"/>
    <n v="0.56066132853462669"/>
    <n v="0.82132265706925334"/>
    <n v="0.3"/>
    <n v="11583758100"/>
    <n v="14.1"/>
    <n v="17"/>
  </r>
  <r>
    <x v="18"/>
    <x v="28"/>
    <x v="28"/>
    <s v="UPCOM"/>
    <s v="2770"/>
    <n v="0.55489496157131057"/>
    <n v="0.95978992314262113"/>
    <n v="0.15"/>
    <n v="9052295400"/>
    <n v="151.9"/>
    <n v="18"/>
  </r>
  <r>
    <x v="18"/>
    <x v="62"/>
    <x v="62"/>
    <s v="HSX"/>
    <s v="1350"/>
    <n v="0.55274189816701003"/>
    <n v="0.75548379633402019"/>
    <n v="0.35"/>
    <n v="96877967600"/>
    <n v="34.950000000000003"/>
    <n v="19"/>
  </r>
  <r>
    <x v="18"/>
    <x v="64"/>
    <x v="64"/>
    <s v="HSX"/>
    <s v="8630"/>
    <n v="0.54961960053857295"/>
    <n v="0.3492392010771459"/>
    <n v="0.75"/>
    <n v="11408113180"/>
    <n v="7.2"/>
    <n v="20"/>
  </r>
  <r>
    <x v="19"/>
    <x v="26"/>
    <x v="26"/>
    <s v="HSX"/>
    <s v="1350"/>
    <n v="0.83633881358660589"/>
    <n v="0.77267762717321165"/>
    <n v="0.9"/>
    <n v="19042315600"/>
    <n v="83.9"/>
    <n v="1"/>
  </r>
  <r>
    <x v="19"/>
    <x v="65"/>
    <x v="65"/>
    <s v="HSX"/>
    <s v="8350"/>
    <n v="0.80272419894368319"/>
    <n v="0.95544839788736635"/>
    <n v="0.65"/>
    <n v="321813532380"/>
    <n v="12.7"/>
    <n v="2"/>
  </r>
  <r>
    <x v="19"/>
    <x v="77"/>
    <x v="77"/>
    <s v="HNX"/>
    <s v="8780"/>
    <n v="0.75340712547004207"/>
    <n v="0.90681425094008428"/>
    <n v="0.6"/>
    <n v="2115291600"/>
    <n v="7.4"/>
    <n v="3"/>
  </r>
  <r>
    <x v="19"/>
    <x v="30"/>
    <x v="30"/>
    <s v="HSX"/>
    <s v="8630"/>
    <n v="0.7396791507876247"/>
    <n v="0.97935830157524939"/>
    <n v="0.5"/>
    <n v="18615604320"/>
    <n v="10.3"/>
    <n v="4"/>
  </r>
  <r>
    <x v="19"/>
    <x v="35"/>
    <x v="35"/>
    <s v="HSX"/>
    <s v="8780"/>
    <n v="0.71900163425738217"/>
    <n v="0.88800326851476419"/>
    <n v="0.55000000000000004"/>
    <n v="36658211100"/>
    <n v="59"/>
    <n v="5"/>
  </r>
  <r>
    <x v="19"/>
    <x v="4"/>
    <x v="4"/>
    <s v="HNX"/>
    <s v="2350"/>
    <n v="0.71386158801542066"/>
    <n v="0.92772317603084142"/>
    <n v="0.5"/>
    <n v="8921601200"/>
    <n v="14.4"/>
    <n v="6"/>
  </r>
  <r>
    <x v="19"/>
    <x v="59"/>
    <x v="59"/>
    <s v="HSX"/>
    <s v="7530"/>
    <n v="0.70167598323641256"/>
    <n v="0.70335196647282505"/>
    <n v="0.7"/>
    <n v="11786255300"/>
    <n v="13.9"/>
    <n v="7"/>
  </r>
  <r>
    <x v="19"/>
    <x v="81"/>
    <x v="81"/>
    <s v="HSX"/>
    <s v="8630"/>
    <n v="0.68854044573910089"/>
    <n v="0.87708089147820179"/>
    <n v="0.5"/>
    <n v="3346774500"/>
    <n v="4.6500000000000004"/>
    <n v="8"/>
  </r>
  <r>
    <x v="19"/>
    <x v="63"/>
    <x v="63"/>
    <s v="HSX"/>
    <s v="1750"/>
    <n v="0.65743595648861675"/>
    <n v="0.65743595648861675"/>
    <m/>
    <n v="4280370400"/>
    <n v="12.7"/>
    <n v="9"/>
  </r>
  <r>
    <x v="19"/>
    <x v="75"/>
    <x v="75"/>
    <s v="HSX"/>
    <s v="2350"/>
    <n v="0.64431375942138469"/>
    <n v="0.98862751884276934"/>
    <n v="0.3"/>
    <n v="4755543840"/>
    <n v="12.4"/>
    <n v="10"/>
  </r>
  <r>
    <x v="19"/>
    <x v="62"/>
    <x v="62"/>
    <s v="HSX"/>
    <s v="1350"/>
    <n v="0.64213568115179509"/>
    <n v="0.73427136230359003"/>
    <n v="0.55000000000000004"/>
    <n v="99457001200"/>
    <n v="34.799999999999997"/>
    <n v="11"/>
  </r>
  <r>
    <x v="19"/>
    <x v="60"/>
    <x v="60"/>
    <s v="HSX"/>
    <s v="8780"/>
    <n v="0.63214768392065879"/>
    <n v="0.6642953678413176"/>
    <n v="0.6"/>
    <n v="393673183640"/>
    <n v="12.55"/>
    <n v="12"/>
  </r>
  <r>
    <x v="19"/>
    <x v="66"/>
    <x v="66"/>
    <s v="HSX"/>
    <s v="8630"/>
    <n v="0.61463487490455893"/>
    <n v="0.87926974980911798"/>
    <n v="0.35"/>
    <n v="2079080300"/>
    <n v="8"/>
    <n v="13"/>
  </r>
  <r>
    <x v="19"/>
    <x v="40"/>
    <x v="40"/>
    <s v="HSX"/>
    <s v="4530"/>
    <n v="0.6116342490916078"/>
    <n v="0.82326849818321557"/>
    <n v="0.4"/>
    <n v="4187136120"/>
    <n v="5.22"/>
    <n v="14"/>
  </r>
  <r>
    <x v="19"/>
    <x v="69"/>
    <x v="69"/>
    <s v="HSX"/>
    <s v="8630"/>
    <n v="0.59431170404685707"/>
    <n v="0.83862340809371427"/>
    <n v="0.35"/>
    <n v="3345831600"/>
    <n v="2.2000000000000002"/>
    <n v="15"/>
  </r>
  <r>
    <x v="19"/>
    <x v="27"/>
    <x v="27"/>
    <s v="HSX"/>
    <s v="3570"/>
    <n v="0.58058363820967351"/>
    <n v="0.76116727641934701"/>
    <n v="0.4"/>
    <n v="35434641500"/>
    <n v="14.85"/>
    <n v="16"/>
  </r>
  <r>
    <x v="19"/>
    <x v="28"/>
    <x v="28"/>
    <s v="UPCOM"/>
    <s v="2770"/>
    <n v="0.57037293858992966"/>
    <n v="0.89074587717985931"/>
    <n v="0.25"/>
    <n v="9129547400"/>
    <n v="148"/>
    <n v="17"/>
  </r>
  <r>
    <x v="19"/>
    <x v="82"/>
    <x v="82"/>
    <s v="UPCOM"/>
    <s v="2350"/>
    <n v="0.55569147262088925"/>
    <n v="0.76138294524177863"/>
    <n v="0.35"/>
    <n v="10046008800"/>
    <n v="5.9"/>
    <n v="18"/>
  </r>
  <r>
    <x v="19"/>
    <x v="39"/>
    <x v="39"/>
    <s v="HSX"/>
    <s v="8630"/>
    <n v="0.54697122526822795"/>
    <n v="0.84394245053645589"/>
    <n v="0.25"/>
    <n v="97583179700"/>
    <n v="18.7"/>
    <n v="19"/>
  </r>
  <r>
    <x v="19"/>
    <x v="61"/>
    <x v="61"/>
    <s v="HSX"/>
    <s v="8630"/>
    <n v="0.54060196134837268"/>
    <n v="0.98120392269674528"/>
    <n v="0.1"/>
    <n v="182449460900"/>
    <n v="58"/>
    <n v="20"/>
  </r>
  <r>
    <x v="20"/>
    <x v="30"/>
    <x v="30"/>
    <s v="HSX"/>
    <s v="8630"/>
    <n v="0.81684554164555168"/>
    <n v="0.98369108329110333"/>
    <n v="0.65"/>
    <n v="19792934280"/>
    <n v="10.5"/>
    <n v="1"/>
  </r>
  <r>
    <x v="20"/>
    <x v="65"/>
    <x v="65"/>
    <s v="HSX"/>
    <s v="8350"/>
    <n v="0.77323919566835309"/>
    <n v="0.94647839133670608"/>
    <n v="0.6"/>
    <n v="333766154980"/>
    <n v="12.45"/>
    <n v="2"/>
  </r>
  <r>
    <x v="20"/>
    <x v="28"/>
    <x v="28"/>
    <s v="UPCOM"/>
    <s v="2770"/>
    <n v="0.69036171583471084"/>
    <n v="0.83072343166942153"/>
    <n v="0.55000000000000004"/>
    <n v="9285339400"/>
    <n v="140"/>
    <n v="3"/>
  </r>
  <r>
    <x v="20"/>
    <x v="77"/>
    <x v="77"/>
    <s v="HNX"/>
    <s v="8780"/>
    <n v="0.66547827211500843"/>
    <n v="0.8809565442300169"/>
    <n v="0.45"/>
    <n v="2149503200"/>
    <n v="7.3"/>
    <n v="4"/>
  </r>
  <r>
    <x v="20"/>
    <x v="83"/>
    <x v="83"/>
    <s v="HSX"/>
    <s v="8630"/>
    <n v="0.66466790059317171"/>
    <n v="0.87933580118634347"/>
    <n v="0.45"/>
    <n v="2892421640"/>
    <n v="8.99"/>
    <n v="5"/>
  </r>
  <r>
    <x v="20"/>
    <x v="81"/>
    <x v="81"/>
    <s v="HSX"/>
    <s v="8630"/>
    <n v="0.65624966454722733"/>
    <n v="0.96249932909445468"/>
    <n v="0.35"/>
    <n v="4139949540"/>
    <n v="4.97"/>
    <n v="6"/>
  </r>
  <r>
    <x v="20"/>
    <x v="63"/>
    <x v="63"/>
    <s v="HSX"/>
    <s v="1750"/>
    <n v="0.63820101727447953"/>
    <n v="0.63820101727447953"/>
    <m/>
    <n v="4332626600"/>
    <n v="12.65"/>
    <n v="7"/>
  </r>
  <r>
    <x v="20"/>
    <x v="4"/>
    <x v="4"/>
    <s v="HNX"/>
    <s v="2350"/>
    <n v="0.63362494809238468"/>
    <n v="0.8172498961847694"/>
    <n v="0.45"/>
    <n v="8902345600"/>
    <n v="14"/>
    <n v="8"/>
  </r>
  <r>
    <x v="20"/>
    <x v="59"/>
    <x v="59"/>
    <s v="HSX"/>
    <s v="7530"/>
    <n v="0.62147787290857204"/>
    <n v="0.79295574581714401"/>
    <n v="0.45"/>
    <n v="12110845800"/>
    <n v="14.15"/>
    <n v="9"/>
  </r>
  <r>
    <x v="20"/>
    <x v="75"/>
    <x v="75"/>
    <s v="HSX"/>
    <s v="2350"/>
    <n v="0.61542697583756156"/>
    <n v="0.98085395167512313"/>
    <n v="0.25"/>
    <n v="4799801660"/>
    <n v="11.95"/>
    <n v="10"/>
  </r>
  <r>
    <x v="20"/>
    <x v="79"/>
    <x v="79"/>
    <s v="HNX"/>
    <s v="2770"/>
    <n v="0.61087035698642422"/>
    <n v="0.97174071397284834"/>
    <n v="0.25"/>
    <n v="4783524400"/>
    <n v="6.8"/>
    <n v="11"/>
  </r>
  <r>
    <x v="20"/>
    <x v="80"/>
    <x v="80"/>
    <s v="HSX"/>
    <s v="8630"/>
    <n v="0.60001819613132024"/>
    <n v="0.75003639226264052"/>
    <n v="0.45"/>
    <n v="5266050140"/>
    <n v="11.6"/>
    <n v="12"/>
  </r>
  <r>
    <x v="20"/>
    <x v="69"/>
    <x v="69"/>
    <s v="HSX"/>
    <s v="8630"/>
    <n v="0.58592547006349593"/>
    <n v="0.77185094012699185"/>
    <n v="0.4"/>
    <n v="3438305920"/>
    <n v="2.1800000000000002"/>
    <n v="13"/>
  </r>
  <r>
    <x v="20"/>
    <x v="73"/>
    <x v="73"/>
    <s v="HSX"/>
    <s v="8630"/>
    <n v="0.58080686983321805"/>
    <n v="0.61161373966643606"/>
    <n v="0.55000000000000004"/>
    <n v="11819642080"/>
    <n v="3.41"/>
    <n v="14"/>
  </r>
  <r>
    <x v="20"/>
    <x v="66"/>
    <x v="66"/>
    <s v="HSX"/>
    <s v="8630"/>
    <n v="0.57445653542293529"/>
    <n v="0.84891307084587053"/>
    <n v="0.3"/>
    <n v="2018146160"/>
    <n v="7.92"/>
    <n v="15"/>
  </r>
  <r>
    <x v="20"/>
    <x v="27"/>
    <x v="27"/>
    <s v="HSX"/>
    <s v="3570"/>
    <n v="0.56617387907574956"/>
    <n v="0.73234775815149922"/>
    <n v="0.4"/>
    <n v="35654434400"/>
    <n v="14.85"/>
    <n v="16"/>
  </r>
  <r>
    <x v="20"/>
    <x v="26"/>
    <x v="26"/>
    <s v="HSX"/>
    <s v="1350"/>
    <n v="0.55564270691242879"/>
    <n v="0.71128541382485744"/>
    <n v="0.4"/>
    <n v="19400412400"/>
    <n v="79"/>
    <n v="17"/>
  </r>
  <r>
    <x v="20"/>
    <x v="35"/>
    <x v="35"/>
    <s v="HSX"/>
    <s v="8780"/>
    <n v="0.55155739250497704"/>
    <n v="0.75311478500995399"/>
    <n v="0.35"/>
    <n v="37823839700"/>
    <n v="57.3"/>
    <n v="18"/>
  </r>
  <r>
    <x v="20"/>
    <x v="71"/>
    <x v="71"/>
    <s v="HSX"/>
    <s v="8780"/>
    <n v="0.54854325446003882"/>
    <n v="0.7970865089200776"/>
    <n v="0.3"/>
    <n v="4506223140"/>
    <n v="10.35"/>
    <n v="19"/>
  </r>
  <r>
    <x v="20"/>
    <x v="40"/>
    <x v="40"/>
    <s v="HSX"/>
    <s v="4530"/>
    <n v="0.54716202200476294"/>
    <n v="0.79432404400952583"/>
    <n v="0.3"/>
    <n v="4180080840"/>
    <n v="5.13"/>
    <n v="20"/>
  </r>
  <r>
    <x v="21"/>
    <x v="30"/>
    <x v="30"/>
    <s v="HSX"/>
    <s v="8630"/>
    <n v="0.81516029755408703"/>
    <n v="0.98032059510817393"/>
    <n v="0.65"/>
    <n v="20896475080"/>
    <n v="10.45"/>
    <n v="1"/>
  </r>
  <r>
    <x v="21"/>
    <x v="65"/>
    <x v="65"/>
    <s v="HSX"/>
    <s v="8350"/>
    <n v="0.79037041816465103"/>
    <n v="0.93074083632930205"/>
    <n v="0.65"/>
    <n v="340949219880"/>
    <n v="12.45"/>
    <n v="2"/>
  </r>
  <r>
    <x v="21"/>
    <x v="66"/>
    <x v="66"/>
    <s v="HSX"/>
    <s v="8630"/>
    <n v="0.76103939399328202"/>
    <n v="0.92207878798656395"/>
    <n v="0.6"/>
    <n v="2054247320"/>
    <n v="8.09"/>
    <n v="3"/>
  </r>
  <r>
    <x v="21"/>
    <x v="11"/>
    <x v="11"/>
    <s v="UPCOM"/>
    <s v="1770"/>
    <n v="0.75371647033041511"/>
    <n v="0.65743294066083036"/>
    <n v="0.85"/>
    <n v="3493390800"/>
    <n v="21.6"/>
    <n v="4"/>
  </r>
  <r>
    <x v="21"/>
    <x v="77"/>
    <x v="77"/>
    <s v="HNX"/>
    <s v="8780"/>
    <n v="0.7106773096728195"/>
    <n v="0.87135461934563896"/>
    <n v="0.55000000000000004"/>
    <n v="2154740000"/>
    <n v="7.4"/>
    <n v="5"/>
  </r>
  <r>
    <x v="21"/>
    <x v="59"/>
    <x v="59"/>
    <s v="HSX"/>
    <s v="7530"/>
    <n v="0.70954151571182988"/>
    <n v="0.7190830314236597"/>
    <n v="0.7"/>
    <n v="12214977800"/>
    <n v="14"/>
    <n v="6"/>
  </r>
  <r>
    <x v="21"/>
    <x v="81"/>
    <x v="81"/>
    <s v="HSX"/>
    <s v="8630"/>
    <n v="0.67409758382478491"/>
    <n v="0.9481951676495699"/>
    <n v="0.4"/>
    <n v="4378581160"/>
    <n v="4.8899999999999997"/>
    <n v="7"/>
  </r>
  <r>
    <x v="21"/>
    <x v="75"/>
    <x v="75"/>
    <s v="HSX"/>
    <s v="2350"/>
    <n v="0.67061081438686898"/>
    <n v="0.99122162877373787"/>
    <n v="0.35"/>
    <n v="4893915860"/>
    <n v="12.75"/>
    <n v="8"/>
  </r>
  <r>
    <x v="21"/>
    <x v="28"/>
    <x v="28"/>
    <s v="UPCOM"/>
    <s v="2770"/>
    <n v="0.65602257572769507"/>
    <n v="0.76204515145539009"/>
    <n v="0.55000000000000004"/>
    <n v="9294309400"/>
    <n v="140.5"/>
    <n v="9"/>
  </r>
  <r>
    <x v="21"/>
    <x v="67"/>
    <x v="67"/>
    <s v="HSX"/>
    <s v="2730"/>
    <n v="0.64967334936684418"/>
    <n v="0.89934669873368833"/>
    <n v="0.4"/>
    <n v="208827454400"/>
    <n v="24.4"/>
    <n v="10"/>
  </r>
  <r>
    <x v="21"/>
    <x v="83"/>
    <x v="83"/>
    <s v="HSX"/>
    <s v="8630"/>
    <n v="0.64685274568899553"/>
    <n v="0.89370549137799105"/>
    <n v="0.4"/>
    <n v="2909933200"/>
    <n v="9.01"/>
    <n v="11"/>
  </r>
  <r>
    <x v="21"/>
    <x v="27"/>
    <x v="27"/>
    <s v="HSX"/>
    <s v="3570"/>
    <n v="0.64449091235026257"/>
    <n v="0.78898182470052514"/>
    <n v="0.5"/>
    <n v="36113725000"/>
    <n v="15.1"/>
    <n v="12"/>
  </r>
  <r>
    <x v="21"/>
    <x v="60"/>
    <x v="60"/>
    <s v="HSX"/>
    <s v="8780"/>
    <n v="0.6373383839887774"/>
    <n v="0.62467676797755489"/>
    <n v="0.65"/>
    <n v="400300078820"/>
    <n v="12.5"/>
    <n v="13"/>
  </r>
  <r>
    <x v="21"/>
    <x v="69"/>
    <x v="69"/>
    <s v="HSX"/>
    <s v="8630"/>
    <n v="0.62961182474586963"/>
    <n v="0.80922364949173931"/>
    <n v="0.45"/>
    <n v="3548590080"/>
    <n v="2.19"/>
    <n v="14"/>
  </r>
  <r>
    <x v="21"/>
    <x v="4"/>
    <x v="4"/>
    <s v="HNX"/>
    <s v="2350"/>
    <n v="0.61941724586072755"/>
    <n v="0.78883449172145514"/>
    <n v="0.45"/>
    <n v="8933856600"/>
    <n v="13.8"/>
    <n v="15"/>
  </r>
  <r>
    <x v="21"/>
    <x v="79"/>
    <x v="79"/>
    <s v="HNX"/>
    <s v="2770"/>
    <n v="0.61488233075872811"/>
    <n v="0.97976466151745611"/>
    <n v="0.25"/>
    <n v="5018629000"/>
    <n v="6.9"/>
    <n v="16"/>
  </r>
  <r>
    <x v="21"/>
    <x v="63"/>
    <x v="63"/>
    <s v="HSX"/>
    <s v="1750"/>
    <n v="0.61140385253774088"/>
    <n v="0.61140385253774088"/>
    <m/>
    <n v="4344335000"/>
    <n v="12.65"/>
    <n v="17"/>
  </r>
  <r>
    <x v="21"/>
    <x v="2"/>
    <x v="2"/>
    <s v="HNX"/>
    <s v="1770"/>
    <n v="0.59374837950532466"/>
    <n v="0.93749675901064944"/>
    <n v="0.25"/>
    <n v="2936805200"/>
    <n v="355"/>
    <n v="18"/>
  </r>
  <r>
    <x v="21"/>
    <x v="80"/>
    <x v="80"/>
    <s v="HSX"/>
    <s v="8630"/>
    <n v="0.5886343599042414"/>
    <n v="0.72726871980848273"/>
    <n v="0.45"/>
    <n v="5324007340"/>
    <n v="11.6"/>
    <n v="19"/>
  </r>
  <r>
    <x v="21"/>
    <x v="35"/>
    <x v="35"/>
    <s v="HSX"/>
    <s v="8780"/>
    <n v="0.58785680860153489"/>
    <n v="0.72571361720306982"/>
    <n v="0.45"/>
    <n v="39049263900"/>
    <n v="56.8"/>
    <n v="20"/>
  </r>
  <r>
    <x v="22"/>
    <x v="11"/>
    <x v="11"/>
    <s v="UPCOM"/>
    <s v="1770"/>
    <n v="0.82166652588137046"/>
    <n v="0.89333305176274103"/>
    <n v="0.75"/>
    <n v="3574934800"/>
    <n v="24.2"/>
    <n v="1"/>
  </r>
  <r>
    <x v="22"/>
    <x v="65"/>
    <x v="65"/>
    <s v="HSX"/>
    <s v="8350"/>
    <n v="0.79398037964319657"/>
    <n v="0.937960759286393"/>
    <n v="0.65"/>
    <n v="351739801580"/>
    <n v="12.55"/>
    <n v="2"/>
  </r>
  <r>
    <x v="22"/>
    <x v="36"/>
    <x v="36"/>
    <s v="HNX"/>
    <s v="1770"/>
    <n v="0.79269364695998656"/>
    <n v="0.83538729391997324"/>
    <n v="0.75"/>
    <n v="3258594200"/>
    <n v="64.5"/>
    <n v="3"/>
  </r>
  <r>
    <x v="22"/>
    <x v="81"/>
    <x v="81"/>
    <s v="HSX"/>
    <s v="8630"/>
    <n v="0.78626415161134466"/>
    <n v="0.97252830322268946"/>
    <n v="0.6"/>
    <n v="4747458380"/>
    <n v="5.1100000000000003"/>
    <n v="4"/>
  </r>
  <r>
    <x v="22"/>
    <x v="83"/>
    <x v="83"/>
    <s v="HSX"/>
    <s v="8630"/>
    <n v="0.72495352226734899"/>
    <n v="0.89990704453469794"/>
    <n v="0.55000000000000004"/>
    <n v="2902223140"/>
    <n v="9.1999999999999993"/>
    <n v="5"/>
  </r>
  <r>
    <x v="22"/>
    <x v="63"/>
    <x v="63"/>
    <s v="HSX"/>
    <s v="1750"/>
    <n v="0.71953226111094515"/>
    <n v="0.71953226111094515"/>
    <m/>
    <n v="4402563000"/>
    <n v="13"/>
    <n v="6"/>
  </r>
  <r>
    <x v="22"/>
    <x v="30"/>
    <x v="30"/>
    <s v="HSX"/>
    <s v="8630"/>
    <n v="0.71937147176134086"/>
    <n v="0.98874294352268166"/>
    <n v="0.45"/>
    <n v="23555589380"/>
    <n v="11.15"/>
    <n v="7"/>
  </r>
  <r>
    <x v="22"/>
    <x v="77"/>
    <x v="77"/>
    <s v="HNX"/>
    <s v="8780"/>
    <n v="0.71036805545385939"/>
    <n v="0.87073611090771874"/>
    <n v="0.55000000000000004"/>
    <n v="2162592800"/>
    <n v="7.4"/>
    <n v="8"/>
  </r>
  <r>
    <x v="22"/>
    <x v="59"/>
    <x v="59"/>
    <s v="HSX"/>
    <s v="7530"/>
    <n v="0.69821126425559221"/>
    <n v="0.74642252851118429"/>
    <n v="0.65"/>
    <n v="12359335300"/>
    <n v="14.1"/>
    <n v="9"/>
  </r>
  <r>
    <x v="22"/>
    <x v="75"/>
    <x v="75"/>
    <s v="HSX"/>
    <s v="2350"/>
    <n v="0.69477817890949956"/>
    <n v="0.9895563578189992"/>
    <n v="0.4"/>
    <n v="4799131660"/>
    <n v="13.15"/>
    <n v="10"/>
  </r>
  <r>
    <x v="22"/>
    <x v="60"/>
    <x v="60"/>
    <s v="HSX"/>
    <s v="8780"/>
    <n v="0.6941749461307003"/>
    <n v="0.83834989226140066"/>
    <n v="0.55000000000000004"/>
    <n v="414330623120"/>
    <n v="12.95"/>
    <n v="11"/>
  </r>
  <r>
    <x v="22"/>
    <x v="67"/>
    <x v="67"/>
    <s v="HSX"/>
    <s v="2730"/>
    <n v="0.67827124419192442"/>
    <n v="0.95654248838384881"/>
    <n v="0.4"/>
    <n v="224211590800"/>
    <n v="25.65"/>
    <n v="12"/>
  </r>
  <r>
    <x v="22"/>
    <x v="84"/>
    <x v="84"/>
    <s v="HSX"/>
    <s v="2350"/>
    <n v="0.66172888286320408"/>
    <n v="0.77345776572640812"/>
    <n v="0.55000000000000004"/>
    <n v="28635775900"/>
    <n v="53.2"/>
    <n v="13"/>
  </r>
  <r>
    <x v="22"/>
    <x v="68"/>
    <x v="68"/>
    <s v="HSX"/>
    <s v="2350"/>
    <n v="0.64118394866265194"/>
    <n v="0.83236789732530392"/>
    <n v="0.45"/>
    <n v="10936138400"/>
    <n v="14.3"/>
    <n v="14"/>
  </r>
  <r>
    <x v="22"/>
    <x v="28"/>
    <x v="28"/>
    <s v="UPCOM"/>
    <s v="2770"/>
    <n v="0.64054837203804627"/>
    <n v="0.73109674407609249"/>
    <n v="0.55000000000000004"/>
    <n v="9322306400"/>
    <n v="140.30000000000001"/>
    <n v="15"/>
  </r>
  <r>
    <x v="22"/>
    <x v="66"/>
    <x v="66"/>
    <s v="HSX"/>
    <s v="8630"/>
    <n v="0.61759958385891778"/>
    <n v="0.88519916771783558"/>
    <n v="0.35"/>
    <n v="2071938800"/>
    <n v="8.0399999999999991"/>
    <n v="16"/>
  </r>
  <r>
    <x v="22"/>
    <x v="1"/>
    <x v="1"/>
    <s v="HNX"/>
    <s v="1770"/>
    <n v="0.6088853044095166"/>
    <n v="0.86777060881903334"/>
    <n v="0.35"/>
    <n v="16088060800"/>
    <n v="227.1"/>
    <n v="17"/>
  </r>
  <r>
    <x v="22"/>
    <x v="4"/>
    <x v="4"/>
    <s v="HNX"/>
    <s v="2350"/>
    <n v="0.60840634920934022"/>
    <n v="0.81681269841868043"/>
    <n v="0.4"/>
    <n v="8975449600"/>
    <n v="14"/>
    <n v="18"/>
  </r>
  <r>
    <x v="22"/>
    <x v="80"/>
    <x v="80"/>
    <s v="HSX"/>
    <s v="8630"/>
    <n v="0.60709846858719252"/>
    <n v="0.71419693717438493"/>
    <n v="0.5"/>
    <n v="5362020140"/>
    <n v="11.6"/>
    <n v="19"/>
  </r>
  <r>
    <x v="22"/>
    <x v="79"/>
    <x v="79"/>
    <s v="HNX"/>
    <s v="2770"/>
    <n v="0.59564190605368317"/>
    <n v="0.99128381210736627"/>
    <n v="0.2"/>
    <n v="5697152800"/>
    <n v="7.5"/>
    <n v="20"/>
  </r>
  <r>
    <x v="23"/>
    <x v="30"/>
    <x v="30"/>
    <s v="HSX"/>
    <s v="8630"/>
    <n v="0.78949297821183184"/>
    <n v="0.97898595642366359"/>
    <n v="0.6"/>
    <n v="24817428900"/>
    <n v="10.4"/>
    <n v="1"/>
  </r>
  <r>
    <x v="23"/>
    <x v="1"/>
    <x v="1"/>
    <s v="HNX"/>
    <s v="1770"/>
    <n v="0.78801668487986865"/>
    <n v="0.97603336975973742"/>
    <n v="0.6"/>
    <n v="16851340400"/>
    <n v="249.8"/>
    <n v="2"/>
  </r>
  <r>
    <x v="23"/>
    <x v="69"/>
    <x v="69"/>
    <s v="HSX"/>
    <s v="8630"/>
    <n v="0.73711792920578079"/>
    <n v="0.77423585841156173"/>
    <n v="0.7"/>
    <n v="3774318860"/>
    <n v="2.11"/>
    <n v="3"/>
  </r>
  <r>
    <x v="23"/>
    <x v="36"/>
    <x v="36"/>
    <s v="HNX"/>
    <s v="1770"/>
    <n v="0.73582509768859761"/>
    <n v="0.97165019537719521"/>
    <n v="0.5"/>
    <n v="3509735400"/>
    <n v="70.900000000000006"/>
    <n v="4"/>
  </r>
  <r>
    <x v="23"/>
    <x v="28"/>
    <x v="28"/>
    <s v="UPCOM"/>
    <s v="2770"/>
    <n v="0.72093124306559342"/>
    <n v="0.59186248613118686"/>
    <n v="0.85"/>
    <n v="9579409600"/>
    <n v="123"/>
    <n v="5"/>
  </r>
  <r>
    <x v="23"/>
    <x v="65"/>
    <x v="65"/>
    <s v="HSX"/>
    <s v="8350"/>
    <n v="0.71953473700235726"/>
    <n v="0.88906947400471437"/>
    <n v="0.55000000000000004"/>
    <n v="367721549180"/>
    <n v="11.7"/>
    <n v="6"/>
  </r>
  <r>
    <x v="23"/>
    <x v="11"/>
    <x v="11"/>
    <s v="UPCOM"/>
    <s v="1770"/>
    <n v="0.68352976893617745"/>
    <n v="0.96705953787235488"/>
    <n v="0.4"/>
    <n v="3713036400"/>
    <n v="26"/>
    <n v="7"/>
  </r>
  <r>
    <x v="23"/>
    <x v="24"/>
    <x v="24"/>
    <s v="HNX"/>
    <s v="8630"/>
    <n v="0.64916615294001689"/>
    <n v="0.69833230588003381"/>
    <n v="0.6"/>
    <n v="6860752000"/>
    <n v="5.5"/>
    <n v="8"/>
  </r>
  <r>
    <x v="23"/>
    <x v="2"/>
    <x v="2"/>
    <s v="HNX"/>
    <s v="1770"/>
    <n v="0.64443410680986046"/>
    <n v="0.93886821361972106"/>
    <n v="0.35"/>
    <n v="3174535000"/>
    <n v="349"/>
    <n v="9"/>
  </r>
  <r>
    <x v="23"/>
    <x v="61"/>
    <x v="61"/>
    <s v="HSX"/>
    <s v="8630"/>
    <n v="0.63889277906864705"/>
    <n v="0.97778555813729418"/>
    <n v="0.3"/>
    <n v="224314657500"/>
    <n v="56.2"/>
    <n v="10"/>
  </r>
  <r>
    <x v="23"/>
    <x v="67"/>
    <x v="67"/>
    <s v="HSX"/>
    <s v="2730"/>
    <n v="0.62619616239685816"/>
    <n v="0.90239232479371634"/>
    <n v="0.35"/>
    <n v="237400059600"/>
    <n v="23.9"/>
    <n v="11"/>
  </r>
  <r>
    <x v="23"/>
    <x v="63"/>
    <x v="63"/>
    <s v="HSX"/>
    <s v="1750"/>
    <n v="0.62583814745172517"/>
    <n v="0.62583814745172517"/>
    <m/>
    <n v="4526848400"/>
    <n v="12.1"/>
    <n v="12"/>
  </r>
  <r>
    <x v="23"/>
    <x v="60"/>
    <x v="60"/>
    <s v="HSX"/>
    <s v="8780"/>
    <n v="0.61715020235239915"/>
    <n v="0.68430040470479836"/>
    <n v="0.55000000000000004"/>
    <n v="428731312560"/>
    <n v="12.05"/>
    <n v="13"/>
  </r>
  <r>
    <x v="23"/>
    <x v="74"/>
    <x v="74"/>
    <s v="HSX"/>
    <s v="3530"/>
    <n v="0.60570594033007619"/>
    <n v="0.81141188066015246"/>
    <n v="0.4"/>
    <n v="7157553800"/>
    <n v="21"/>
    <n v="14"/>
  </r>
  <r>
    <x v="23"/>
    <x v="66"/>
    <x v="66"/>
    <s v="HSX"/>
    <s v="8630"/>
    <n v="0.602962619582464"/>
    <n v="0.80592523916492786"/>
    <n v="0.4"/>
    <n v="2110616160"/>
    <n v="7.48"/>
    <n v="15"/>
  </r>
  <r>
    <x v="23"/>
    <x v="29"/>
    <x v="29"/>
    <s v="HSX"/>
    <s v="8630"/>
    <n v="0.59305666337130913"/>
    <n v="0.73611332674261831"/>
    <n v="0.45"/>
    <n v="2504072600"/>
    <n v="97.3"/>
    <n v="16"/>
  </r>
  <r>
    <x v="23"/>
    <x v="85"/>
    <x v="85"/>
    <s v="HSX"/>
    <s v="2350"/>
    <n v="0.58955727874350794"/>
    <n v="0.72911455748701581"/>
    <n v="0.45"/>
    <n v="4998063800"/>
    <n v="58.7"/>
    <n v="17"/>
  </r>
  <r>
    <x v="23"/>
    <x v="75"/>
    <x v="75"/>
    <s v="HSX"/>
    <s v="2350"/>
    <n v="0.58681965365992916"/>
    <n v="0.97363930731985826"/>
    <n v="0.2"/>
    <n v="4758949560"/>
    <n v="12.25"/>
    <n v="18"/>
  </r>
  <r>
    <x v="23"/>
    <x v="81"/>
    <x v="81"/>
    <s v="HSX"/>
    <s v="8630"/>
    <n v="0.56839008544456404"/>
    <n v="0.93678017088912802"/>
    <n v="0.2"/>
    <n v="4989814620"/>
    <n v="4.76"/>
    <n v="19"/>
  </r>
  <r>
    <x v="23"/>
    <x v="35"/>
    <x v="35"/>
    <s v="HSX"/>
    <s v="8780"/>
    <n v="0.56779203497162323"/>
    <n v="0.63558406994324645"/>
    <n v="0.5"/>
    <n v="42005421500"/>
    <n v="52.8"/>
    <n v="20"/>
  </r>
  <r>
    <x v="24"/>
    <x v="1"/>
    <x v="1"/>
    <s v="HNX"/>
    <s v="1770"/>
    <n v="0.81140327980449611"/>
    <n v="0.97280655960899232"/>
    <n v="0.65"/>
    <n v="17023641400"/>
    <n v="257"/>
    <n v="1"/>
  </r>
  <r>
    <x v="24"/>
    <x v="11"/>
    <x v="11"/>
    <s v="UPCOM"/>
    <s v="1770"/>
    <n v="0.79142549396209771"/>
    <n v="0.83285098792419543"/>
    <n v="0.75"/>
    <n v="3734057600"/>
    <n v="23.4"/>
    <n v="2"/>
  </r>
  <r>
    <x v="24"/>
    <x v="30"/>
    <x v="30"/>
    <s v="HSX"/>
    <s v="8630"/>
    <n v="0.74025137967989996"/>
    <n v="0.9805027593597998"/>
    <n v="0.5"/>
    <n v="27764936920"/>
    <n v="10.5"/>
    <n v="3"/>
  </r>
  <r>
    <x v="24"/>
    <x v="28"/>
    <x v="28"/>
    <s v="UPCOM"/>
    <s v="2770"/>
    <n v="0.73216103873454053"/>
    <n v="0.61432207746908096"/>
    <n v="0.85"/>
    <n v="9768333600"/>
    <n v="123"/>
    <n v="4"/>
  </r>
  <r>
    <x v="24"/>
    <x v="24"/>
    <x v="24"/>
    <s v="HNX"/>
    <s v="8630"/>
    <n v="0.69326188500972541"/>
    <n v="0.78652377001945084"/>
    <n v="0.6"/>
    <n v="7130292800"/>
    <n v="5.6"/>
    <n v="5"/>
  </r>
  <r>
    <x v="24"/>
    <x v="65"/>
    <x v="65"/>
    <s v="HSX"/>
    <s v="8350"/>
    <n v="0.65140537100760465"/>
    <n v="0.95281074201520921"/>
    <n v="0.35"/>
    <n v="399585609480"/>
    <n v="12.05"/>
    <n v="6"/>
  </r>
  <r>
    <x v="24"/>
    <x v="67"/>
    <x v="67"/>
    <s v="HSX"/>
    <s v="2730"/>
    <n v="0.64661776218925016"/>
    <n v="0.8932355243785004"/>
    <n v="0.4"/>
    <n v="247009850000"/>
    <n v="23.6"/>
    <n v="7"/>
  </r>
  <r>
    <x v="24"/>
    <x v="35"/>
    <x v="35"/>
    <s v="HSX"/>
    <s v="8780"/>
    <n v="0.64466927078984981"/>
    <n v="0.73933854157969947"/>
    <n v="0.55000000000000004"/>
    <n v="44750555300"/>
    <n v="53.4"/>
    <n v="8"/>
  </r>
  <r>
    <x v="24"/>
    <x v="36"/>
    <x v="36"/>
    <s v="HNX"/>
    <s v="1770"/>
    <n v="0.64048311669673841"/>
    <n v="0.98096623339347677"/>
    <n v="0.3"/>
    <n v="3688474600"/>
    <n v="76"/>
    <n v="9"/>
  </r>
  <r>
    <x v="24"/>
    <x v="81"/>
    <x v="81"/>
    <s v="HSX"/>
    <s v="8630"/>
    <n v="0.63927960326610467"/>
    <n v="0.82855920653220938"/>
    <n v="0.45"/>
    <n v="5579260940"/>
    <n v="4.43"/>
    <n v="10"/>
  </r>
  <r>
    <x v="24"/>
    <x v="27"/>
    <x v="27"/>
    <s v="HSX"/>
    <s v="3570"/>
    <n v="0.6102405073619982"/>
    <n v="0.82048101472399637"/>
    <n v="0.4"/>
    <n v="38487691400"/>
    <n v="15"/>
    <n v="11"/>
  </r>
  <r>
    <x v="24"/>
    <x v="2"/>
    <x v="2"/>
    <s v="HNX"/>
    <s v="1770"/>
    <n v="0.60708531639540508"/>
    <n v="0.86417063279081008"/>
    <n v="0.35"/>
    <n v="3197174800"/>
    <n v="325.10000000000002"/>
    <n v="12"/>
  </r>
  <r>
    <x v="24"/>
    <x v="66"/>
    <x v="66"/>
    <s v="HSX"/>
    <s v="8630"/>
    <n v="0.601798943558287"/>
    <n v="0.80359788711657398"/>
    <n v="0.4"/>
    <n v="2197701160"/>
    <n v="7.28"/>
    <n v="13"/>
  </r>
  <r>
    <x v="24"/>
    <x v="63"/>
    <x v="63"/>
    <s v="HSX"/>
    <s v="1750"/>
    <n v="0.59205479635952707"/>
    <n v="0.59205479635952707"/>
    <m/>
    <n v="4653266900"/>
    <n v="11.9"/>
    <n v="14"/>
  </r>
  <r>
    <x v="24"/>
    <x v="86"/>
    <x v="86"/>
    <s v="HNX"/>
    <s v="8780"/>
    <n v="0.59017652556040989"/>
    <n v="0.88035305112081985"/>
    <n v="0.3"/>
    <n v="20237344000"/>
    <n v="17.7"/>
    <n v="15"/>
  </r>
  <r>
    <x v="24"/>
    <x v="61"/>
    <x v="61"/>
    <s v="HSX"/>
    <s v="8630"/>
    <n v="0.58969264295460111"/>
    <n v="0.97938528590920226"/>
    <n v="0.2"/>
    <n v="240331635900"/>
    <n v="58.3"/>
    <n v="16"/>
  </r>
  <r>
    <x v="24"/>
    <x v="4"/>
    <x v="4"/>
    <s v="HNX"/>
    <s v="2350"/>
    <n v="0.58176233722987347"/>
    <n v="0.81352467445974685"/>
    <n v="0.35"/>
    <n v="9045909800"/>
    <n v="13.7"/>
    <n v="17"/>
  </r>
  <r>
    <x v="24"/>
    <x v="60"/>
    <x v="60"/>
    <s v="HSX"/>
    <s v="8780"/>
    <n v="0.57307142195933192"/>
    <n v="0.69614284391866377"/>
    <n v="0.45"/>
    <n v="445741627880"/>
    <n v="12"/>
    <n v="18"/>
  </r>
  <r>
    <x v="24"/>
    <x v="45"/>
    <x v="45"/>
    <s v="HSX"/>
    <s v="2730"/>
    <n v="0.56559345581604503"/>
    <n v="0.93118691163209"/>
    <n v="0.2"/>
    <n v="60818580100"/>
    <n v="70.900000000000006"/>
    <n v="19"/>
  </r>
  <r>
    <x v="24"/>
    <x v="29"/>
    <x v="29"/>
    <s v="HSX"/>
    <s v="8630"/>
    <n v="0.56295344577504047"/>
    <n v="0.62590689155008083"/>
    <n v="0.5"/>
    <n v="2537704400"/>
    <n v="92.8"/>
    <n v="20"/>
  </r>
  <r>
    <x v="25"/>
    <x v="36"/>
    <x v="36"/>
    <s v="HNX"/>
    <s v="1770"/>
    <n v="0.72768822301820324"/>
    <n v="0.90537644603640643"/>
    <n v="0.55000000000000004"/>
    <n v="3715287400"/>
    <n v="68.400000000000006"/>
    <n v="1"/>
  </r>
  <r>
    <x v="25"/>
    <x v="61"/>
    <x v="61"/>
    <s v="HSX"/>
    <s v="8630"/>
    <n v="0.67739303219054536"/>
    <n v="0.9547860643810907"/>
    <n v="0.4"/>
    <n v="252564825700"/>
    <n v="55.1"/>
    <n v="2"/>
  </r>
  <r>
    <x v="25"/>
    <x v="1"/>
    <x v="1"/>
    <s v="HNX"/>
    <s v="1770"/>
    <n v="0.65402117595854925"/>
    <n v="0.85804235191709843"/>
    <n v="0.45"/>
    <n v="16993657400"/>
    <n v="231.3"/>
    <n v="3"/>
  </r>
  <r>
    <x v="25"/>
    <x v="11"/>
    <x v="11"/>
    <s v="UPCOM"/>
    <s v="1770"/>
    <n v="0.63911412640580689"/>
    <n v="0.47822825281161369"/>
    <n v="0.8"/>
    <n v="3749597400"/>
    <n v="20.7"/>
    <n v="4"/>
  </r>
  <r>
    <x v="25"/>
    <x v="65"/>
    <x v="65"/>
    <s v="HSX"/>
    <s v="8350"/>
    <n v="0.60436340799943966"/>
    <n v="0.85872681599887934"/>
    <n v="0.35"/>
    <n v="413985783780"/>
    <n v="11.25"/>
    <n v="5"/>
  </r>
  <r>
    <x v="25"/>
    <x v="27"/>
    <x v="27"/>
    <s v="HSX"/>
    <s v="3570"/>
    <n v="0.56874891061027777"/>
    <n v="0.83749782122055549"/>
    <n v="0.3"/>
    <n v="39403401600"/>
    <n v="14.65"/>
    <n v="6"/>
  </r>
  <r>
    <x v="25"/>
    <x v="30"/>
    <x v="30"/>
    <s v="HSX"/>
    <s v="8630"/>
    <n v="0.56519221219680238"/>
    <n v="0.93038442439360469"/>
    <n v="0.2"/>
    <n v="28239842460"/>
    <n v="9.77"/>
    <n v="7"/>
  </r>
  <r>
    <x v="25"/>
    <x v="87"/>
    <x v="87"/>
    <s v="HSX"/>
    <s v="2350"/>
    <n v="0.55977727706630032"/>
    <n v="0.86955455413260052"/>
    <n v="0.25"/>
    <n v="2235379420"/>
    <n v="7.54"/>
    <n v="8"/>
  </r>
  <r>
    <x v="25"/>
    <x v="2"/>
    <x v="2"/>
    <s v="HNX"/>
    <s v="1770"/>
    <n v="0.54226046788215565"/>
    <n v="0.63452093576431134"/>
    <n v="0.45"/>
    <n v="3253624000"/>
    <n v="292.7"/>
    <n v="9"/>
  </r>
  <r>
    <x v="25"/>
    <x v="29"/>
    <x v="29"/>
    <s v="HSX"/>
    <s v="8630"/>
    <n v="0.53788824250950928"/>
    <n v="0.4757764850190187"/>
    <n v="0.6"/>
    <n v="2526392400"/>
    <n v="86.4"/>
    <n v="10"/>
  </r>
  <r>
    <x v="25"/>
    <x v="81"/>
    <x v="81"/>
    <s v="HSX"/>
    <s v="8630"/>
    <n v="0.49919466874004642"/>
    <n v="0.6983893374800928"/>
    <n v="0.3"/>
    <n v="5975109360"/>
    <n v="4.12"/>
    <n v="11"/>
  </r>
  <r>
    <x v="25"/>
    <x v="88"/>
    <x v="88"/>
    <s v="HSX"/>
    <s v="3720"/>
    <n v="0.48228327484972489"/>
    <n v="0.56456654969944986"/>
    <n v="0.4"/>
    <n v="6231115700"/>
    <n v="14.55"/>
    <n v="12"/>
  </r>
  <r>
    <x v="25"/>
    <x v="89"/>
    <x v="89"/>
    <s v="HSX"/>
    <s v="8630"/>
    <n v="0.48165288315877131"/>
    <n v="0.86330576631754263"/>
    <n v="0.1"/>
    <n v="434032615100"/>
    <n v="47"/>
    <n v="13"/>
  </r>
  <r>
    <x v="25"/>
    <x v="67"/>
    <x v="67"/>
    <s v="HSX"/>
    <s v="2730"/>
    <n v="0.48073304283408319"/>
    <n v="0.76146608566816654"/>
    <n v="0.2"/>
    <n v="251275386700"/>
    <n v="21.95"/>
    <n v="14"/>
  </r>
  <r>
    <x v="25"/>
    <x v="56"/>
    <x v="56"/>
    <s v="HSX"/>
    <s v="8350"/>
    <n v="0.47532858598290317"/>
    <n v="0.50065717196580628"/>
    <n v="0.45"/>
    <n v="450730066000"/>
    <n v="34.799999999999997"/>
    <n v="15"/>
  </r>
  <r>
    <x v="25"/>
    <x v="24"/>
    <x v="24"/>
    <s v="HNX"/>
    <s v="8630"/>
    <n v="0.47371096023220027"/>
    <n v="0.39742192046440061"/>
    <n v="0.55000000000000004"/>
    <n v="7181056600"/>
    <n v="5.0999999999999996"/>
    <n v="16"/>
  </r>
  <r>
    <x v="25"/>
    <x v="4"/>
    <x v="4"/>
    <s v="HNX"/>
    <s v="2350"/>
    <n v="0.4624820260235375"/>
    <n v="0.77496405204707497"/>
    <n v="0.15"/>
    <n v="8895965000"/>
    <n v="12.9"/>
    <n v="17"/>
  </r>
  <r>
    <x v="25"/>
    <x v="35"/>
    <x v="35"/>
    <s v="HSX"/>
    <s v="8780"/>
    <n v="0.45720137035856051"/>
    <n v="0.46440274071712101"/>
    <n v="0.45"/>
    <n v="45769531100"/>
    <n v="49.7"/>
    <n v="18"/>
  </r>
  <r>
    <x v="25"/>
    <x v="79"/>
    <x v="79"/>
    <s v="HNX"/>
    <s v="2770"/>
    <n v="0.45675457449609619"/>
    <n v="0.71350914899219253"/>
    <n v="0.2"/>
    <n v="7184932400"/>
    <n v="5.6"/>
    <n v="19"/>
  </r>
  <r>
    <x v="25"/>
    <x v="84"/>
    <x v="84"/>
    <s v="HSX"/>
    <s v="2350"/>
    <n v="0.45667408489457101"/>
    <n v="0.41334816978914191"/>
    <n v="0.5"/>
    <n v="31540663800"/>
    <n v="45.35"/>
    <n v="20"/>
  </r>
  <r>
    <x v="26"/>
    <x v="61"/>
    <x v="61"/>
    <s v="HSX"/>
    <s v="8630"/>
    <n v="0.6584389314434278"/>
    <n v="0.96687786288685562"/>
    <n v="0.35"/>
    <n v="266325054200"/>
    <n v="57"/>
    <n v="1"/>
  </r>
  <r>
    <x v="26"/>
    <x v="65"/>
    <x v="65"/>
    <s v="HSX"/>
    <s v="8350"/>
    <n v="0.63731473594790178"/>
    <n v="0.82462947189580349"/>
    <n v="0.45"/>
    <n v="425795079780"/>
    <n v="10.95"/>
    <n v="2"/>
  </r>
  <r>
    <x v="26"/>
    <x v="36"/>
    <x v="36"/>
    <s v="HNX"/>
    <s v="1770"/>
    <n v="0.62346669576438707"/>
    <n v="0.64693339152877405"/>
    <n v="0.6"/>
    <n v="3702296600"/>
    <n v="61.6"/>
    <n v="3"/>
  </r>
  <r>
    <x v="26"/>
    <x v="2"/>
    <x v="2"/>
    <s v="HNX"/>
    <s v="1770"/>
    <n v="0.58170369979204706"/>
    <n v="0.66340739958409423"/>
    <n v="0.5"/>
    <n v="3272130400"/>
    <n v="298.8"/>
    <n v="4"/>
  </r>
  <r>
    <x v="26"/>
    <x v="66"/>
    <x v="66"/>
    <s v="HSX"/>
    <s v="8630"/>
    <n v="0.57545199368255706"/>
    <n v="0.85090398736511408"/>
    <n v="0.3"/>
    <n v="2289841760"/>
    <n v="7.14"/>
    <n v="5"/>
  </r>
  <r>
    <x v="26"/>
    <x v="27"/>
    <x v="27"/>
    <s v="HSX"/>
    <s v="3570"/>
    <n v="0.56178146364514847"/>
    <n v="0.8235629272902969"/>
    <n v="0.3"/>
    <n v="39822934200"/>
    <n v="14.65"/>
    <n v="6"/>
  </r>
  <r>
    <x v="26"/>
    <x v="30"/>
    <x v="30"/>
    <s v="HSX"/>
    <s v="8630"/>
    <n v="0.55353833930974616"/>
    <n v="0.90707667861949226"/>
    <n v="0.2"/>
    <n v="29374602060"/>
    <n v="9.09"/>
    <n v="7"/>
  </r>
  <r>
    <x v="26"/>
    <x v="75"/>
    <x v="75"/>
    <s v="HSX"/>
    <s v="2350"/>
    <n v="0.54763898403171518"/>
    <n v="0.94527796806343045"/>
    <n v="0.15"/>
    <n v="4565438580"/>
    <n v="11.35"/>
    <n v="8"/>
  </r>
  <r>
    <x v="26"/>
    <x v="86"/>
    <x v="86"/>
    <s v="HNX"/>
    <s v="8780"/>
    <n v="0.5439387978456256"/>
    <n v="0.8378775956912512"/>
    <n v="0.25"/>
    <n v="20185456000"/>
    <n v="17.2"/>
    <n v="9"/>
  </r>
  <r>
    <x v="26"/>
    <x v="4"/>
    <x v="4"/>
    <s v="HNX"/>
    <s v="2350"/>
    <n v="0.53640652400533684"/>
    <n v="0.77281304801067363"/>
    <n v="0.3"/>
    <n v="8838884000"/>
    <n v="13"/>
    <n v="10"/>
  </r>
  <r>
    <x v="26"/>
    <x v="89"/>
    <x v="89"/>
    <s v="HSX"/>
    <s v="8630"/>
    <n v="0.52282960200400452"/>
    <n v="0.89565920400800902"/>
    <n v="0.15"/>
    <n v="445135927100"/>
    <n v="48.5"/>
    <n v="11"/>
  </r>
  <r>
    <x v="26"/>
    <x v="1"/>
    <x v="1"/>
    <s v="HNX"/>
    <s v="1770"/>
    <n v="0.51139236665372989"/>
    <n v="0.67278473330745991"/>
    <n v="0.35"/>
    <n v="16949756200"/>
    <n v="208.2"/>
    <n v="12"/>
  </r>
  <r>
    <x v="26"/>
    <x v="45"/>
    <x v="45"/>
    <s v="HSX"/>
    <s v="2730"/>
    <n v="0.48876380600128039"/>
    <n v="0.67752761200256095"/>
    <n v="0.3"/>
    <n v="62072974100"/>
    <n v="61.4"/>
    <n v="13"/>
  </r>
  <r>
    <x v="26"/>
    <x v="90"/>
    <x v="90"/>
    <s v="HSX"/>
    <s v="4570"/>
    <n v="0.48690070281360692"/>
    <n v="0.17380140562721369"/>
    <n v="0.8"/>
    <n v="12990621300"/>
    <n v="39.450000000000003"/>
    <n v="14"/>
  </r>
  <r>
    <x v="26"/>
    <x v="67"/>
    <x v="67"/>
    <s v="HSX"/>
    <s v="2730"/>
    <n v="0.48291322187634322"/>
    <n v="0.61582644375268636"/>
    <n v="0.35"/>
    <n v="256467290000"/>
    <n v="20.45"/>
    <n v="15"/>
  </r>
  <r>
    <x v="26"/>
    <x v="91"/>
    <x v="91"/>
    <s v="HNX"/>
    <s v="8630"/>
    <n v="0.47026388883682868"/>
    <n v="0.59052777767365738"/>
    <n v="0.35"/>
    <n v="14370850000"/>
    <n v="26.5"/>
    <n v="16"/>
  </r>
  <r>
    <x v="26"/>
    <x v="29"/>
    <x v="29"/>
    <s v="HSX"/>
    <s v="8630"/>
    <n v="0.45447214324780771"/>
    <n v="0.30894428649561539"/>
    <n v="0.6"/>
    <n v="2546894000"/>
    <n v="80.400000000000006"/>
    <n v="17"/>
  </r>
  <r>
    <x v="26"/>
    <x v="74"/>
    <x v="74"/>
    <s v="HSX"/>
    <s v="3530"/>
    <n v="0.45303941425748873"/>
    <n v="0.50607882851497743"/>
    <n v="0.4"/>
    <n v="7780150100"/>
    <n v="17.899999999999999"/>
    <n v="18"/>
  </r>
  <r>
    <x v="26"/>
    <x v="92"/>
    <x v="92"/>
    <s v="HSX"/>
    <s v="2770"/>
    <n v="0.4523613057622673"/>
    <n v="0.25472261152453451"/>
    <n v="0.65"/>
    <n v="11327128400"/>
    <n v="33.6"/>
    <n v="19"/>
  </r>
  <r>
    <x v="26"/>
    <x v="57"/>
    <x v="57"/>
    <s v="HSX"/>
    <s v="3570"/>
    <n v="0.43761097446007019"/>
    <n v="0.42522194892014048"/>
    <n v="0.45"/>
    <n v="116564775000"/>
    <n v="28.15"/>
    <n v="20"/>
  </r>
  <r>
    <x v="27"/>
    <x v="4"/>
    <x v="4"/>
    <s v="HNX"/>
    <s v="2350"/>
    <n v="0.7225986831860618"/>
    <n v="0.89519736637212344"/>
    <n v="0.55000000000000004"/>
    <n v="8803367200"/>
    <n v="14"/>
    <n v="1"/>
  </r>
  <r>
    <x v="27"/>
    <x v="66"/>
    <x v="66"/>
    <s v="HSX"/>
    <s v="8630"/>
    <n v="0.7044287185693463"/>
    <n v="0.90885743713869249"/>
    <n v="0.5"/>
    <n v="2419429580"/>
    <n v="7.63"/>
    <n v="2"/>
  </r>
  <r>
    <x v="27"/>
    <x v="36"/>
    <x v="36"/>
    <s v="HNX"/>
    <s v="1770"/>
    <n v="0.70000925555237692"/>
    <n v="0.90001851110475384"/>
    <n v="0.5"/>
    <n v="3891524600"/>
    <n v="67.7"/>
    <n v="3"/>
  </r>
  <r>
    <x v="27"/>
    <x v="86"/>
    <x v="86"/>
    <s v="HNX"/>
    <s v="8780"/>
    <n v="0.69969751730896501"/>
    <n v="0.94939503461793007"/>
    <n v="0.45"/>
    <n v="21395723600"/>
    <n v="18.399999999999999"/>
    <n v="4"/>
  </r>
  <r>
    <x v="27"/>
    <x v="5"/>
    <x v="5"/>
    <s v="UPCOM"/>
    <s v="8780"/>
    <n v="0.66677304927294589"/>
    <n v="0.53354609854589174"/>
    <n v="0.8"/>
    <n v="4134919000"/>
    <n v="11.1"/>
    <n v="5"/>
  </r>
  <r>
    <x v="27"/>
    <x v="2"/>
    <x v="2"/>
    <s v="HNX"/>
    <s v="1770"/>
    <n v="0.64043796550097809"/>
    <n v="0.78087593100195618"/>
    <n v="0.5"/>
    <n v="3267960800"/>
    <n v="328.6"/>
    <n v="6"/>
  </r>
  <r>
    <x v="27"/>
    <x v="65"/>
    <x v="65"/>
    <s v="HSX"/>
    <s v="8350"/>
    <n v="0.63755036128522691"/>
    <n v="0.87510072257045368"/>
    <n v="0.4"/>
    <n v="428773128280"/>
    <n v="11.7"/>
    <n v="7"/>
  </r>
  <r>
    <x v="27"/>
    <x v="1"/>
    <x v="1"/>
    <s v="HNX"/>
    <s v="1770"/>
    <n v="0.6295219141990932"/>
    <n v="0.90904382839818643"/>
    <n v="0.35"/>
    <n v="17093040200"/>
    <n v="229"/>
    <n v="8"/>
  </r>
  <r>
    <x v="27"/>
    <x v="11"/>
    <x v="11"/>
    <s v="UPCOM"/>
    <s v="1770"/>
    <n v="0.62911827318466873"/>
    <n v="0.45823654636933753"/>
    <n v="0.8"/>
    <n v="3746448200"/>
    <n v="20.9"/>
    <n v="9"/>
  </r>
  <r>
    <x v="27"/>
    <x v="75"/>
    <x v="75"/>
    <s v="HSX"/>
    <s v="2350"/>
    <n v="0.62030655018621161"/>
    <n v="0.94061310037242318"/>
    <n v="0.3"/>
    <n v="4482105380"/>
    <n v="12.1"/>
    <n v="10"/>
  </r>
  <r>
    <x v="27"/>
    <x v="27"/>
    <x v="27"/>
    <s v="HSX"/>
    <s v="3570"/>
    <n v="0.5955513818628051"/>
    <n v="0.9411027637256103"/>
    <n v="0.25"/>
    <n v="42252694600"/>
    <n v="15.65"/>
    <n v="11"/>
  </r>
  <r>
    <x v="27"/>
    <x v="93"/>
    <x v="93"/>
    <s v="HSX"/>
    <s v="1350"/>
    <n v="0.55950882781942801"/>
    <n v="0.719017655638856"/>
    <n v="0.4"/>
    <n v="26183016400"/>
    <n v="122"/>
    <n v="12"/>
  </r>
  <r>
    <x v="27"/>
    <x v="61"/>
    <x v="61"/>
    <s v="HSX"/>
    <s v="8630"/>
    <n v="0.55915950186110674"/>
    <n v="0.96831900372221347"/>
    <n v="0.15"/>
    <n v="270040110200"/>
    <n v="60.9"/>
    <n v="13"/>
  </r>
  <r>
    <x v="27"/>
    <x v="70"/>
    <x v="70"/>
    <s v="HSX"/>
    <s v="8350"/>
    <n v="0.55172939372924645"/>
    <n v="0.65345878745849295"/>
    <n v="0.45"/>
    <n v="11744358800"/>
    <n v="10.1"/>
    <n v="14"/>
  </r>
  <r>
    <x v="27"/>
    <x v="87"/>
    <x v="87"/>
    <s v="HSX"/>
    <s v="2350"/>
    <n v="0.53364703592810636"/>
    <n v="0.9172940718562127"/>
    <n v="0.15"/>
    <n v="2356621240"/>
    <n v="7.51"/>
    <n v="15"/>
  </r>
  <r>
    <x v="27"/>
    <x v="30"/>
    <x v="30"/>
    <s v="HSX"/>
    <s v="8630"/>
    <n v="0.51957976982898468"/>
    <n v="0.88915953965796934"/>
    <n v="0.15"/>
    <n v="29289093980"/>
    <n v="9.7200000000000006"/>
    <n v="16"/>
  </r>
  <r>
    <x v="27"/>
    <x v="94"/>
    <x v="94"/>
    <s v="UPCOM"/>
    <s v="2750"/>
    <n v="0.50381276777115902"/>
    <n v="0.75762553554231793"/>
    <n v="0.25"/>
    <n v="26587602000"/>
    <n v="40.700000000000003"/>
    <n v="17"/>
  </r>
  <r>
    <x v="27"/>
    <x v="89"/>
    <x v="89"/>
    <s v="HSX"/>
    <s v="8630"/>
    <n v="0.49927543275592279"/>
    <n v="0.89855086551184571"/>
    <n v="0.1"/>
    <n v="443039107700"/>
    <n v="51.8"/>
    <n v="18"/>
  </r>
  <r>
    <x v="27"/>
    <x v="74"/>
    <x v="74"/>
    <s v="HSX"/>
    <s v="3530"/>
    <n v="0.48838793510604378"/>
    <n v="0.42677587021208763"/>
    <n v="0.55000000000000004"/>
    <n v="7747882500"/>
    <n v="19.149999999999999"/>
    <n v="19"/>
  </r>
  <r>
    <x v="27"/>
    <x v="92"/>
    <x v="92"/>
    <s v="HSX"/>
    <s v="2770"/>
    <n v="0.47847728651493721"/>
    <n v="0.35695457302987432"/>
    <n v="0.6"/>
    <n v="11401210200"/>
    <n v="35.950000000000003"/>
    <n v="20"/>
  </r>
  <r>
    <x v="28"/>
    <x v="36"/>
    <x v="36"/>
    <s v="HNX"/>
    <s v="1770"/>
    <n v="0.72461823181622154"/>
    <n v="0.74923646363244323"/>
    <n v="0.7"/>
    <n v="4036146400"/>
    <n v="62.1"/>
    <n v="1"/>
  </r>
  <r>
    <x v="28"/>
    <x v="69"/>
    <x v="69"/>
    <s v="HSX"/>
    <s v="8630"/>
    <n v="0.69642232460040809"/>
    <n v="0.69284464920081623"/>
    <n v="0.7"/>
    <n v="4384294420"/>
    <n v="2.04"/>
    <n v="2"/>
  </r>
  <r>
    <x v="28"/>
    <x v="11"/>
    <x v="11"/>
    <s v="UPCOM"/>
    <s v="1770"/>
    <n v="0.68976679788187201"/>
    <n v="0.57953359576374397"/>
    <n v="0.8"/>
    <n v="3756396600"/>
    <n v="21"/>
    <n v="3"/>
  </r>
  <r>
    <x v="28"/>
    <x v="30"/>
    <x v="30"/>
    <s v="HSX"/>
    <s v="8630"/>
    <n v="0.68765774276653757"/>
    <n v="0.97531548553307523"/>
    <n v="0.4"/>
    <n v="31932231700"/>
    <n v="10.4"/>
    <n v="4"/>
  </r>
  <r>
    <x v="28"/>
    <x v="66"/>
    <x v="66"/>
    <s v="HSX"/>
    <s v="8630"/>
    <n v="0.67435526183345473"/>
    <n v="0.94871052366690933"/>
    <n v="0.4"/>
    <n v="2582436620"/>
    <n v="8.1199999999999992"/>
    <n v="5"/>
  </r>
  <r>
    <x v="28"/>
    <x v="2"/>
    <x v="2"/>
    <s v="HNX"/>
    <s v="1770"/>
    <n v="0.673922497220656"/>
    <n v="0.74784499444131203"/>
    <n v="0.6"/>
    <n v="3267065600"/>
    <n v="326"/>
    <n v="6"/>
  </r>
  <r>
    <x v="28"/>
    <x v="1"/>
    <x v="1"/>
    <s v="HNX"/>
    <s v="1770"/>
    <n v="0.6734890572168627"/>
    <n v="0.79697811443372535"/>
    <n v="0.55000000000000004"/>
    <n v="17217530600"/>
    <n v="210.4"/>
    <n v="7"/>
  </r>
  <r>
    <x v="28"/>
    <x v="65"/>
    <x v="65"/>
    <s v="HSX"/>
    <s v="8350"/>
    <n v="0.64411314591182312"/>
    <n v="0.93822629182364625"/>
    <n v="0.35"/>
    <n v="451871751480"/>
    <n v="12.15"/>
    <n v="8"/>
  </r>
  <r>
    <x v="28"/>
    <x v="86"/>
    <x v="86"/>
    <s v="HNX"/>
    <s v="8780"/>
    <n v="0.62645735827706661"/>
    <n v="0.8529147165541332"/>
    <n v="0.4"/>
    <n v="21527182200"/>
    <n v="18.2"/>
    <n v="9"/>
  </r>
  <r>
    <x v="28"/>
    <x v="67"/>
    <x v="67"/>
    <s v="HSX"/>
    <s v="2730"/>
    <n v="0.59723301640453208"/>
    <n v="0.84446603280906418"/>
    <n v="0.35"/>
    <n v="265474835000"/>
    <n v="22.85"/>
    <n v="10"/>
  </r>
  <r>
    <x v="28"/>
    <x v="4"/>
    <x v="4"/>
    <s v="HNX"/>
    <s v="2350"/>
    <n v="0.59101081037079817"/>
    <n v="0.83202162074159636"/>
    <n v="0.35"/>
    <n v="8697230800"/>
    <n v="13.8"/>
    <n v="11"/>
  </r>
  <r>
    <x v="28"/>
    <x v="95"/>
    <x v="95"/>
    <s v="HSX"/>
    <s v="1770"/>
    <n v="0.58885865834201145"/>
    <n v="0.67771731668402291"/>
    <n v="0.5"/>
    <n v="2049666860"/>
    <n v="4"/>
    <n v="12"/>
  </r>
  <r>
    <x v="28"/>
    <x v="35"/>
    <x v="35"/>
    <s v="HSX"/>
    <s v="8780"/>
    <n v="0.58775178721367971"/>
    <n v="0.62550357442735938"/>
    <n v="0.55000000000000004"/>
    <n v="49942125100"/>
    <n v="51.2"/>
    <n v="13"/>
  </r>
  <r>
    <x v="28"/>
    <x v="96"/>
    <x v="96"/>
    <s v="HSX"/>
    <s v="1350"/>
    <n v="0.58620200418771717"/>
    <n v="0.82240400837543426"/>
    <n v="0.35"/>
    <n v="4269606300"/>
    <n v="34.5"/>
    <n v="14"/>
  </r>
  <r>
    <x v="28"/>
    <x v="97"/>
    <x v="97"/>
    <s v="UPCOM"/>
    <s v="5750"/>
    <n v="0.58271080601694214"/>
    <n v="0.96542161203388421"/>
    <n v="0.2"/>
    <n v="2310878800"/>
    <n v="10.6"/>
    <n v="15"/>
  </r>
  <r>
    <x v="28"/>
    <x v="75"/>
    <x v="75"/>
    <s v="HSX"/>
    <s v="2350"/>
    <n v="0.5802325883241658"/>
    <n v="0.96046517664833153"/>
    <n v="0.2"/>
    <n v="4481124560"/>
    <n v="12.45"/>
    <n v="16"/>
  </r>
  <r>
    <x v="28"/>
    <x v="93"/>
    <x v="93"/>
    <s v="HSX"/>
    <s v="1350"/>
    <n v="0.57030004924844779"/>
    <n v="0.7906000984968955"/>
    <n v="0.35"/>
    <n v="26359562000"/>
    <n v="124.8"/>
    <n v="17"/>
  </r>
  <r>
    <x v="28"/>
    <x v="5"/>
    <x v="5"/>
    <s v="UPCOM"/>
    <s v="8780"/>
    <n v="0.56269261009749627"/>
    <n v="0.42538522019499247"/>
    <n v="0.7"/>
    <n v="4133405000"/>
    <n v="11"/>
    <n v="18"/>
  </r>
  <r>
    <x v="28"/>
    <x v="87"/>
    <x v="87"/>
    <s v="HSX"/>
    <s v="2350"/>
    <n v="0.55187928232752015"/>
    <n v="0.90375856465504034"/>
    <n v="0.2"/>
    <n v="2421376540"/>
    <n v="7.8"/>
    <n v="19"/>
  </r>
  <r>
    <x v="28"/>
    <x v="57"/>
    <x v="57"/>
    <s v="HSX"/>
    <s v="3570"/>
    <n v="0.55031036739982642"/>
    <n v="0.70062073479965281"/>
    <n v="0.4"/>
    <n v="117829246400"/>
    <n v="31.3"/>
    <n v="20"/>
  </r>
  <r>
    <x v="29"/>
    <x v="75"/>
    <x v="75"/>
    <s v="HSX"/>
    <s v="2350"/>
    <n v="0.76424829726850407"/>
    <n v="0.9784965945370081"/>
    <n v="0.55000000000000004"/>
    <n v="4381393640"/>
    <n v="13.3"/>
    <n v="1"/>
  </r>
  <r>
    <x v="29"/>
    <x v="60"/>
    <x v="60"/>
    <s v="HSX"/>
    <s v="8780"/>
    <n v="0.7629765354563105"/>
    <n v="0.77595307091262111"/>
    <n v="0.75"/>
    <n v="489010585880"/>
    <n v="12.7"/>
    <n v="2"/>
  </r>
  <r>
    <x v="29"/>
    <x v="28"/>
    <x v="28"/>
    <s v="UPCOM"/>
    <s v="2770"/>
    <n v="0.752986413500075"/>
    <n v="0.65597282700015014"/>
    <n v="0.85"/>
    <n v="9557422800"/>
    <n v="125"/>
    <n v="3"/>
  </r>
  <r>
    <x v="29"/>
    <x v="66"/>
    <x v="66"/>
    <s v="HSX"/>
    <s v="8630"/>
    <n v="0.72111352195143485"/>
    <n v="0.9422270439028696"/>
    <n v="0.5"/>
    <n v="2712738380"/>
    <n v="8.25"/>
    <n v="4"/>
  </r>
  <r>
    <x v="29"/>
    <x v="11"/>
    <x v="11"/>
    <s v="UPCOM"/>
    <s v="1770"/>
    <n v="0.68546655747676954"/>
    <n v="0.6209331149535392"/>
    <n v="0.75"/>
    <n v="3724789600"/>
    <n v="22"/>
    <n v="5"/>
  </r>
  <r>
    <x v="29"/>
    <x v="36"/>
    <x v="36"/>
    <s v="HNX"/>
    <s v="1770"/>
    <n v="0.67072628997733563"/>
    <n v="0.69145257995467113"/>
    <n v="0.65"/>
    <n v="4079937400"/>
    <n v="62.2"/>
    <n v="6"/>
  </r>
  <r>
    <x v="29"/>
    <x v="97"/>
    <x v="97"/>
    <s v="UPCOM"/>
    <s v="5750"/>
    <n v="0.66731752265072042"/>
    <n v="0.88463504530144077"/>
    <n v="0.45"/>
    <n v="2341708400"/>
    <n v="10.3"/>
    <n v="7"/>
  </r>
  <r>
    <x v="29"/>
    <x v="98"/>
    <x v="98"/>
    <s v="HSX"/>
    <s v="2770"/>
    <n v="0.66411878793936507"/>
    <n v="0.82823757587873004"/>
    <n v="0.5"/>
    <n v="124760989000"/>
    <n v="54"/>
    <n v="8"/>
  </r>
  <r>
    <x v="29"/>
    <x v="65"/>
    <x v="65"/>
    <s v="HSX"/>
    <s v="8350"/>
    <n v="0.66190774297057919"/>
    <n v="0.87381548594115832"/>
    <n v="0.45"/>
    <n v="461532541780"/>
    <n v="12.15"/>
    <n v="9"/>
  </r>
  <r>
    <x v="29"/>
    <x v="30"/>
    <x v="30"/>
    <s v="HSX"/>
    <s v="8630"/>
    <n v="0.66045953627907306"/>
    <n v="0.97091907255814602"/>
    <n v="0.35"/>
    <n v="32916007220"/>
    <n v="10.9"/>
    <n v="10"/>
  </r>
  <r>
    <x v="29"/>
    <x v="99"/>
    <x v="99"/>
    <s v="HSX"/>
    <s v="5750"/>
    <n v="0.6349660223517718"/>
    <n v="0.91993204470354362"/>
    <n v="0.35"/>
    <n v="63741941700"/>
    <n v="31.25"/>
    <n v="11"/>
  </r>
  <r>
    <x v="29"/>
    <x v="1"/>
    <x v="1"/>
    <s v="HNX"/>
    <s v="1770"/>
    <n v="0.63300077197947957"/>
    <n v="0.76600154395895914"/>
    <n v="0.5"/>
    <n v="17328548600"/>
    <n v="221"/>
    <n v="12"/>
  </r>
  <r>
    <x v="29"/>
    <x v="45"/>
    <x v="45"/>
    <s v="HSX"/>
    <s v="2730"/>
    <n v="0.60700783693589944"/>
    <n v="0.96401567387179887"/>
    <n v="0.25"/>
    <n v="67432271700"/>
    <n v="75"/>
    <n v="13"/>
  </r>
  <r>
    <x v="29"/>
    <x v="93"/>
    <x v="93"/>
    <s v="HSX"/>
    <s v="1350"/>
    <n v="0.60290037464185131"/>
    <n v="0.70580074928370251"/>
    <n v="0.5"/>
    <n v="26130016400"/>
    <n v="124.8"/>
    <n v="14"/>
  </r>
  <r>
    <x v="29"/>
    <x v="69"/>
    <x v="69"/>
    <s v="HSX"/>
    <s v="8630"/>
    <n v="0.59828461016955115"/>
    <n v="0.59656922033910231"/>
    <n v="0.6"/>
    <n v="4406007260"/>
    <n v="2.06"/>
    <n v="15"/>
  </r>
  <r>
    <x v="29"/>
    <x v="27"/>
    <x v="27"/>
    <s v="HSX"/>
    <s v="3570"/>
    <n v="0.59635467159248423"/>
    <n v="0.89270934318496853"/>
    <n v="0.3"/>
    <n v="42424573800"/>
    <n v="15.85"/>
    <n v="16"/>
  </r>
  <r>
    <x v="29"/>
    <x v="67"/>
    <x v="67"/>
    <s v="HSX"/>
    <s v="2730"/>
    <n v="0.59522932989486221"/>
    <n v="0.89045865978972438"/>
    <n v="0.3"/>
    <n v="263416027400"/>
    <n v="24.4"/>
    <n v="17"/>
  </r>
  <r>
    <x v="29"/>
    <x v="87"/>
    <x v="87"/>
    <s v="HSX"/>
    <s v="2350"/>
    <n v="0.57168983130315398"/>
    <n v="0.84337966260630803"/>
    <n v="0.3"/>
    <n v="2456273940"/>
    <n v="7.7"/>
    <n v="18"/>
  </r>
  <r>
    <x v="29"/>
    <x v="4"/>
    <x v="4"/>
    <s v="HNX"/>
    <s v="2350"/>
    <n v="0.56361449222058446"/>
    <n v="0.82722898444116899"/>
    <n v="0.3"/>
    <n v="8784926800"/>
    <n v="13.8"/>
    <n v="19"/>
  </r>
  <r>
    <x v="29"/>
    <x v="35"/>
    <x v="35"/>
    <s v="HSX"/>
    <s v="8780"/>
    <n v="0.55041208770505423"/>
    <n v="0.55082417541010831"/>
    <n v="0.55000000000000004"/>
    <n v="50843776400"/>
    <n v="51.8"/>
    <n v="20"/>
  </r>
  <r>
    <x v="30"/>
    <x v="98"/>
    <x v="98"/>
    <s v="HSX"/>
    <s v="2770"/>
    <n v="0.77354315520790595"/>
    <n v="0.94708631041581204"/>
    <n v="0.6"/>
    <n v="126423207400"/>
    <n v="57.6"/>
    <n v="1"/>
  </r>
  <r>
    <x v="30"/>
    <x v="60"/>
    <x v="60"/>
    <s v="HSX"/>
    <s v="8780"/>
    <n v="0.74104875168498707"/>
    <n v="0.73209750336997403"/>
    <n v="0.75"/>
    <n v="499806362120"/>
    <n v="12.6"/>
    <n v="2"/>
  </r>
  <r>
    <x v="30"/>
    <x v="75"/>
    <x v="75"/>
    <s v="HSX"/>
    <s v="2350"/>
    <n v="0.72003995064074011"/>
    <n v="0.99007990128148016"/>
    <n v="0.45"/>
    <n v="4583667840"/>
    <n v="14.15"/>
    <n v="3"/>
  </r>
  <r>
    <x v="30"/>
    <x v="1"/>
    <x v="1"/>
    <s v="HNX"/>
    <s v="1770"/>
    <n v="0.71180009466110417"/>
    <n v="0.77360018932220831"/>
    <n v="0.65"/>
    <n v="17400052600"/>
    <n v="215"/>
    <n v="4"/>
  </r>
  <r>
    <x v="30"/>
    <x v="11"/>
    <x v="11"/>
    <s v="UPCOM"/>
    <s v="1770"/>
    <n v="0.68672732004649051"/>
    <n v="0.62345464009298102"/>
    <n v="0.75"/>
    <n v="3732925200"/>
    <n v="21.5"/>
    <n v="5"/>
  </r>
  <r>
    <x v="30"/>
    <x v="45"/>
    <x v="45"/>
    <s v="HSX"/>
    <s v="2730"/>
    <n v="0.66691175473035114"/>
    <n v="0.98382350946070229"/>
    <n v="0.35"/>
    <n v="70799208200"/>
    <n v="80.2"/>
    <n v="6"/>
  </r>
  <r>
    <x v="30"/>
    <x v="69"/>
    <x v="69"/>
    <s v="HSX"/>
    <s v="8630"/>
    <n v="0.66358456406804955"/>
    <n v="0.67716912813609909"/>
    <n v="0.65"/>
    <n v="4400287900"/>
    <n v="2.0699999999999998"/>
    <n v="7"/>
  </r>
  <r>
    <x v="30"/>
    <x v="27"/>
    <x v="27"/>
    <s v="HSX"/>
    <s v="3570"/>
    <n v="0.66222090775191123"/>
    <n v="0.92444181550382232"/>
    <n v="0.4"/>
    <n v="43525473800"/>
    <n v="16"/>
    <n v="8"/>
  </r>
  <r>
    <x v="30"/>
    <x v="30"/>
    <x v="30"/>
    <s v="HSX"/>
    <s v="8630"/>
    <n v="0.65080665930773129"/>
    <n v="0.95161331861546261"/>
    <n v="0.35"/>
    <n v="34055358320"/>
    <n v="10.5"/>
    <n v="9"/>
  </r>
  <r>
    <x v="30"/>
    <x v="97"/>
    <x v="97"/>
    <s v="UPCOM"/>
    <s v="5750"/>
    <n v="0.64284165229462953"/>
    <n v="0.8356833045892591"/>
    <n v="0.45"/>
    <n v="2377917000"/>
    <n v="10"/>
    <n v="10"/>
  </r>
  <r>
    <x v="30"/>
    <x v="67"/>
    <x v="67"/>
    <s v="HSX"/>
    <s v="2730"/>
    <n v="0.6404198326495707"/>
    <n v="0.93083966529914153"/>
    <n v="0.35"/>
    <n v="267340491900"/>
    <n v="25.15"/>
    <n v="11"/>
  </r>
  <r>
    <x v="30"/>
    <x v="65"/>
    <x v="65"/>
    <s v="HSX"/>
    <s v="8350"/>
    <n v="0.63365162003386544"/>
    <n v="0.81730324006773092"/>
    <n v="0.45"/>
    <n v="471642659480"/>
    <n v="11.9"/>
    <n v="12"/>
  </r>
  <r>
    <x v="30"/>
    <x v="28"/>
    <x v="28"/>
    <s v="UPCOM"/>
    <s v="2770"/>
    <n v="0.59503019821494429"/>
    <n v="0.49006039642988858"/>
    <n v="0.7"/>
    <n v="9409012800"/>
    <n v="122"/>
    <n v="13"/>
  </r>
  <r>
    <x v="30"/>
    <x v="99"/>
    <x v="99"/>
    <s v="HSX"/>
    <s v="5750"/>
    <n v="0.59327634446725197"/>
    <n v="0.93655268893450383"/>
    <n v="0.25"/>
    <n v="65886705300"/>
    <n v="31.9"/>
    <n v="14"/>
  </r>
  <r>
    <x v="30"/>
    <x v="87"/>
    <x v="87"/>
    <s v="HSX"/>
    <s v="2350"/>
    <n v="0.58591774214759229"/>
    <n v="0.82183548429518472"/>
    <n v="0.35"/>
    <n v="2467699320"/>
    <n v="7.66"/>
    <n v="15"/>
  </r>
  <r>
    <x v="30"/>
    <x v="100"/>
    <x v="100"/>
    <s v="HSX"/>
    <s v="1350"/>
    <n v="0.58518227039953385"/>
    <n v="0.72036454079906775"/>
    <n v="0.45"/>
    <n v="22348362100"/>
    <n v="40.299999999999997"/>
    <n v="16"/>
  </r>
  <r>
    <x v="30"/>
    <x v="36"/>
    <x v="36"/>
    <s v="HNX"/>
    <s v="1770"/>
    <n v="0.56811595987569175"/>
    <n v="0.58623191975138333"/>
    <n v="0.55000000000000004"/>
    <n v="4170522800"/>
    <n v="58.5"/>
    <n v="17"/>
  </r>
  <r>
    <x v="30"/>
    <x v="5"/>
    <x v="5"/>
    <s v="UPCOM"/>
    <s v="8780"/>
    <n v="0.54328433433514123"/>
    <n v="0.38656866867028239"/>
    <n v="0.7"/>
    <n v="3933318800"/>
    <n v="10.9"/>
    <n v="18"/>
  </r>
  <r>
    <x v="30"/>
    <x v="93"/>
    <x v="93"/>
    <s v="HSX"/>
    <s v="1350"/>
    <n v="0.54254590892669796"/>
    <n v="0.73509181785339595"/>
    <n v="0.35"/>
    <n v="26461086400"/>
    <n v="124"/>
    <n v="19"/>
  </r>
  <r>
    <x v="30"/>
    <x v="101"/>
    <x v="101"/>
    <s v="HSX"/>
    <s v="1350"/>
    <n v="0.54202695618349805"/>
    <n v="0.83405391236699622"/>
    <n v="0.25"/>
    <n v="2035305020"/>
    <n v="2.83"/>
    <n v="20"/>
  </r>
  <r>
    <x v="31"/>
    <x v="93"/>
    <x v="93"/>
    <s v="HSX"/>
    <s v="1350"/>
    <n v="0.7459780703134673"/>
    <n v="0.89195614062693462"/>
    <n v="0.6"/>
    <n v="27585436800"/>
    <n v="128.80000000000001"/>
    <n v="1"/>
  </r>
  <r>
    <x v="31"/>
    <x v="75"/>
    <x v="75"/>
    <s v="HSX"/>
    <s v="2350"/>
    <n v="0.74243612060176734"/>
    <n v="0.98487224120353456"/>
    <n v="0.5"/>
    <n v="4603451180"/>
    <n v="14.95"/>
    <n v="2"/>
  </r>
  <r>
    <x v="31"/>
    <x v="60"/>
    <x v="60"/>
    <s v="HSX"/>
    <s v="8780"/>
    <n v="0.73088028557866025"/>
    <n v="0.66176057115732057"/>
    <n v="0.8"/>
    <n v="502520226220"/>
    <n v="12.45"/>
    <n v="3"/>
  </r>
  <r>
    <x v="31"/>
    <x v="98"/>
    <x v="98"/>
    <s v="HSX"/>
    <s v="2770"/>
    <n v="0.71885401951469863"/>
    <n v="0.93770803902939737"/>
    <n v="0.5"/>
    <n v="128562274400"/>
    <n v="57.9"/>
    <n v="4"/>
  </r>
  <r>
    <x v="31"/>
    <x v="28"/>
    <x v="28"/>
    <s v="UPCOM"/>
    <s v="2770"/>
    <n v="0.69413226854399257"/>
    <n v="0.53826453708798516"/>
    <n v="0.85"/>
    <n v="9224232400"/>
    <n v="124"/>
    <n v="5"/>
  </r>
  <r>
    <x v="31"/>
    <x v="27"/>
    <x v="27"/>
    <s v="HSX"/>
    <s v="3570"/>
    <n v="0.68982170141653176"/>
    <n v="0.87964340283306341"/>
    <n v="0.5"/>
    <n v="43616656100"/>
    <n v="15.95"/>
    <n v="6"/>
  </r>
  <r>
    <x v="31"/>
    <x v="11"/>
    <x v="11"/>
    <s v="UPCOM"/>
    <s v="1770"/>
    <n v="0.65773447071683644"/>
    <n v="0.56546894143367288"/>
    <n v="0.75"/>
    <n v="3730586000"/>
    <n v="20.9"/>
    <n v="7"/>
  </r>
  <r>
    <x v="31"/>
    <x v="96"/>
    <x v="96"/>
    <s v="HSX"/>
    <s v="1350"/>
    <n v="0.64145140720380112"/>
    <n v="0.83290281440760217"/>
    <n v="0.45"/>
    <n v="4571527400"/>
    <n v="34.65"/>
    <n v="8"/>
  </r>
  <r>
    <x v="31"/>
    <x v="1"/>
    <x v="1"/>
    <s v="HNX"/>
    <s v="1770"/>
    <n v="0.63858830303467906"/>
    <n v="0.67717660606935826"/>
    <n v="0.6"/>
    <n v="17192785800"/>
    <n v="213.2"/>
    <n v="9"/>
  </r>
  <r>
    <x v="31"/>
    <x v="45"/>
    <x v="45"/>
    <s v="HSX"/>
    <s v="2730"/>
    <n v="0.63412045372678905"/>
    <n v="0.96824090745357816"/>
    <n v="0.3"/>
    <n v="71628450400"/>
    <n v="79.599999999999994"/>
    <n v="10"/>
  </r>
  <r>
    <x v="31"/>
    <x v="69"/>
    <x v="69"/>
    <s v="HSX"/>
    <s v="8630"/>
    <n v="0.63179907274706792"/>
    <n v="0.61359814549413594"/>
    <n v="0.65"/>
    <n v="4263972600"/>
    <n v="2.0499999999999998"/>
    <n v="11"/>
  </r>
  <r>
    <x v="31"/>
    <x v="65"/>
    <x v="65"/>
    <s v="HSX"/>
    <s v="8350"/>
    <n v="0.62991083991793007"/>
    <n v="0.80982167983586006"/>
    <n v="0.45"/>
    <n v="479489165580"/>
    <n v="12"/>
    <n v="12"/>
  </r>
  <r>
    <x v="31"/>
    <x v="30"/>
    <x v="30"/>
    <s v="HSX"/>
    <s v="8630"/>
    <n v="0.62272334397744089"/>
    <n v="0.94544668795488185"/>
    <n v="0.3"/>
    <n v="35080384160"/>
    <n v="10.5"/>
    <n v="13"/>
  </r>
  <r>
    <x v="31"/>
    <x v="97"/>
    <x v="97"/>
    <s v="UPCOM"/>
    <s v="5750"/>
    <n v="0.61920337493687339"/>
    <n v="0.83840674987374675"/>
    <n v="0.4"/>
    <n v="2428851600"/>
    <n v="9.9"/>
    <n v="14"/>
  </r>
  <r>
    <x v="31"/>
    <x v="2"/>
    <x v="2"/>
    <s v="HNX"/>
    <s v="1770"/>
    <n v="0.61826114355383532"/>
    <n v="0.73652228710767065"/>
    <n v="0.5"/>
    <n v="3332416800"/>
    <n v="325.89999999999998"/>
    <n v="15"/>
  </r>
  <r>
    <x v="31"/>
    <x v="101"/>
    <x v="101"/>
    <s v="HSX"/>
    <s v="1350"/>
    <n v="0.59806292683143636"/>
    <n v="0.89612585366287278"/>
    <n v="0.3"/>
    <n v="2128697660"/>
    <n v="2.94"/>
    <n v="16"/>
  </r>
  <r>
    <x v="31"/>
    <x v="102"/>
    <x v="102"/>
    <s v="HSX"/>
    <s v="2350"/>
    <n v="0.5850446666195438"/>
    <n v="0.87008933323908755"/>
    <n v="0.3"/>
    <n v="207311562000"/>
    <n v="22.4"/>
    <n v="17"/>
  </r>
  <r>
    <x v="31"/>
    <x v="67"/>
    <x v="67"/>
    <s v="HSX"/>
    <s v="2730"/>
    <n v="0.58152753805428625"/>
    <n v="0.91305507610857251"/>
    <n v="0.25"/>
    <n v="270700125300"/>
    <n v="24.9"/>
    <n v="18"/>
  </r>
  <r>
    <x v="31"/>
    <x v="87"/>
    <x v="87"/>
    <s v="HSX"/>
    <s v="2350"/>
    <n v="0.58083226013137002"/>
    <n v="0.81166452026274016"/>
    <n v="0.35"/>
    <n v="2451229380"/>
    <n v="7.62"/>
    <n v="19"/>
  </r>
  <r>
    <x v="31"/>
    <x v="103"/>
    <x v="103"/>
    <s v="HSX"/>
    <s v="8530"/>
    <n v="0.54259173133514682"/>
    <n v="0.43518346267029362"/>
    <n v="0.65"/>
    <n v="2546329400"/>
    <n v="33.9"/>
    <n v="20"/>
  </r>
  <r>
    <x v="32"/>
    <x v="99"/>
    <x v="99"/>
    <s v="HSX"/>
    <s v="5750"/>
    <n v="0.77257291340249812"/>
    <n v="0.94514582680499626"/>
    <n v="0.6"/>
    <n v="70873710700"/>
    <n v="32.799999999999997"/>
    <n v="1"/>
  </r>
  <r>
    <x v="32"/>
    <x v="45"/>
    <x v="45"/>
    <s v="HSX"/>
    <s v="2730"/>
    <n v="0.74417257188742991"/>
    <n v="0.98834514377485994"/>
    <n v="0.5"/>
    <n v="74142322600"/>
    <n v="85.1"/>
    <n v="2"/>
  </r>
  <r>
    <x v="32"/>
    <x v="75"/>
    <x v="75"/>
    <s v="HSX"/>
    <s v="2350"/>
    <n v="0.74359223972377109"/>
    <n v="0.98718447944754217"/>
    <n v="0.5"/>
    <n v="4764139180"/>
    <n v="15.4"/>
    <n v="3"/>
  </r>
  <r>
    <x v="32"/>
    <x v="60"/>
    <x v="60"/>
    <s v="HSX"/>
    <s v="8780"/>
    <n v="0.74303286547726999"/>
    <n v="0.68606573095453982"/>
    <n v="0.8"/>
    <n v="508071423200"/>
    <n v="12.55"/>
    <n v="4"/>
  </r>
  <r>
    <x v="32"/>
    <x v="98"/>
    <x v="98"/>
    <s v="HSX"/>
    <s v="2770"/>
    <n v="0.73046790649204807"/>
    <n v="0.9109358129840962"/>
    <n v="0.55000000000000004"/>
    <n v="124501454800"/>
    <n v="58.3"/>
    <n v="5"/>
  </r>
  <r>
    <x v="32"/>
    <x v="28"/>
    <x v="28"/>
    <s v="UPCOM"/>
    <s v="2770"/>
    <n v="0.69938010453718569"/>
    <n v="0.64876020907437126"/>
    <n v="0.75"/>
    <n v="8452038600"/>
    <n v="127.9"/>
    <n v="6"/>
  </r>
  <r>
    <x v="32"/>
    <x v="97"/>
    <x v="97"/>
    <s v="UPCOM"/>
    <s v="5750"/>
    <n v="0.69354802856684661"/>
    <n v="0.83709605713369317"/>
    <n v="0.55000000000000004"/>
    <n v="2525542600"/>
    <n v="10"/>
    <n v="7"/>
  </r>
  <r>
    <x v="32"/>
    <x v="30"/>
    <x v="30"/>
    <s v="HSX"/>
    <s v="8630"/>
    <n v="0.6892279753863586"/>
    <n v="0.9784559507727173"/>
    <n v="0.4"/>
    <n v="37105639340"/>
    <n v="11.15"/>
    <n v="8"/>
  </r>
  <r>
    <x v="32"/>
    <x v="27"/>
    <x v="27"/>
    <s v="HSX"/>
    <s v="3570"/>
    <n v="0.68560900216856191"/>
    <n v="0.87121800433712382"/>
    <n v="0.5"/>
    <n v="43374726300"/>
    <n v="15.95"/>
    <n v="9"/>
  </r>
  <r>
    <x v="32"/>
    <x v="69"/>
    <x v="69"/>
    <s v="HSX"/>
    <s v="8630"/>
    <n v="0.67385041170263926"/>
    <n v="0.64770082340527857"/>
    <n v="0.7"/>
    <n v="4272968120"/>
    <n v="2.06"/>
    <n v="10"/>
  </r>
  <r>
    <x v="32"/>
    <x v="70"/>
    <x v="70"/>
    <s v="HSX"/>
    <s v="8350"/>
    <n v="0.65993429324131903"/>
    <n v="0.76986858648263801"/>
    <n v="0.55000000000000004"/>
    <n v="12435635800"/>
    <n v="10.6"/>
    <n v="11"/>
  </r>
  <r>
    <x v="32"/>
    <x v="1"/>
    <x v="1"/>
    <s v="HNX"/>
    <s v="1770"/>
    <n v="0.63894996804201076"/>
    <n v="0.87789993608402161"/>
    <n v="0.4"/>
    <n v="17304235200"/>
    <n v="227"/>
    <n v="12"/>
  </r>
  <r>
    <x v="32"/>
    <x v="2"/>
    <x v="2"/>
    <s v="HNX"/>
    <s v="1770"/>
    <n v="0.61885374289458428"/>
    <n v="0.68770748578916852"/>
    <n v="0.55000000000000004"/>
    <n v="3334552600"/>
    <n v="327.7"/>
    <n v="13"/>
  </r>
  <r>
    <x v="32"/>
    <x v="11"/>
    <x v="11"/>
    <s v="UPCOM"/>
    <s v="1770"/>
    <n v="0.60396343625424764"/>
    <n v="0.55792687250849526"/>
    <n v="0.65"/>
    <n v="3681247200"/>
    <n v="20.5"/>
    <n v="14"/>
  </r>
  <r>
    <x v="32"/>
    <x v="65"/>
    <x v="65"/>
    <s v="HSX"/>
    <s v="8350"/>
    <n v="0.60118760521814418"/>
    <n v="0.80237521043628834"/>
    <n v="0.4"/>
    <n v="488166875780"/>
    <n v="12.05"/>
    <n v="15"/>
  </r>
  <r>
    <x v="32"/>
    <x v="96"/>
    <x v="96"/>
    <s v="HSX"/>
    <s v="1350"/>
    <n v="0.59327784820886975"/>
    <n v="0.73655569641773955"/>
    <n v="0.45"/>
    <n v="4546380000"/>
    <n v="34.549999999999997"/>
    <n v="16"/>
  </r>
  <r>
    <x v="32"/>
    <x v="67"/>
    <x v="67"/>
    <s v="HSX"/>
    <s v="2730"/>
    <n v="0.57573994212400048"/>
    <n v="0.95147988424800101"/>
    <n v="0.2"/>
    <n v="275779511900"/>
    <n v="26.3"/>
    <n v="17"/>
  </r>
  <r>
    <x v="32"/>
    <x v="36"/>
    <x v="36"/>
    <s v="HNX"/>
    <s v="1770"/>
    <n v="0.56646518418991731"/>
    <n v="0.53293036837983465"/>
    <n v="0.6"/>
    <n v="4189027800"/>
    <n v="60.2"/>
    <n v="18"/>
  </r>
  <r>
    <x v="32"/>
    <x v="57"/>
    <x v="57"/>
    <s v="HSX"/>
    <s v="3570"/>
    <n v="0.55503106056160667"/>
    <n v="0.71006212112321332"/>
    <n v="0.4"/>
    <n v="119247685800"/>
    <n v="31.95"/>
    <n v="19"/>
  </r>
  <r>
    <x v="32"/>
    <x v="102"/>
    <x v="102"/>
    <s v="HSX"/>
    <s v="2350"/>
    <n v="0.53839303354065982"/>
    <n v="0.82678606708131963"/>
    <n v="0.25"/>
    <n v="208576761600"/>
    <n v="22.4"/>
    <n v="20"/>
  </r>
  <r>
    <x v="33"/>
    <x v="27"/>
    <x v="27"/>
    <s v="HSX"/>
    <s v="3570"/>
    <n v="0.77666531103674052"/>
    <n v="0.95333062207348118"/>
    <n v="0.6"/>
    <n v="43384471800"/>
    <n v="16.850000000000001"/>
    <n v="1"/>
  </r>
  <r>
    <x v="33"/>
    <x v="45"/>
    <x v="45"/>
    <s v="HSX"/>
    <s v="2730"/>
    <n v="0.76742796582401818"/>
    <n v="0.98485593164803631"/>
    <n v="0.55000000000000004"/>
    <n v="76117834600"/>
    <n v="89"/>
    <n v="2"/>
  </r>
  <r>
    <x v="33"/>
    <x v="75"/>
    <x v="75"/>
    <s v="HSX"/>
    <s v="2350"/>
    <n v="0.76438015927157732"/>
    <n v="0.97876031854315471"/>
    <n v="0.55000000000000004"/>
    <n v="4812700480"/>
    <n v="15"/>
    <n v="3"/>
  </r>
  <r>
    <x v="33"/>
    <x v="60"/>
    <x v="60"/>
    <s v="HSX"/>
    <s v="8780"/>
    <n v="0.71909278177713087"/>
    <n v="0.78818556355426173"/>
    <n v="0.65"/>
    <n v="526306792200"/>
    <n v="12.7"/>
    <n v="4"/>
  </r>
  <r>
    <x v="33"/>
    <x v="1"/>
    <x v="1"/>
    <s v="HNX"/>
    <s v="1770"/>
    <n v="0.71873773457990686"/>
    <n v="0.78747546915981381"/>
    <n v="0.65"/>
    <n v="17456850800"/>
    <n v="216.1"/>
    <n v="5"/>
  </r>
  <r>
    <x v="33"/>
    <x v="98"/>
    <x v="98"/>
    <s v="HSX"/>
    <s v="2770"/>
    <n v="0.71457318916932711"/>
    <n v="0.92914637833865421"/>
    <n v="0.5"/>
    <n v="126161863400"/>
    <n v="59.4"/>
    <n v="6"/>
  </r>
  <r>
    <x v="33"/>
    <x v="93"/>
    <x v="93"/>
    <s v="HSX"/>
    <s v="1350"/>
    <n v="0.69136152505227511"/>
    <n v="0.88272305010455032"/>
    <n v="0.5"/>
    <n v="30868111200"/>
    <n v="129.80000000000001"/>
    <n v="7"/>
  </r>
  <r>
    <x v="33"/>
    <x v="97"/>
    <x v="97"/>
    <s v="UPCOM"/>
    <s v="5750"/>
    <n v="0.68374116296552578"/>
    <n v="0.81748232593105152"/>
    <n v="0.55000000000000004"/>
    <n v="2606748400"/>
    <n v="10"/>
    <n v="8"/>
  </r>
  <r>
    <x v="33"/>
    <x v="70"/>
    <x v="70"/>
    <s v="HSX"/>
    <s v="8350"/>
    <n v="0.66625772559230034"/>
    <n v="0.8325154511846008"/>
    <n v="0.5"/>
    <n v="12614589800"/>
    <n v="10.8"/>
    <n v="9"/>
  </r>
  <r>
    <x v="33"/>
    <x v="104"/>
    <x v="104"/>
    <s v="HSX"/>
    <s v="1750"/>
    <n v="0.65101709159111154"/>
    <n v="0.9520341831822231"/>
    <n v="0.35"/>
    <n v="6691079040"/>
    <n v="8.15"/>
    <n v="10"/>
  </r>
  <r>
    <x v="33"/>
    <x v="2"/>
    <x v="2"/>
    <s v="HNX"/>
    <s v="1770"/>
    <n v="0.63612978648114371"/>
    <n v="0.92225957296228755"/>
    <n v="0.35"/>
    <n v="3447326200"/>
    <n v="355"/>
    <n v="11"/>
  </r>
  <r>
    <x v="33"/>
    <x v="65"/>
    <x v="65"/>
    <s v="HSX"/>
    <s v="8350"/>
    <n v="0.62831782399465474"/>
    <n v="0.95663564798930956"/>
    <n v="0.3"/>
    <n v="525907986680"/>
    <n v="12.85"/>
    <n v="12"/>
  </r>
  <r>
    <x v="33"/>
    <x v="105"/>
    <x v="105"/>
    <s v="HNX"/>
    <s v="2350"/>
    <n v="0.60711828879733742"/>
    <n v="0.81423657759467494"/>
    <n v="0.4"/>
    <n v="2349898600"/>
    <n v="5.7"/>
    <n v="13"/>
  </r>
  <r>
    <x v="33"/>
    <x v="30"/>
    <x v="30"/>
    <s v="HSX"/>
    <s v="8630"/>
    <n v="0.60680850483280779"/>
    <n v="0.96361700966561559"/>
    <n v="0.25"/>
    <n v="38207899260"/>
    <n v="11"/>
    <n v="14"/>
  </r>
  <r>
    <x v="33"/>
    <x v="28"/>
    <x v="28"/>
    <s v="UPCOM"/>
    <s v="2770"/>
    <n v="0.60244684429247553"/>
    <n v="0.75489368858495098"/>
    <n v="0.45"/>
    <n v="8359566000"/>
    <n v="134"/>
    <n v="15"/>
  </r>
  <r>
    <x v="33"/>
    <x v="67"/>
    <x v="67"/>
    <s v="HSX"/>
    <s v="2730"/>
    <n v="0.58442187724861672"/>
    <n v="0.96884375449723337"/>
    <n v="0.2"/>
    <n v="287793770200"/>
    <n v="27.5"/>
    <n v="16"/>
  </r>
  <r>
    <x v="33"/>
    <x v="11"/>
    <x v="11"/>
    <s v="UPCOM"/>
    <s v="1770"/>
    <n v="0.57601906556090066"/>
    <n v="0.55203813112180133"/>
    <n v="0.6"/>
    <n v="3634580400"/>
    <n v="20.3"/>
    <n v="17"/>
  </r>
  <r>
    <x v="33"/>
    <x v="63"/>
    <x v="63"/>
    <s v="HSX"/>
    <s v="1750"/>
    <n v="0.57514669395429052"/>
    <n v="0.57514669395429052"/>
    <m/>
    <n v="5146791400"/>
    <n v="12.25"/>
    <n v="18"/>
  </r>
  <r>
    <x v="33"/>
    <x v="103"/>
    <x v="103"/>
    <s v="HSX"/>
    <s v="8530"/>
    <n v="0.57027955505341232"/>
    <n v="0.49055911010682463"/>
    <n v="0.65"/>
    <n v="2492164100"/>
    <n v="34.25"/>
    <n v="19"/>
  </r>
  <r>
    <x v="33"/>
    <x v="57"/>
    <x v="57"/>
    <s v="HSX"/>
    <s v="3570"/>
    <n v="0.56524671284204842"/>
    <n v="0.78049342568409685"/>
    <n v="0.35"/>
    <n v="121069856900"/>
    <n v="32.65"/>
    <n v="20"/>
  </r>
  <r>
    <x v="34"/>
    <x v="75"/>
    <x v="75"/>
    <s v="HSX"/>
    <s v="2350"/>
    <n v="0.76493469111129664"/>
    <n v="0.97986938222259312"/>
    <n v="0.55000000000000004"/>
    <n v="4908640340"/>
    <n v="15.1"/>
    <n v="1"/>
  </r>
  <r>
    <x v="34"/>
    <x v="27"/>
    <x v="27"/>
    <s v="HSX"/>
    <s v="3570"/>
    <n v="0.76098031439014679"/>
    <n v="0.9219606287802935"/>
    <n v="0.6"/>
    <n v="42627209200"/>
    <n v="16.899999999999999"/>
    <n v="2"/>
  </r>
  <r>
    <x v="34"/>
    <x v="106"/>
    <x v="106"/>
    <s v="HNX"/>
    <s v="8630"/>
    <n v="0.73443876103456129"/>
    <n v="0.8688775220691225"/>
    <n v="0.6"/>
    <n v="4006279000"/>
    <n v="7.3"/>
    <n v="3"/>
  </r>
  <r>
    <x v="34"/>
    <x v="65"/>
    <x v="65"/>
    <s v="HSX"/>
    <s v="8350"/>
    <n v="0.72532621618605819"/>
    <n v="0.95065243237211638"/>
    <n v="0.5"/>
    <n v="544829396080"/>
    <n v="13.2"/>
    <n v="4"/>
  </r>
  <r>
    <x v="34"/>
    <x v="45"/>
    <x v="45"/>
    <s v="HSX"/>
    <s v="2730"/>
    <n v="0.71498486752665114"/>
    <n v="0.9799697350533022"/>
    <n v="0.45"/>
    <n v="77969833200"/>
    <n v="86.5"/>
    <n v="5"/>
  </r>
  <r>
    <x v="34"/>
    <x v="107"/>
    <x v="107"/>
    <s v="HNX"/>
    <s v="2350"/>
    <n v="0.70169989940684097"/>
    <n v="0.80339979881368195"/>
    <n v="0.6"/>
    <n v="32354790000"/>
    <n v="68"/>
    <n v="6"/>
  </r>
  <r>
    <x v="34"/>
    <x v="98"/>
    <x v="98"/>
    <s v="HSX"/>
    <s v="2770"/>
    <n v="0.70167506552568726"/>
    <n v="0.90335013105137452"/>
    <n v="0.5"/>
    <n v="125444812400"/>
    <n v="59.3"/>
    <n v="7"/>
  </r>
  <r>
    <x v="34"/>
    <x v="1"/>
    <x v="1"/>
    <s v="HNX"/>
    <s v="1770"/>
    <n v="0.69722514836809668"/>
    <n v="0.6944502967361933"/>
    <n v="0.7"/>
    <n v="17058522600"/>
    <n v="211.3"/>
    <n v="8"/>
  </r>
  <r>
    <x v="34"/>
    <x v="105"/>
    <x v="105"/>
    <s v="HNX"/>
    <s v="2350"/>
    <n v="0.69046304706616313"/>
    <n v="0.9309260941323263"/>
    <n v="0.45"/>
    <n v="2495111800"/>
    <n v="6.2"/>
    <n v="9"/>
  </r>
  <r>
    <x v="34"/>
    <x v="70"/>
    <x v="70"/>
    <s v="HSX"/>
    <s v="8350"/>
    <n v="0.66313572239709995"/>
    <n v="0.82627144479419989"/>
    <n v="0.5"/>
    <n v="12705074400"/>
    <n v="10.9"/>
    <n v="10"/>
  </r>
  <r>
    <x v="34"/>
    <x v="60"/>
    <x v="60"/>
    <s v="HSX"/>
    <s v="8780"/>
    <n v="0.66169197678207392"/>
    <n v="0.67338395356414793"/>
    <n v="0.65"/>
    <n v="534759251600"/>
    <n v="12.5"/>
    <n v="11"/>
  </r>
  <r>
    <x v="34"/>
    <x v="103"/>
    <x v="103"/>
    <s v="HSX"/>
    <s v="8530"/>
    <n v="0.64836144674008556"/>
    <n v="0.59672289348017116"/>
    <n v="0.7"/>
    <n v="2424760700"/>
    <n v="34.950000000000003"/>
    <n v="12"/>
  </r>
  <r>
    <x v="34"/>
    <x v="104"/>
    <x v="104"/>
    <s v="HSX"/>
    <s v="1750"/>
    <n v="0.62316143158482995"/>
    <n v="0.94632286316965986"/>
    <n v="0.3"/>
    <n v="6869244320"/>
    <n v="8.5"/>
    <n v="13"/>
  </r>
  <r>
    <x v="34"/>
    <x v="69"/>
    <x v="69"/>
    <s v="HSX"/>
    <s v="8630"/>
    <n v="0.61948451998548126"/>
    <n v="0.5889690399709625"/>
    <n v="0.65"/>
    <n v="4249080740"/>
    <n v="2.0499999999999998"/>
    <n v="14"/>
  </r>
  <r>
    <x v="34"/>
    <x v="97"/>
    <x v="97"/>
    <s v="UPCOM"/>
    <s v="5750"/>
    <n v="0.60807418086799048"/>
    <n v="0.71614836173598095"/>
    <n v="0.5"/>
    <n v="2603113600"/>
    <n v="10"/>
    <n v="15"/>
  </r>
  <r>
    <x v="34"/>
    <x v="67"/>
    <x v="67"/>
    <s v="HSX"/>
    <s v="2730"/>
    <n v="0.60351858791526536"/>
    <n v="0.95703717583053072"/>
    <n v="0.25"/>
    <n v="294740691800"/>
    <n v="27.3"/>
    <n v="16"/>
  </r>
  <r>
    <x v="34"/>
    <x v="108"/>
    <x v="108"/>
    <s v="UPCOM"/>
    <s v="1350"/>
    <n v="0.59967214283119596"/>
    <n v="0.84934428566239195"/>
    <n v="0.35"/>
    <n v="39710371400"/>
    <n v="20.100000000000001"/>
    <n v="17"/>
  </r>
  <r>
    <x v="34"/>
    <x v="28"/>
    <x v="28"/>
    <s v="UPCOM"/>
    <s v="2770"/>
    <n v="0.59763709957508837"/>
    <n v="0.79527419915017672"/>
    <n v="0.4"/>
    <n v="8034767400"/>
    <n v="137.9"/>
    <n v="18"/>
  </r>
  <r>
    <x v="34"/>
    <x v="56"/>
    <x v="56"/>
    <s v="HSX"/>
    <s v="8350"/>
    <n v="0.59684297526585428"/>
    <n v="0.89368595053170852"/>
    <n v="0.3"/>
    <n v="529458873000"/>
    <n v="40.450000000000003"/>
    <n v="19"/>
  </r>
  <r>
    <x v="34"/>
    <x v="2"/>
    <x v="2"/>
    <s v="HNX"/>
    <s v="1770"/>
    <n v="0.59030620422512703"/>
    <n v="0.83061240845025419"/>
    <n v="0.35"/>
    <n v="3361921400"/>
    <n v="347.2"/>
    <n v="20"/>
  </r>
  <r>
    <x v="35"/>
    <x v="27"/>
    <x v="27"/>
    <s v="HSX"/>
    <s v="3570"/>
    <n v="0.82148374798195734"/>
    <n v="0.94296749596391471"/>
    <n v="0.7"/>
    <n v="42926821200"/>
    <n v="16.899999999999999"/>
    <n v="1"/>
  </r>
  <r>
    <x v="35"/>
    <x v="98"/>
    <x v="98"/>
    <s v="HSX"/>
    <s v="2770"/>
    <n v="0.79803629481980531"/>
    <n v="0.94607258963961061"/>
    <n v="0.65"/>
    <n v="125621185800"/>
    <n v="60.4"/>
    <n v="2"/>
  </r>
  <r>
    <x v="35"/>
    <x v="75"/>
    <x v="75"/>
    <s v="HSX"/>
    <s v="2350"/>
    <n v="0.7676362422620433"/>
    <n v="0.98527248452408656"/>
    <n v="0.55000000000000004"/>
    <n v="5146123240"/>
    <n v="15.3"/>
    <n v="3"/>
  </r>
  <r>
    <x v="35"/>
    <x v="105"/>
    <x v="105"/>
    <s v="HNX"/>
    <s v="2350"/>
    <n v="0.76656242258520746"/>
    <n v="0.98312484517041498"/>
    <n v="0.55000000000000004"/>
    <n v="2432793400"/>
    <n v="6.8"/>
    <n v="4"/>
  </r>
  <r>
    <x v="35"/>
    <x v="45"/>
    <x v="45"/>
    <s v="HSX"/>
    <s v="2730"/>
    <n v="0.71544259090612483"/>
    <n v="0.98088518181224971"/>
    <n v="0.45"/>
    <n v="80090897200"/>
    <n v="87"/>
    <n v="5"/>
  </r>
  <r>
    <x v="35"/>
    <x v="107"/>
    <x v="107"/>
    <s v="HNX"/>
    <s v="2350"/>
    <n v="0.70468597256407506"/>
    <n v="0.85937194512814996"/>
    <n v="0.55000000000000004"/>
    <n v="33514049600"/>
    <n v="68"/>
    <n v="6"/>
  </r>
  <r>
    <x v="35"/>
    <x v="2"/>
    <x v="2"/>
    <s v="HNX"/>
    <s v="1770"/>
    <n v="0.69372975461836872"/>
    <n v="0.88745950923673744"/>
    <n v="0.5"/>
    <n v="3414720800"/>
    <n v="345"/>
    <n v="7"/>
  </r>
  <r>
    <x v="35"/>
    <x v="65"/>
    <x v="65"/>
    <s v="HSX"/>
    <s v="8350"/>
    <n v="0.67931667318781264"/>
    <n v="0.95863334637562514"/>
    <n v="0.4"/>
    <n v="600564199880"/>
    <n v="13.2"/>
    <n v="8"/>
  </r>
  <r>
    <x v="35"/>
    <x v="60"/>
    <x v="60"/>
    <s v="HSX"/>
    <s v="8780"/>
    <n v="0.67893879540875923"/>
    <n v="0.70787759081751844"/>
    <n v="0.65"/>
    <n v="557297734960"/>
    <n v="12.2"/>
    <n v="9"/>
  </r>
  <r>
    <x v="35"/>
    <x v="109"/>
    <x v="109"/>
    <s v="UPCOM"/>
    <s v="2790"/>
    <n v="0.67393155662830617"/>
    <n v="0.84786311325661223"/>
    <n v="0.5"/>
    <n v="2530600600"/>
    <n v="199"/>
    <n v="10"/>
  </r>
  <r>
    <x v="35"/>
    <x v="28"/>
    <x v="28"/>
    <s v="UPCOM"/>
    <s v="2770"/>
    <n v="0.67065595421448454"/>
    <n v="0.69131190842896895"/>
    <n v="0.65"/>
    <n v="7578116400"/>
    <n v="128"/>
    <n v="11"/>
  </r>
  <r>
    <x v="35"/>
    <x v="69"/>
    <x v="69"/>
    <s v="HSX"/>
    <s v="8630"/>
    <n v="0.65061046520024224"/>
    <n v="0.60122093040048452"/>
    <n v="0.7"/>
    <n v="4325576340"/>
    <n v="1.99"/>
    <n v="12"/>
  </r>
  <r>
    <x v="35"/>
    <x v="67"/>
    <x v="67"/>
    <s v="HSX"/>
    <s v="2730"/>
    <n v="0.64629709539981017"/>
    <n v="0.94259419079962037"/>
    <n v="0.35"/>
    <n v="309136400800"/>
    <n v="26.3"/>
    <n v="13"/>
  </r>
  <r>
    <x v="35"/>
    <x v="106"/>
    <x v="106"/>
    <s v="HNX"/>
    <s v="8630"/>
    <n v="0.63924374761434777"/>
    <n v="0.77848749522869554"/>
    <n v="0.5"/>
    <n v="4114159400"/>
    <n v="6.9"/>
    <n v="14"/>
  </r>
  <r>
    <x v="35"/>
    <x v="103"/>
    <x v="103"/>
    <s v="HSX"/>
    <s v="8530"/>
    <n v="0.63848368532021782"/>
    <n v="0.47696737064043571"/>
    <n v="0.8"/>
    <n v="2389804700"/>
    <n v="34"/>
    <n v="15"/>
  </r>
  <r>
    <x v="35"/>
    <x v="108"/>
    <x v="108"/>
    <s v="UPCOM"/>
    <s v="1350"/>
    <n v="0.63578486174460813"/>
    <n v="0.77156972348921626"/>
    <n v="0.5"/>
    <n v="40788269400"/>
    <n v="19.8"/>
    <n v="16"/>
  </r>
  <r>
    <x v="35"/>
    <x v="63"/>
    <x v="63"/>
    <s v="HSX"/>
    <s v="1750"/>
    <n v="0.61802186807360093"/>
    <n v="0.61802186807360093"/>
    <m/>
    <n v="5068081100"/>
    <n v="12.3"/>
    <n v="17"/>
  </r>
  <r>
    <x v="35"/>
    <x v="49"/>
    <x v="49"/>
    <s v="HSX"/>
    <s v="8780"/>
    <n v="0.60668549007197536"/>
    <n v="0.76337098014395077"/>
    <n v="0.45"/>
    <n v="336290097000"/>
    <n v="15"/>
    <n v="18"/>
  </r>
  <r>
    <x v="35"/>
    <x v="104"/>
    <x v="104"/>
    <s v="HSX"/>
    <s v="1750"/>
    <n v="0.60502492902392691"/>
    <n v="0.96004985804785381"/>
    <n v="0.25"/>
    <n v="6815835200"/>
    <n v="8.5"/>
    <n v="19"/>
  </r>
  <r>
    <x v="35"/>
    <x v="56"/>
    <x v="56"/>
    <s v="HSX"/>
    <s v="8350"/>
    <n v="0.60199828540268341"/>
    <n v="0.90399657080536677"/>
    <n v="0.3"/>
    <n v="539243217600"/>
    <n v="40.65"/>
    <n v="20"/>
  </r>
  <r>
    <x v="36"/>
    <x v="27"/>
    <x v="27"/>
    <s v="HSX"/>
    <s v="3570"/>
    <n v="0.83727150046902943"/>
    <n v="0.92454300093805886"/>
    <n v="0.75"/>
    <n v="42142943600"/>
    <n v="16.95"/>
    <n v="1"/>
  </r>
  <r>
    <x v="36"/>
    <x v="107"/>
    <x v="107"/>
    <s v="HNX"/>
    <s v="2350"/>
    <n v="0.72049441335342901"/>
    <n v="0.89098882670685808"/>
    <n v="0.55000000000000004"/>
    <n v="34423495200"/>
    <n v="70.8"/>
    <n v="2"/>
  </r>
  <r>
    <x v="36"/>
    <x v="108"/>
    <x v="108"/>
    <s v="UPCOM"/>
    <s v="1350"/>
    <n v="0.70664071080913393"/>
    <n v="0.91328142161826797"/>
    <n v="0.5"/>
    <n v="42118540400"/>
    <n v="21"/>
    <n v="3"/>
  </r>
  <r>
    <x v="36"/>
    <x v="63"/>
    <x v="63"/>
    <s v="HSX"/>
    <s v="1750"/>
    <n v="0.70259560158622625"/>
    <n v="0.70259560158622625"/>
    <m/>
    <n v="5094093200"/>
    <n v="12.65"/>
    <n v="4"/>
  </r>
  <r>
    <x v="36"/>
    <x v="105"/>
    <x v="105"/>
    <s v="HNX"/>
    <s v="2350"/>
    <n v="0.69578568766979076"/>
    <n v="0.9915713753395814"/>
    <n v="0.4"/>
    <n v="2384764000"/>
    <n v="7.3"/>
    <n v="5"/>
  </r>
  <r>
    <x v="36"/>
    <x v="106"/>
    <x v="106"/>
    <s v="HNX"/>
    <s v="8630"/>
    <n v="0.68716399673758288"/>
    <n v="0.92432799347516581"/>
    <n v="0.45"/>
    <n v="4391727400"/>
    <n v="7.4"/>
    <n v="6"/>
  </r>
  <r>
    <x v="36"/>
    <x v="98"/>
    <x v="98"/>
    <s v="HSX"/>
    <s v="2770"/>
    <n v="0.67661130837397121"/>
    <n v="0.90322261674794235"/>
    <n v="0.45"/>
    <n v="124430004800"/>
    <n v="59.9"/>
    <n v="7"/>
  </r>
  <r>
    <x v="36"/>
    <x v="67"/>
    <x v="67"/>
    <s v="HSX"/>
    <s v="2730"/>
    <n v="0.66217373823883652"/>
    <n v="0.92434747647767301"/>
    <n v="0.4"/>
    <n v="312308283500"/>
    <n v="26.95"/>
    <n v="8"/>
  </r>
  <r>
    <x v="36"/>
    <x v="75"/>
    <x v="75"/>
    <s v="HSX"/>
    <s v="2350"/>
    <n v="0.66062378531357313"/>
    <n v="0.97124757062714628"/>
    <n v="0.35"/>
    <n v="5307451120"/>
    <n v="14.25"/>
    <n v="9"/>
  </r>
  <r>
    <x v="36"/>
    <x v="97"/>
    <x v="97"/>
    <s v="UPCOM"/>
    <s v="5750"/>
    <n v="0.64066355173060985"/>
    <n v="0.73132710346121976"/>
    <n v="0.55000000000000004"/>
    <n v="2668691200"/>
    <n v="9.9"/>
    <n v="10"/>
  </r>
  <r>
    <x v="36"/>
    <x v="104"/>
    <x v="104"/>
    <s v="HSX"/>
    <s v="1750"/>
    <n v="0.63848665103723623"/>
    <n v="0.92697330207447259"/>
    <n v="0.35"/>
    <n v="6872137220"/>
    <n v="8.49"/>
    <n v="11"/>
  </r>
  <r>
    <x v="36"/>
    <x v="109"/>
    <x v="109"/>
    <s v="UPCOM"/>
    <s v="2790"/>
    <n v="0.62503574208788792"/>
    <n v="0.95007148417577592"/>
    <n v="0.3"/>
    <n v="2786506600"/>
    <n v="214.8"/>
    <n v="12"/>
  </r>
  <r>
    <x v="36"/>
    <x v="28"/>
    <x v="28"/>
    <s v="UPCOM"/>
    <s v="2770"/>
    <n v="0.60313075632713553"/>
    <n v="0.75626151265427111"/>
    <n v="0.45"/>
    <n v="7475963800"/>
    <n v="136"/>
    <n v="13"/>
  </r>
  <r>
    <x v="36"/>
    <x v="45"/>
    <x v="45"/>
    <s v="HSX"/>
    <s v="2730"/>
    <n v="0.60136619621467058"/>
    <n v="0.95273239242934127"/>
    <n v="0.25"/>
    <n v="80907519700"/>
    <n v="83.5"/>
    <n v="14"/>
  </r>
  <r>
    <x v="36"/>
    <x v="110"/>
    <x v="110"/>
    <s v="HSX"/>
    <s v="3350"/>
    <n v="0.60094230174314389"/>
    <n v="0.70188460348628767"/>
    <n v="0.5"/>
    <n v="5213354800"/>
    <n v="21.9"/>
    <n v="15"/>
  </r>
  <r>
    <x v="36"/>
    <x v="111"/>
    <x v="111"/>
    <s v="UPCOM"/>
    <s v="8780"/>
    <n v="0.59889377918358"/>
    <n v="0.89778755836716007"/>
    <n v="0.3"/>
    <n v="6592011600"/>
    <n v="5.6"/>
    <n v="16"/>
  </r>
  <r>
    <x v="36"/>
    <x v="2"/>
    <x v="2"/>
    <s v="HNX"/>
    <s v="1770"/>
    <n v="0.59483886068281466"/>
    <n v="0.68967772136562933"/>
    <n v="0.5"/>
    <n v="3414486800"/>
    <n v="327"/>
    <n v="17"/>
  </r>
  <r>
    <x v="36"/>
    <x v="112"/>
    <x v="112"/>
    <s v="HSX"/>
    <s v="2350"/>
    <n v="0.5854347212990465"/>
    <n v="0.62086944259809285"/>
    <n v="0.55000000000000004"/>
    <n v="21561654500"/>
    <n v="14.25"/>
    <n v="18"/>
  </r>
  <r>
    <x v="36"/>
    <x v="103"/>
    <x v="103"/>
    <s v="HSX"/>
    <s v="8530"/>
    <n v="0.58464227344172159"/>
    <n v="0.51928454688344305"/>
    <n v="0.65"/>
    <n v="2344204200"/>
    <n v="34.75"/>
    <n v="19"/>
  </r>
  <r>
    <x v="36"/>
    <x v="60"/>
    <x v="60"/>
    <s v="HSX"/>
    <s v="8780"/>
    <n v="0.57421057461147196"/>
    <n v="0.54842114922294394"/>
    <n v="0.6"/>
    <n v="561396897020"/>
    <n v="12.25"/>
    <n v="20"/>
  </r>
  <r>
    <x v="37"/>
    <x v="27"/>
    <x v="27"/>
    <s v="HSX"/>
    <s v="3570"/>
    <n v="0.83404054801571625"/>
    <n v="0.9180810960314324"/>
    <n v="0.75"/>
    <n v="41956660400"/>
    <n v="16.95"/>
    <n v="1"/>
  </r>
  <r>
    <x v="37"/>
    <x v="107"/>
    <x v="107"/>
    <s v="HNX"/>
    <s v="2350"/>
    <n v="0.73904136185905078"/>
    <n v="0.92808272371810152"/>
    <n v="0.55000000000000004"/>
    <n v="35725171600"/>
    <n v="72.7"/>
    <n v="2"/>
  </r>
  <r>
    <x v="37"/>
    <x v="63"/>
    <x v="63"/>
    <s v="HSX"/>
    <s v="1750"/>
    <n v="0.71952931580553436"/>
    <n v="0.71952931580553436"/>
    <m/>
    <n v="5170012700"/>
    <n v="12.75"/>
    <n v="3"/>
  </r>
  <r>
    <x v="37"/>
    <x v="67"/>
    <x v="67"/>
    <s v="HSX"/>
    <s v="2730"/>
    <n v="0.7160837413262261"/>
    <n v="0.9321674826524522"/>
    <n v="0.5"/>
    <n v="319496348700"/>
    <n v="26.8"/>
    <n v="4"/>
  </r>
  <r>
    <x v="37"/>
    <x v="108"/>
    <x v="108"/>
    <s v="UPCOM"/>
    <s v="1350"/>
    <n v="0.71088557444967626"/>
    <n v="0.92177114889935252"/>
    <n v="0.5"/>
    <n v="42786345800"/>
    <n v="21.6"/>
    <n v="5"/>
  </r>
  <r>
    <x v="37"/>
    <x v="109"/>
    <x v="109"/>
    <s v="UPCOM"/>
    <s v="2790"/>
    <n v="0.70490221182030677"/>
    <n v="0.90980442364061342"/>
    <n v="0.5"/>
    <n v="2903619200"/>
    <n v="209.5"/>
    <n v="6"/>
  </r>
  <r>
    <x v="37"/>
    <x v="28"/>
    <x v="28"/>
    <s v="UPCOM"/>
    <s v="2770"/>
    <n v="0.66048088891119794"/>
    <n v="0.77096177782239583"/>
    <n v="0.55000000000000004"/>
    <n v="7436229200"/>
    <n v="135.9"/>
    <n v="7"/>
  </r>
  <r>
    <x v="37"/>
    <x v="105"/>
    <x v="105"/>
    <s v="HNX"/>
    <s v="2350"/>
    <n v="0.64646375287337232"/>
    <n v="0.9929275057467446"/>
    <n v="0.3"/>
    <n v="2632892000"/>
    <n v="8"/>
    <n v="8"/>
  </r>
  <r>
    <x v="37"/>
    <x v="98"/>
    <x v="98"/>
    <s v="HSX"/>
    <s v="2770"/>
    <n v="0.61884316020046537"/>
    <n v="0.88768632040093065"/>
    <n v="0.35"/>
    <n v="124534011200"/>
    <n v="59.6"/>
    <n v="9"/>
  </r>
  <r>
    <x v="37"/>
    <x v="77"/>
    <x v="77"/>
    <s v="HNX"/>
    <s v="8780"/>
    <n v="0.60425531837416258"/>
    <n v="0.90851063674832511"/>
    <n v="0.3"/>
    <n v="2531437200"/>
    <n v="7.4"/>
    <n v="10"/>
  </r>
  <r>
    <x v="37"/>
    <x v="45"/>
    <x v="45"/>
    <s v="HSX"/>
    <s v="2730"/>
    <n v="0.60304112565187107"/>
    <n v="0.95608225130374214"/>
    <n v="0.25"/>
    <n v="81380169700"/>
    <n v="84.5"/>
    <n v="11"/>
  </r>
  <r>
    <x v="37"/>
    <x v="104"/>
    <x v="104"/>
    <s v="HSX"/>
    <s v="1750"/>
    <n v="0.59343450734283332"/>
    <n v="0.93686901468566652"/>
    <n v="0.25"/>
    <n v="6901375020"/>
    <n v="8.58"/>
    <n v="12"/>
  </r>
  <r>
    <x v="37"/>
    <x v="103"/>
    <x v="103"/>
    <s v="HSX"/>
    <s v="8530"/>
    <n v="0.58964431529110517"/>
    <n v="0.52928863058221032"/>
    <n v="0.65"/>
    <n v="2212362500"/>
    <n v="34.799999999999997"/>
    <n v="13"/>
  </r>
  <r>
    <x v="37"/>
    <x v="110"/>
    <x v="110"/>
    <s v="HSX"/>
    <s v="3350"/>
    <n v="0.58918554385067434"/>
    <n v="0.67837108770134869"/>
    <n v="0.5"/>
    <n v="5297330800"/>
    <n v="22"/>
    <n v="14"/>
  </r>
  <r>
    <x v="37"/>
    <x v="59"/>
    <x v="59"/>
    <s v="HSX"/>
    <s v="7530"/>
    <n v="0.58609399299470755"/>
    <n v="0.77218798598941496"/>
    <n v="0.4"/>
    <n v="17284970000"/>
    <n v="14.15"/>
    <n v="15"/>
  </r>
  <r>
    <x v="37"/>
    <x v="69"/>
    <x v="69"/>
    <s v="HSX"/>
    <s v="8630"/>
    <n v="0.55746989133548475"/>
    <n v="0.56493978267096934"/>
    <n v="0.55000000000000004"/>
    <n v="4328290380"/>
    <n v="2.0299999999999998"/>
    <n v="16"/>
  </r>
  <r>
    <x v="37"/>
    <x v="30"/>
    <x v="30"/>
    <s v="HSX"/>
    <s v="8630"/>
    <n v="0.55475852567502348"/>
    <n v="0.95951705135004706"/>
    <n v="0.15"/>
    <n v="44451856300"/>
    <n v="11.3"/>
    <n v="17"/>
  </r>
  <r>
    <x v="37"/>
    <x v="111"/>
    <x v="111"/>
    <s v="UPCOM"/>
    <s v="8780"/>
    <n v="0.55378001732638893"/>
    <n v="0.95756003465277795"/>
    <n v="0.15"/>
    <n v="7308260800"/>
    <n v="5.9"/>
    <n v="18"/>
  </r>
  <r>
    <x v="37"/>
    <x v="113"/>
    <x v="113"/>
    <s v="HSX"/>
    <s v="8350"/>
    <n v="0.54780001343643181"/>
    <n v="0.79560002687286369"/>
    <n v="0.3"/>
    <n v="4476557800"/>
    <n v="12"/>
    <n v="19"/>
  </r>
  <r>
    <x v="37"/>
    <x v="97"/>
    <x v="97"/>
    <s v="UPCOM"/>
    <s v="5750"/>
    <n v="0.54719640215286525"/>
    <n v="0.69439280430573047"/>
    <n v="0.4"/>
    <n v="2677108000"/>
    <n v="10"/>
    <n v="20"/>
  </r>
  <r>
    <x v="38"/>
    <x v="27"/>
    <x v="27"/>
    <s v="HSX"/>
    <s v="3570"/>
    <n v="0.80930977253103276"/>
    <n v="0.91861954506206545"/>
    <n v="0.7"/>
    <n v="41933997800"/>
    <n v="16.95"/>
    <n v="1"/>
  </r>
  <r>
    <x v="38"/>
    <x v="106"/>
    <x v="106"/>
    <s v="HNX"/>
    <s v="8630"/>
    <n v="0.76147971410490045"/>
    <n v="0.97295942820980086"/>
    <n v="0.55000000000000004"/>
    <n v="4780253400"/>
    <n v="7.9"/>
    <n v="2"/>
  </r>
  <r>
    <x v="38"/>
    <x v="70"/>
    <x v="70"/>
    <s v="HSX"/>
    <s v="8350"/>
    <n v="0.76003088054727019"/>
    <n v="0.92006176109454041"/>
    <n v="0.6"/>
    <n v="13660335600"/>
    <n v="11.1"/>
    <n v="3"/>
  </r>
  <r>
    <x v="38"/>
    <x v="107"/>
    <x v="107"/>
    <s v="HNX"/>
    <s v="2350"/>
    <n v="0.74773845946412987"/>
    <n v="0.8454769189282596"/>
    <n v="0.65"/>
    <n v="36031033200"/>
    <n v="71.2"/>
    <n v="4"/>
  </r>
  <r>
    <x v="38"/>
    <x v="28"/>
    <x v="28"/>
    <s v="UPCOM"/>
    <s v="2770"/>
    <n v="0.71222321444693493"/>
    <n v="0.67444642889386974"/>
    <n v="0.75"/>
    <n v="7227919200"/>
    <n v="135"/>
    <n v="5"/>
  </r>
  <r>
    <x v="38"/>
    <x v="98"/>
    <x v="98"/>
    <s v="HSX"/>
    <s v="2770"/>
    <n v="0.67955061055193811"/>
    <n v="0.90910122110387626"/>
    <n v="0.45"/>
    <n v="123176765800"/>
    <n v="60.5"/>
    <n v="6"/>
  </r>
  <r>
    <x v="38"/>
    <x v="109"/>
    <x v="109"/>
    <s v="UPCOM"/>
    <s v="2790"/>
    <n v="0.6781994393473475"/>
    <n v="0.95639887869469498"/>
    <n v="0.4"/>
    <n v="3068211200"/>
    <n v="216"/>
    <n v="7"/>
  </r>
  <r>
    <x v="38"/>
    <x v="63"/>
    <x v="63"/>
    <s v="HSX"/>
    <s v="1750"/>
    <n v="0.67599462020883383"/>
    <n v="0.67599462020883383"/>
    <m/>
    <n v="5203651000"/>
    <n v="12.75"/>
    <n v="8"/>
  </r>
  <r>
    <x v="38"/>
    <x v="45"/>
    <x v="45"/>
    <s v="HSX"/>
    <s v="2730"/>
    <n v="0.66758624539356592"/>
    <n v="0.98517249078713176"/>
    <n v="0.35"/>
    <n v="83308117000"/>
    <n v="90.2"/>
    <n v="9"/>
  </r>
  <r>
    <x v="38"/>
    <x v="105"/>
    <x v="105"/>
    <s v="HNX"/>
    <s v="2350"/>
    <n v="0.6675574232022139"/>
    <n v="0.98511484640442781"/>
    <n v="0.35"/>
    <n v="2998485800"/>
    <n v="7.2"/>
    <n v="10"/>
  </r>
  <r>
    <x v="38"/>
    <x v="114"/>
    <x v="114"/>
    <s v="UPCOM"/>
    <s v="1770"/>
    <n v="0.6510230957094747"/>
    <n v="0.90204619141894937"/>
    <n v="0.4"/>
    <n v="2033747200"/>
    <n v="22.6"/>
    <n v="11"/>
  </r>
  <r>
    <x v="38"/>
    <x v="86"/>
    <x v="86"/>
    <s v="HNX"/>
    <s v="8780"/>
    <n v="0.64686373342866688"/>
    <n v="0.89372746685733384"/>
    <n v="0.4"/>
    <n v="22928262800"/>
    <n v="18.8"/>
    <n v="12"/>
  </r>
  <r>
    <x v="38"/>
    <x v="108"/>
    <x v="108"/>
    <s v="UPCOM"/>
    <s v="1350"/>
    <n v="0.6390481977671687"/>
    <n v="0.87809639553433738"/>
    <n v="0.4"/>
    <n v="42953535800"/>
    <n v="21.2"/>
    <n v="13"/>
  </r>
  <r>
    <x v="38"/>
    <x v="67"/>
    <x v="67"/>
    <s v="HSX"/>
    <s v="2730"/>
    <n v="0.62163420282120785"/>
    <n v="0.89326840564241572"/>
    <n v="0.35"/>
    <n v="318351689400"/>
    <n v="26.55"/>
    <n v="14"/>
  </r>
  <r>
    <x v="38"/>
    <x v="77"/>
    <x v="77"/>
    <s v="HNX"/>
    <s v="8780"/>
    <n v="0.61124576756679305"/>
    <n v="0.9724915351335861"/>
    <n v="0.25"/>
    <n v="2888789600"/>
    <n v="8.1"/>
    <n v="15"/>
  </r>
  <r>
    <x v="38"/>
    <x v="103"/>
    <x v="103"/>
    <s v="HSX"/>
    <s v="8530"/>
    <n v="0.59917108676036612"/>
    <n v="0.49834217352073229"/>
    <n v="0.7"/>
    <n v="2172437700"/>
    <n v="34.799999999999997"/>
    <n v="16"/>
  </r>
  <r>
    <x v="38"/>
    <x v="110"/>
    <x v="110"/>
    <s v="HSX"/>
    <s v="3350"/>
    <n v="0.59498628450663427"/>
    <n v="0.68997256901326864"/>
    <n v="0.5"/>
    <n v="5301358000"/>
    <n v="22.1"/>
    <n v="17"/>
  </r>
  <r>
    <x v="38"/>
    <x v="97"/>
    <x v="97"/>
    <s v="UPCOM"/>
    <s v="5750"/>
    <n v="0.59475482954469849"/>
    <n v="0.68950965908939699"/>
    <n v="0.5"/>
    <n v="2697124800"/>
    <n v="9.9"/>
    <n v="18"/>
  </r>
  <r>
    <x v="38"/>
    <x v="75"/>
    <x v="75"/>
    <s v="HSX"/>
    <s v="2350"/>
    <n v="0.58589079589862481"/>
    <n v="0.92178159179724972"/>
    <n v="0.25"/>
    <n v="5524063600"/>
    <n v="13.65"/>
    <n v="19"/>
  </r>
  <r>
    <x v="38"/>
    <x v="69"/>
    <x v="69"/>
    <s v="HSX"/>
    <s v="8630"/>
    <n v="0.57118366279301669"/>
    <n v="0.59236732558603333"/>
    <n v="0.55000000000000004"/>
    <n v="4331657720"/>
    <n v="2.0499999999999998"/>
    <n v="20"/>
  </r>
  <r>
    <x v="39"/>
    <x v="27"/>
    <x v="27"/>
    <s v="HSX"/>
    <s v="3570"/>
    <n v="0.80414353051513066"/>
    <n v="0.90828706103026136"/>
    <n v="0.7"/>
    <n v="41671430700"/>
    <n v="16.95"/>
    <n v="1"/>
  </r>
  <r>
    <x v="39"/>
    <x v="106"/>
    <x v="106"/>
    <s v="HNX"/>
    <s v="8630"/>
    <n v="0.73727896321537933"/>
    <n v="0.97455792643075867"/>
    <n v="0.5"/>
    <n v="4844487400"/>
    <n v="8.3000000000000007"/>
    <n v="2"/>
  </r>
  <r>
    <x v="39"/>
    <x v="86"/>
    <x v="86"/>
    <s v="HNX"/>
    <s v="8780"/>
    <n v="0.72173323279950508"/>
    <n v="0.89346646559901011"/>
    <n v="0.55000000000000004"/>
    <n v="22930919000"/>
    <n v="19.3"/>
    <n v="3"/>
  </r>
  <r>
    <x v="39"/>
    <x v="70"/>
    <x v="70"/>
    <s v="HSX"/>
    <s v="8350"/>
    <n v="0.71851022647496465"/>
    <n v="0.88702045294992926"/>
    <n v="0.55000000000000004"/>
    <n v="13539871200"/>
    <n v="11.2"/>
    <n v="4"/>
  </r>
  <r>
    <x v="39"/>
    <x v="109"/>
    <x v="109"/>
    <s v="UPCOM"/>
    <s v="2790"/>
    <n v="0.69150011586956994"/>
    <n v="0.93300023173913993"/>
    <n v="0.45"/>
    <n v="3179128200"/>
    <n v="214"/>
    <n v="5"/>
  </r>
  <r>
    <x v="39"/>
    <x v="108"/>
    <x v="108"/>
    <s v="UPCOM"/>
    <s v="1350"/>
    <n v="0.68210781610526405"/>
    <n v="0.86421563221052822"/>
    <n v="0.5"/>
    <n v="42916382000"/>
    <n v="21.2"/>
    <n v="6"/>
  </r>
  <r>
    <x v="39"/>
    <x v="107"/>
    <x v="107"/>
    <s v="HNX"/>
    <s v="2350"/>
    <n v="0.67948530470238744"/>
    <n v="0.85897060940477488"/>
    <n v="0.5"/>
    <n v="35980483200"/>
    <n v="72"/>
    <n v="7"/>
  </r>
  <r>
    <x v="39"/>
    <x v="98"/>
    <x v="98"/>
    <s v="HSX"/>
    <s v="2770"/>
    <n v="0.6770364919251155"/>
    <n v="0.90407298385023094"/>
    <n v="0.45"/>
    <n v="121631248600"/>
    <n v="60.6"/>
    <n v="8"/>
  </r>
  <r>
    <x v="39"/>
    <x v="114"/>
    <x v="114"/>
    <s v="UPCOM"/>
    <s v="1770"/>
    <n v="0.65190452476034744"/>
    <n v="0.80380904952069487"/>
    <n v="0.5"/>
    <n v="2024459200"/>
    <n v="21.5"/>
    <n v="9"/>
  </r>
  <r>
    <x v="39"/>
    <x v="77"/>
    <x v="77"/>
    <s v="HNX"/>
    <s v="8780"/>
    <n v="0.6492639776021899"/>
    <n v="0.94852795520437982"/>
    <n v="0.35"/>
    <n v="2951834600"/>
    <n v="7.8"/>
    <n v="10"/>
  </r>
  <r>
    <x v="39"/>
    <x v="103"/>
    <x v="103"/>
    <s v="HSX"/>
    <s v="8530"/>
    <n v="0.64584824955641429"/>
    <n v="0.49169649911282848"/>
    <n v="0.8"/>
    <n v="2146205500"/>
    <n v="34.65"/>
    <n v="11"/>
  </r>
  <r>
    <x v="39"/>
    <x v="63"/>
    <x v="63"/>
    <s v="HSX"/>
    <s v="1750"/>
    <n v="0.60822604189360763"/>
    <n v="0.60822604189360763"/>
    <m/>
    <n v="5230929200"/>
    <n v="12.55"/>
    <n v="12"/>
  </r>
  <r>
    <x v="39"/>
    <x v="105"/>
    <x v="105"/>
    <s v="HNX"/>
    <s v="2350"/>
    <n v="0.60242541356079005"/>
    <n v="0.90485082712158016"/>
    <n v="0.3"/>
    <n v="2853319400"/>
    <n v="6.5"/>
    <n v="13"/>
  </r>
  <r>
    <x v="39"/>
    <x v="97"/>
    <x v="97"/>
    <s v="UPCOM"/>
    <s v="5750"/>
    <n v="0.59020385597835545"/>
    <n v="0.78040771195671088"/>
    <n v="0.4"/>
    <n v="2741995400"/>
    <n v="10.3"/>
    <n v="14"/>
  </r>
  <r>
    <x v="39"/>
    <x v="67"/>
    <x v="67"/>
    <s v="HSX"/>
    <s v="2730"/>
    <n v="0.57735821375078344"/>
    <n v="0.85471642750156684"/>
    <n v="0.3"/>
    <n v="318812405400"/>
    <n v="26.05"/>
    <n v="15"/>
  </r>
  <r>
    <x v="39"/>
    <x v="45"/>
    <x v="45"/>
    <s v="HSX"/>
    <s v="2730"/>
    <n v="0.55863662268740677"/>
    <n v="0.91727324537481358"/>
    <n v="0.2"/>
    <n v="83854257400"/>
    <n v="80.099999999999994"/>
    <n v="16"/>
  </r>
  <r>
    <x v="39"/>
    <x v="115"/>
    <x v="115"/>
    <s v="HSX"/>
    <s v="2770"/>
    <n v="0.55796882227082589"/>
    <n v="0.96593764454165176"/>
    <n v="0.15"/>
    <n v="49228153700"/>
    <n v="20.95"/>
    <n v="17"/>
  </r>
  <r>
    <x v="39"/>
    <x v="112"/>
    <x v="112"/>
    <s v="HSX"/>
    <s v="2350"/>
    <n v="0.55586024731763017"/>
    <n v="0.66172049463526028"/>
    <n v="0.45"/>
    <n v="21452679700"/>
    <n v="14.4"/>
    <n v="18"/>
  </r>
  <r>
    <x v="39"/>
    <x v="116"/>
    <x v="116"/>
    <s v="HSX"/>
    <s v="8630"/>
    <n v="0.55571897284278005"/>
    <n v="0.91143794568556014"/>
    <n v="0.2"/>
    <n v="138385673740"/>
    <n v="11.45"/>
    <n v="19"/>
  </r>
  <r>
    <x v="39"/>
    <x v="4"/>
    <x v="4"/>
    <s v="HNX"/>
    <s v="2350"/>
    <n v="0.55390353212534471"/>
    <n v="0.80780706425068949"/>
    <n v="0.3"/>
    <n v="9577468800"/>
    <n v="13.6"/>
    <n v="20"/>
  </r>
  <r>
    <x v="40"/>
    <x v="98"/>
    <x v="98"/>
    <s v="HSX"/>
    <s v="2770"/>
    <n v="0.80751216744890297"/>
    <n v="0.96502433489780592"/>
    <n v="0.65"/>
    <n v="122687568000"/>
    <n v="64.2"/>
    <n v="1"/>
  </r>
  <r>
    <x v="40"/>
    <x v="27"/>
    <x v="27"/>
    <s v="HSX"/>
    <s v="3570"/>
    <n v="0.80733881900210802"/>
    <n v="0.91467763800421598"/>
    <n v="0.7"/>
    <n v="41563180700"/>
    <n v="17"/>
    <n v="2"/>
  </r>
  <r>
    <x v="40"/>
    <x v="86"/>
    <x v="86"/>
    <s v="HNX"/>
    <s v="8780"/>
    <n v="0.72651560450426222"/>
    <n v="0.95303120900852434"/>
    <n v="0.5"/>
    <n v="23449552400"/>
    <n v="20.100000000000001"/>
    <n v="3"/>
  </r>
  <r>
    <x v="40"/>
    <x v="107"/>
    <x v="107"/>
    <s v="HNX"/>
    <s v="2350"/>
    <n v="0.72561127409370463"/>
    <n v="0.90122254818740932"/>
    <n v="0.55000000000000004"/>
    <n v="35702451600"/>
    <n v="72.599999999999994"/>
    <n v="4"/>
  </r>
  <r>
    <x v="40"/>
    <x v="106"/>
    <x v="106"/>
    <s v="HNX"/>
    <s v="8630"/>
    <n v="0.71726986889368971"/>
    <n v="0.98453973778737935"/>
    <n v="0.45"/>
    <n v="5415284400"/>
    <n v="8.4"/>
    <n v="5"/>
  </r>
  <r>
    <x v="40"/>
    <x v="108"/>
    <x v="108"/>
    <s v="UPCOM"/>
    <s v="1350"/>
    <n v="0.6873179789853554"/>
    <n v="0.92463595797071074"/>
    <n v="0.45"/>
    <n v="43279790000"/>
    <n v="21.9"/>
    <n v="6"/>
  </r>
  <r>
    <x v="40"/>
    <x v="117"/>
    <x v="117"/>
    <s v="HSX"/>
    <s v="8530"/>
    <n v="0.6787082573872365"/>
    <n v="0.65741651477447316"/>
    <n v="0.7"/>
    <n v="3718134100"/>
    <n v="21.6"/>
    <n v="7"/>
  </r>
  <r>
    <x v="40"/>
    <x v="77"/>
    <x v="77"/>
    <s v="HNX"/>
    <s v="8780"/>
    <n v="0.67087876155440218"/>
    <n v="0.94175752310880434"/>
    <n v="0.4"/>
    <n v="2961192200"/>
    <n v="8"/>
    <n v="8"/>
  </r>
  <r>
    <x v="40"/>
    <x v="114"/>
    <x v="114"/>
    <s v="UPCOM"/>
    <s v="1770"/>
    <n v="0.67006199432854152"/>
    <n v="0.74012398865708318"/>
    <n v="0.6"/>
    <n v="2051542000"/>
    <n v="20.7"/>
    <n v="9"/>
  </r>
  <r>
    <x v="40"/>
    <x v="109"/>
    <x v="109"/>
    <s v="UPCOM"/>
    <s v="2790"/>
    <n v="0.66386542775140789"/>
    <n v="0.87773085550281571"/>
    <n v="0.45"/>
    <n v="3237474400"/>
    <n v="207.1"/>
    <n v="10"/>
  </r>
  <r>
    <x v="40"/>
    <x v="66"/>
    <x v="66"/>
    <s v="HSX"/>
    <s v="8630"/>
    <n v="0.65958221058018074"/>
    <n v="0.9691644211603615"/>
    <n v="0.35"/>
    <n v="3052111120"/>
    <n v="8.86"/>
    <n v="11"/>
  </r>
  <r>
    <x v="40"/>
    <x v="70"/>
    <x v="70"/>
    <s v="HSX"/>
    <s v="8350"/>
    <n v="0.65829511049171985"/>
    <n v="0.8165902209834397"/>
    <n v="0.5"/>
    <n v="13309752800"/>
    <n v="11"/>
    <n v="12"/>
  </r>
  <r>
    <x v="40"/>
    <x v="105"/>
    <x v="105"/>
    <s v="HNX"/>
    <s v="2350"/>
    <n v="0.65091226523794887"/>
    <n v="0.7518245304758977"/>
    <n v="0.55000000000000004"/>
    <n v="2895312400"/>
    <n v="6.1"/>
    <n v="13"/>
  </r>
  <r>
    <x v="40"/>
    <x v="67"/>
    <x v="67"/>
    <s v="HSX"/>
    <s v="2730"/>
    <n v="0.63327935669063651"/>
    <n v="0.8665587133812731"/>
    <n v="0.4"/>
    <n v="316578283100"/>
    <n v="26.5"/>
    <n v="14"/>
  </r>
  <r>
    <x v="40"/>
    <x v="63"/>
    <x v="63"/>
    <s v="HSX"/>
    <s v="1750"/>
    <n v="0.61612326838743781"/>
    <n v="0.61612326838743781"/>
    <m/>
    <n v="5192170400"/>
    <n v="12.55"/>
    <n v="15"/>
  </r>
  <r>
    <x v="40"/>
    <x v="57"/>
    <x v="57"/>
    <s v="HSX"/>
    <s v="3570"/>
    <n v="0.57870561638219153"/>
    <n v="0.85741123276438314"/>
    <n v="0.3"/>
    <n v="125122476400"/>
    <n v="34.25"/>
    <n v="16"/>
  </r>
  <r>
    <x v="40"/>
    <x v="101"/>
    <x v="101"/>
    <s v="HSX"/>
    <s v="1350"/>
    <n v="0.57604197419223202"/>
    <n v="0.55208394838446406"/>
    <n v="0.6"/>
    <n v="2263626380"/>
    <n v="2.86"/>
    <n v="17"/>
  </r>
  <r>
    <x v="40"/>
    <x v="113"/>
    <x v="113"/>
    <s v="HSX"/>
    <s v="8350"/>
    <n v="0.56845172514173725"/>
    <n v="0.78690345028347453"/>
    <n v="0.35"/>
    <n v="4949978800"/>
    <n v="12.2"/>
    <n v="18"/>
  </r>
  <r>
    <x v="40"/>
    <x v="75"/>
    <x v="75"/>
    <s v="HSX"/>
    <s v="2350"/>
    <n v="0.55651231972283799"/>
    <n v="0.91302463944567602"/>
    <n v="0.2"/>
    <n v="5536637340"/>
    <n v="13.8"/>
    <n v="19"/>
  </r>
  <r>
    <x v="40"/>
    <x v="103"/>
    <x v="103"/>
    <s v="HSX"/>
    <s v="8530"/>
    <n v="0.55461126307560427"/>
    <n v="0.50922252615120855"/>
    <n v="0.6"/>
    <n v="2060840400"/>
    <n v="34.85"/>
    <n v="20"/>
  </r>
  <r>
    <x v="41"/>
    <x v="27"/>
    <x v="27"/>
    <s v="HSX"/>
    <s v="3570"/>
    <n v="0.77090273943430243"/>
    <n v="0.89180547886860473"/>
    <n v="0.65"/>
    <n v="41370652000"/>
    <n v="16.899999999999999"/>
    <n v="1"/>
  </r>
  <r>
    <x v="41"/>
    <x v="98"/>
    <x v="98"/>
    <s v="HSX"/>
    <s v="2770"/>
    <n v="0.75677046955789518"/>
    <n v="0.9635409391157902"/>
    <n v="0.55000000000000004"/>
    <n v="121623641600"/>
    <n v="66"/>
    <n v="2"/>
  </r>
  <r>
    <x v="41"/>
    <x v="108"/>
    <x v="108"/>
    <s v="UPCOM"/>
    <s v="1350"/>
    <n v="0.73282117093066002"/>
    <n v="0.96564234186131992"/>
    <n v="0.5"/>
    <n v="44341125000"/>
    <n v="23"/>
    <n v="3"/>
  </r>
  <r>
    <x v="41"/>
    <x v="86"/>
    <x v="86"/>
    <s v="HNX"/>
    <s v="8780"/>
    <n v="0.71993953755693307"/>
    <n v="0.93987907511386615"/>
    <n v="0.5"/>
    <n v="23347346400"/>
    <n v="20.5"/>
    <n v="4"/>
  </r>
  <r>
    <x v="41"/>
    <x v="106"/>
    <x v="106"/>
    <s v="HNX"/>
    <s v="8630"/>
    <n v="0.69922030626226517"/>
    <n v="0.94844061252453038"/>
    <n v="0.45"/>
    <n v="5408852600"/>
    <n v="8.1999999999999993"/>
    <n v="5"/>
  </r>
  <r>
    <x v="41"/>
    <x v="107"/>
    <x v="107"/>
    <s v="HNX"/>
    <s v="2350"/>
    <n v="0.68959917688315153"/>
    <n v="0.87919835376630295"/>
    <n v="0.5"/>
    <n v="35675126200"/>
    <n v="73.900000000000006"/>
    <n v="6"/>
  </r>
  <r>
    <x v="41"/>
    <x v="100"/>
    <x v="100"/>
    <s v="HSX"/>
    <s v="1350"/>
    <n v="0.67627503873611927"/>
    <n v="0.85255007747223854"/>
    <n v="0.5"/>
    <n v="21401885700"/>
    <n v="43.7"/>
    <n v="7"/>
  </r>
  <r>
    <x v="41"/>
    <x v="109"/>
    <x v="109"/>
    <s v="UPCOM"/>
    <s v="2790"/>
    <n v="0.66106185020782982"/>
    <n v="0.87212370041565956"/>
    <n v="0.45"/>
    <n v="3303692400"/>
    <n v="209"/>
    <n v="8"/>
  </r>
  <r>
    <x v="41"/>
    <x v="117"/>
    <x v="117"/>
    <s v="HSX"/>
    <s v="8530"/>
    <n v="0.65056267390067779"/>
    <n v="0.65112534780135556"/>
    <n v="0.65"/>
    <n v="3610439600"/>
    <n v="21.75"/>
    <n v="9"/>
  </r>
  <r>
    <x v="41"/>
    <x v="67"/>
    <x v="67"/>
    <s v="HSX"/>
    <s v="2730"/>
    <n v="0.64800802371097299"/>
    <n v="0.946016047421946"/>
    <n v="0.35"/>
    <n v="323723461400"/>
    <n v="28.35"/>
    <n v="10"/>
  </r>
  <r>
    <x v="41"/>
    <x v="63"/>
    <x v="63"/>
    <s v="HSX"/>
    <s v="1750"/>
    <n v="0.64752527621427025"/>
    <n v="0.64752527621427025"/>
    <m/>
    <n v="5183732800"/>
    <n v="12.7"/>
    <n v="11"/>
  </r>
  <r>
    <x v="41"/>
    <x v="77"/>
    <x v="77"/>
    <s v="HNX"/>
    <s v="8780"/>
    <n v="0.62844620874427926"/>
    <n v="0.90689241748855864"/>
    <n v="0.35"/>
    <n v="2963947200"/>
    <n v="7.9"/>
    <n v="12"/>
  </r>
  <r>
    <x v="41"/>
    <x v="101"/>
    <x v="101"/>
    <s v="HSX"/>
    <s v="1350"/>
    <n v="0.62085401423810471"/>
    <n v="0.69170802847620927"/>
    <n v="0.55000000000000004"/>
    <n v="2283746460"/>
    <n v="2.92"/>
    <n v="13"/>
  </r>
  <r>
    <x v="41"/>
    <x v="66"/>
    <x v="66"/>
    <s v="HSX"/>
    <s v="8630"/>
    <n v="0.60627643493624095"/>
    <n v="0.9625528698724819"/>
    <n v="0.25"/>
    <n v="3150135920"/>
    <n v="9.08"/>
    <n v="14"/>
  </r>
  <r>
    <x v="41"/>
    <x v="118"/>
    <x v="118"/>
    <s v="HSX"/>
    <s v="5370"/>
    <n v="0.60204530396571754"/>
    <n v="0.6040906079314351"/>
    <n v="0.6"/>
    <n v="89512025800"/>
    <n v="172.5"/>
    <n v="15"/>
  </r>
  <r>
    <x v="41"/>
    <x v="75"/>
    <x v="75"/>
    <s v="HSX"/>
    <s v="2350"/>
    <n v="0.5701150446949057"/>
    <n v="0.84023008938981147"/>
    <n v="0.3"/>
    <n v="5525863920"/>
    <n v="13.5"/>
    <n v="16"/>
  </r>
  <r>
    <x v="41"/>
    <x v="68"/>
    <x v="68"/>
    <s v="HSX"/>
    <s v="2350"/>
    <n v="0.56230431796964508"/>
    <n v="0.72460863593929015"/>
    <n v="0.4"/>
    <n v="13157767900"/>
    <n v="13.1"/>
    <n v="17"/>
  </r>
  <r>
    <x v="41"/>
    <x v="105"/>
    <x v="105"/>
    <s v="HNX"/>
    <s v="2350"/>
    <n v="0.55873780570007003"/>
    <n v="0.96747561140014005"/>
    <n v="0.15"/>
    <n v="3127163000"/>
    <n v="6.7"/>
    <n v="18"/>
  </r>
  <r>
    <x v="41"/>
    <x v="119"/>
    <x v="119"/>
    <s v="HSX"/>
    <s v="7530"/>
    <n v="0.55134861995532547"/>
    <n v="0.80269723991065089"/>
    <n v="0.3"/>
    <n v="5433841600"/>
    <n v="12.5"/>
    <n v="19"/>
  </r>
  <r>
    <x v="41"/>
    <x v="99"/>
    <x v="99"/>
    <s v="HSX"/>
    <s v="5750"/>
    <n v="0.54647040003182301"/>
    <n v="0.84294080006364613"/>
    <n v="0.25"/>
    <n v="77759565500"/>
    <n v="32.5"/>
    <n v="20"/>
  </r>
  <r>
    <x v="42"/>
    <x v="98"/>
    <x v="98"/>
    <s v="HSX"/>
    <s v="2770"/>
    <n v="0.7873719261347909"/>
    <n v="0.92474385226958167"/>
    <n v="0.65"/>
    <n v="121799059000"/>
    <n v="63.5"/>
    <n v="1"/>
  </r>
  <r>
    <x v="42"/>
    <x v="27"/>
    <x v="27"/>
    <s v="HSX"/>
    <s v="3570"/>
    <n v="0.75011499785354752"/>
    <n v="0.90022999570709505"/>
    <n v="0.6"/>
    <n v="41326738800"/>
    <n v="16.8"/>
    <n v="2"/>
  </r>
  <r>
    <x v="42"/>
    <x v="116"/>
    <x v="116"/>
    <s v="HSX"/>
    <s v="8630"/>
    <n v="0.73282460090340207"/>
    <n v="0.96564920180680414"/>
    <n v="0.5"/>
    <n v="149090404500"/>
    <n v="12.25"/>
    <n v="3"/>
  </r>
  <r>
    <x v="42"/>
    <x v="107"/>
    <x v="107"/>
    <s v="HNX"/>
    <s v="2350"/>
    <n v="0.71010236592892872"/>
    <n v="0.87020473185785729"/>
    <n v="0.55000000000000004"/>
    <n v="35428423400"/>
    <n v="73.7"/>
    <n v="4"/>
  </r>
  <r>
    <x v="42"/>
    <x v="108"/>
    <x v="108"/>
    <s v="UPCOM"/>
    <s v="1350"/>
    <n v="0.70556490284625006"/>
    <n v="0.96112980569250006"/>
    <n v="0.45"/>
    <n v="44903201000"/>
    <n v="23.1"/>
    <n v="5"/>
  </r>
  <r>
    <x v="42"/>
    <x v="86"/>
    <x v="86"/>
    <s v="HNX"/>
    <s v="8780"/>
    <n v="0.70415833092583235"/>
    <n v="0.95831666185166464"/>
    <n v="0.45"/>
    <n v="23811720800"/>
    <n v="20.8"/>
    <n v="6"/>
  </r>
  <r>
    <x v="42"/>
    <x v="106"/>
    <x v="106"/>
    <s v="HNX"/>
    <s v="8630"/>
    <n v="0.70111591897658521"/>
    <n v="0.95223183795317046"/>
    <n v="0.45"/>
    <n v="5596967800"/>
    <n v="8.1999999999999993"/>
    <n v="7"/>
  </r>
  <r>
    <x v="42"/>
    <x v="67"/>
    <x v="67"/>
    <s v="HSX"/>
    <s v="2730"/>
    <n v="0.6610152451467981"/>
    <n v="0.92203049029359618"/>
    <n v="0.4"/>
    <n v="325946757600"/>
    <n v="28.6"/>
    <n v="8"/>
  </r>
  <r>
    <x v="42"/>
    <x v="71"/>
    <x v="71"/>
    <s v="HSX"/>
    <s v="8780"/>
    <n v="0.652077945634845"/>
    <n v="0.90415589126968998"/>
    <n v="0.4"/>
    <n v="5868737240"/>
    <n v="11.85"/>
    <n v="9"/>
  </r>
  <r>
    <x v="42"/>
    <x v="109"/>
    <x v="109"/>
    <s v="UPCOM"/>
    <s v="2790"/>
    <n v="0.64912227669480238"/>
    <n v="0.89824455338960474"/>
    <n v="0.4"/>
    <n v="3430558400"/>
    <n v="209.9"/>
    <n v="10"/>
  </r>
  <r>
    <x v="42"/>
    <x v="77"/>
    <x v="77"/>
    <s v="HNX"/>
    <s v="8780"/>
    <n v="0.62911397579758987"/>
    <n v="0.90822795159517977"/>
    <n v="0.35"/>
    <n v="2967742800"/>
    <n v="7.9"/>
    <n v="11"/>
  </r>
  <r>
    <x v="42"/>
    <x v="100"/>
    <x v="100"/>
    <s v="HSX"/>
    <s v="1350"/>
    <n v="0.62320250786429865"/>
    <n v="0.89640501572859721"/>
    <n v="0.35"/>
    <n v="22174446100"/>
    <n v="44.8"/>
    <n v="12"/>
  </r>
  <r>
    <x v="42"/>
    <x v="118"/>
    <x v="118"/>
    <s v="HSX"/>
    <s v="5370"/>
    <n v="0.61619149774418092"/>
    <n v="0.58238299548836192"/>
    <n v="0.65"/>
    <n v="89023831000"/>
    <n v="171.8"/>
    <n v="13"/>
  </r>
  <r>
    <x v="42"/>
    <x v="119"/>
    <x v="119"/>
    <s v="HSX"/>
    <s v="7530"/>
    <n v="0.60432931810624546"/>
    <n v="0.85865863621249083"/>
    <n v="0.35"/>
    <n v="5727835100"/>
    <n v="12.8"/>
    <n v="14"/>
  </r>
  <r>
    <x v="42"/>
    <x v="66"/>
    <x v="66"/>
    <s v="HSX"/>
    <s v="8630"/>
    <n v="0.60324782959020351"/>
    <n v="0.95649565918040713"/>
    <n v="0.25"/>
    <n v="3262760480"/>
    <n v="9"/>
    <n v="15"/>
  </r>
  <r>
    <x v="42"/>
    <x v="117"/>
    <x v="117"/>
    <s v="HSX"/>
    <s v="8530"/>
    <n v="0.59495455155128185"/>
    <n v="0.6899091031025637"/>
    <n v="0.5"/>
    <n v="3617761800"/>
    <n v="22"/>
    <n v="16"/>
  </r>
  <r>
    <x v="42"/>
    <x v="101"/>
    <x v="101"/>
    <s v="HSX"/>
    <s v="1350"/>
    <n v="0.5847612999008529"/>
    <n v="0.61952259980170588"/>
    <n v="0.55000000000000004"/>
    <n v="2287435180"/>
    <n v="2.9"/>
    <n v="17"/>
  </r>
  <r>
    <x v="42"/>
    <x v="120"/>
    <x v="120"/>
    <s v="HNX"/>
    <s v="1350"/>
    <n v="0.58110574526643144"/>
    <n v="0.81221149053286301"/>
    <n v="0.35"/>
    <n v="7939221400"/>
    <n v="25.7"/>
    <n v="18"/>
  </r>
  <r>
    <x v="42"/>
    <x v="99"/>
    <x v="99"/>
    <s v="HSX"/>
    <s v="5750"/>
    <n v="0.57902376309246417"/>
    <n v="0.90804752618492834"/>
    <n v="0.25"/>
    <n v="79137252000"/>
    <n v="33.549999999999997"/>
    <n v="19"/>
  </r>
  <r>
    <x v="42"/>
    <x v="63"/>
    <x v="63"/>
    <s v="HSX"/>
    <s v="1750"/>
    <n v="0.5730864933215859"/>
    <n v="0.5730864933215859"/>
    <m/>
    <n v="5126290600"/>
    <n v="12.65"/>
    <n v="20"/>
  </r>
  <r>
    <x v="43"/>
    <x v="99"/>
    <x v="99"/>
    <s v="HSX"/>
    <s v="5750"/>
    <n v="0.88023769064778468"/>
    <n v="0.96047538129556942"/>
    <n v="0.8"/>
    <n v="82557008400"/>
    <n v="34.950000000000003"/>
    <n v="1"/>
  </r>
  <r>
    <x v="43"/>
    <x v="107"/>
    <x v="107"/>
    <s v="HNX"/>
    <s v="2350"/>
    <n v="0.79312401014282385"/>
    <n v="0.88624802028564786"/>
    <n v="0.7"/>
    <n v="35706401000"/>
    <n v="72.8"/>
    <n v="2"/>
  </r>
  <r>
    <x v="43"/>
    <x v="116"/>
    <x v="116"/>
    <s v="HSX"/>
    <s v="8630"/>
    <n v="0.76580963652014455"/>
    <n v="0.98161927304028895"/>
    <n v="0.55000000000000004"/>
    <n v="154135641600"/>
    <n v="12.65"/>
    <n v="3"/>
  </r>
  <r>
    <x v="43"/>
    <x v="71"/>
    <x v="71"/>
    <s v="HSX"/>
    <s v="8780"/>
    <n v="0.76152673282657513"/>
    <n v="0.87305346565315023"/>
    <n v="0.65"/>
    <n v="5881236300"/>
    <n v="11.75"/>
    <n v="4"/>
  </r>
  <r>
    <x v="43"/>
    <x v="98"/>
    <x v="98"/>
    <s v="HSX"/>
    <s v="2770"/>
    <n v="0.75649196816115138"/>
    <n v="0.96298393632230272"/>
    <n v="0.55000000000000004"/>
    <n v="122174040400"/>
    <n v="66.5"/>
    <n v="5"/>
  </r>
  <r>
    <x v="43"/>
    <x v="27"/>
    <x v="27"/>
    <s v="HSX"/>
    <s v="3570"/>
    <n v="0.71897209877071877"/>
    <n v="0.8879441975414375"/>
    <n v="0.55000000000000004"/>
    <n v="41088128000"/>
    <n v="16.899999999999999"/>
    <n v="6"/>
  </r>
  <r>
    <x v="43"/>
    <x v="79"/>
    <x v="79"/>
    <s v="HNX"/>
    <s v="2770"/>
    <n v="0.70187270050877359"/>
    <n v="0.95374540101754712"/>
    <n v="0.45"/>
    <n v="10160796800"/>
    <n v="7.4"/>
    <n v="7"/>
  </r>
  <r>
    <x v="43"/>
    <x v="4"/>
    <x v="4"/>
    <s v="HNX"/>
    <s v="2350"/>
    <n v="0.70044109704135515"/>
    <n v="0.95088219408271024"/>
    <n v="0.45"/>
    <n v="9936340000"/>
    <n v="15.1"/>
    <n v="8"/>
  </r>
  <r>
    <x v="43"/>
    <x v="109"/>
    <x v="109"/>
    <s v="UPCOM"/>
    <s v="2790"/>
    <n v="0.69868730573552706"/>
    <n v="0.89737461147105413"/>
    <n v="0.5"/>
    <n v="3483782000"/>
    <n v="210"/>
    <n v="9"/>
  </r>
  <r>
    <x v="43"/>
    <x v="86"/>
    <x v="86"/>
    <s v="HNX"/>
    <s v="8780"/>
    <n v="0.69306145853943324"/>
    <n v="0.93612291707886652"/>
    <n v="0.45"/>
    <n v="23399110800"/>
    <n v="20.5"/>
    <n v="10"/>
  </r>
  <r>
    <x v="43"/>
    <x v="108"/>
    <x v="108"/>
    <s v="UPCOM"/>
    <s v="1350"/>
    <n v="0.68347815617529317"/>
    <n v="0.96695631235058621"/>
    <n v="0.4"/>
    <n v="45546730600"/>
    <n v="23.2"/>
    <n v="11"/>
  </r>
  <r>
    <x v="43"/>
    <x v="118"/>
    <x v="118"/>
    <s v="HSX"/>
    <s v="5370"/>
    <n v="0.67672222877020316"/>
    <n v="0.7034444575404063"/>
    <n v="0.65"/>
    <n v="89774979800"/>
    <n v="173.2"/>
    <n v="12"/>
  </r>
  <r>
    <x v="43"/>
    <x v="97"/>
    <x v="97"/>
    <s v="UPCOM"/>
    <s v="5750"/>
    <n v="0.6663766999827494"/>
    <n v="0.73275339996549871"/>
    <n v="0.6"/>
    <n v="2855290400"/>
    <n v="10.1"/>
    <n v="13"/>
  </r>
  <r>
    <x v="43"/>
    <x v="105"/>
    <x v="105"/>
    <s v="HNX"/>
    <s v="2350"/>
    <n v="0.64215765719864082"/>
    <n v="0.9843153143972817"/>
    <n v="0.3"/>
    <n v="3505737000"/>
    <n v="7.8"/>
    <n v="14"/>
  </r>
  <r>
    <x v="43"/>
    <x v="77"/>
    <x v="77"/>
    <s v="HNX"/>
    <s v="8780"/>
    <n v="0.62839067194571196"/>
    <n v="0.90678134389142395"/>
    <n v="0.35"/>
    <n v="3133891200"/>
    <n v="7.5"/>
    <n v="15"/>
  </r>
  <r>
    <x v="43"/>
    <x v="67"/>
    <x v="67"/>
    <s v="HSX"/>
    <s v="2730"/>
    <n v="0.62749376247123012"/>
    <n v="0.9549875249424602"/>
    <n v="0.3"/>
    <n v="328775856100"/>
    <n v="29.75"/>
    <n v="16"/>
  </r>
  <r>
    <x v="43"/>
    <x v="106"/>
    <x v="106"/>
    <s v="HNX"/>
    <s v="8630"/>
    <n v="0.6240133115485017"/>
    <n v="0.94802662309700347"/>
    <n v="0.3"/>
    <n v="5770902600"/>
    <n v="8.1999999999999993"/>
    <n v="17"/>
  </r>
  <r>
    <x v="43"/>
    <x v="101"/>
    <x v="101"/>
    <s v="HSX"/>
    <s v="1350"/>
    <n v="0.61995739894274959"/>
    <n v="0.53991479788549923"/>
    <n v="0.7"/>
    <n v="2295834200"/>
    <n v="2.87"/>
    <n v="18"/>
  </r>
  <r>
    <x v="43"/>
    <x v="69"/>
    <x v="69"/>
    <s v="HSX"/>
    <s v="8630"/>
    <n v="0.61581734547155431"/>
    <n v="0.83163469094310871"/>
    <n v="0.4"/>
    <n v="4388160360"/>
    <n v="2.19"/>
    <n v="19"/>
  </r>
  <r>
    <x v="43"/>
    <x v="66"/>
    <x v="66"/>
    <s v="HSX"/>
    <s v="8630"/>
    <n v="0.60375260056407443"/>
    <n v="0.95750520112814885"/>
    <n v="0.25"/>
    <n v="3381288920"/>
    <n v="9.02"/>
    <n v="20"/>
  </r>
  <r>
    <x v="44"/>
    <x v="106"/>
    <x v="106"/>
    <s v="HNX"/>
    <s v="8630"/>
    <n v="0.81805252445258214"/>
    <n v="0.98610504890516426"/>
    <n v="0.65"/>
    <n v="6187519600"/>
    <n v="8.6999999999999993"/>
    <n v="1"/>
  </r>
  <r>
    <x v="44"/>
    <x v="71"/>
    <x v="71"/>
    <s v="HSX"/>
    <s v="8780"/>
    <n v="0.81630672378431246"/>
    <n v="0.88261344756862481"/>
    <n v="0.75"/>
    <n v="5907803900"/>
    <n v="11.95"/>
    <n v="2"/>
  </r>
  <r>
    <x v="44"/>
    <x v="86"/>
    <x v="86"/>
    <s v="HNX"/>
    <s v="8780"/>
    <n v="0.76440031676486131"/>
    <n v="0.92880063352972264"/>
    <n v="0.6"/>
    <n v="23545370400"/>
    <n v="21"/>
    <n v="3"/>
  </r>
  <r>
    <x v="44"/>
    <x v="98"/>
    <x v="98"/>
    <s v="HSX"/>
    <s v="2770"/>
    <n v="0.7547442797885795"/>
    <n v="0.95948855957715895"/>
    <n v="0.55000000000000004"/>
    <n v="122825633600"/>
    <n v="67.400000000000006"/>
    <n v="4"/>
  </r>
  <r>
    <x v="44"/>
    <x v="116"/>
    <x v="116"/>
    <s v="HSX"/>
    <s v="8630"/>
    <n v="0.71190179246152507"/>
    <n v="0.97380358492305008"/>
    <n v="0.45"/>
    <n v="158476840700"/>
    <n v="12.6"/>
    <n v="5"/>
  </r>
  <r>
    <x v="44"/>
    <x v="108"/>
    <x v="108"/>
    <s v="UPCOM"/>
    <s v="1350"/>
    <n v="0.70368022393566321"/>
    <n v="0.95736044787132646"/>
    <n v="0.45"/>
    <n v="46719009800"/>
    <n v="22.7"/>
    <n v="6"/>
  </r>
  <r>
    <x v="44"/>
    <x v="27"/>
    <x v="27"/>
    <s v="HSX"/>
    <s v="3570"/>
    <n v="0.6992432294461548"/>
    <n v="0.89848645889230949"/>
    <n v="0.5"/>
    <n v="40881417500"/>
    <n v="17.350000000000001"/>
    <n v="7"/>
  </r>
  <r>
    <x v="44"/>
    <x v="120"/>
    <x v="120"/>
    <s v="HNX"/>
    <s v="1350"/>
    <n v="0.66305458372740245"/>
    <n v="0.87610916745480483"/>
    <n v="0.45"/>
    <n v="8372885800"/>
    <n v="26.2"/>
    <n v="8"/>
  </r>
  <r>
    <x v="44"/>
    <x v="109"/>
    <x v="109"/>
    <s v="UPCOM"/>
    <s v="2790"/>
    <n v="0.66183442989330921"/>
    <n v="0.92366885978661839"/>
    <n v="0.4"/>
    <n v="3567602800"/>
    <n v="216.4"/>
    <n v="9"/>
  </r>
  <r>
    <x v="44"/>
    <x v="34"/>
    <x v="34"/>
    <s v="HSX"/>
    <s v="1750"/>
    <n v="0.65497986445258594"/>
    <n v="0.55995972890517176"/>
    <n v="0.75"/>
    <n v="5571682480"/>
    <n v="5.44"/>
    <n v="10"/>
  </r>
  <r>
    <x v="44"/>
    <x v="118"/>
    <x v="118"/>
    <s v="HSX"/>
    <s v="5370"/>
    <n v="0.6471366514996385"/>
    <n v="0.59427330299927705"/>
    <n v="0.7"/>
    <n v="88305670800"/>
    <n v="170.5"/>
    <n v="11"/>
  </r>
  <r>
    <x v="44"/>
    <x v="69"/>
    <x v="69"/>
    <s v="HSX"/>
    <s v="8630"/>
    <n v="0.64303672314305993"/>
    <n v="0.93607344628611988"/>
    <n v="0.35"/>
    <n v="4516680340"/>
    <n v="2.3199999999999998"/>
    <n v="12"/>
  </r>
  <r>
    <x v="44"/>
    <x v="101"/>
    <x v="101"/>
    <s v="HSX"/>
    <s v="1350"/>
    <n v="0.64264390151632289"/>
    <n v="0.6852878030326458"/>
    <n v="0.6"/>
    <n v="2340426360"/>
    <n v="2.97"/>
    <n v="13"/>
  </r>
  <r>
    <x v="44"/>
    <x v="79"/>
    <x v="79"/>
    <s v="HNX"/>
    <s v="2770"/>
    <n v="0.61912084834804637"/>
    <n v="0.98824169669609285"/>
    <n v="0.25"/>
    <n v="10627620800"/>
    <n v="8.1"/>
    <n v="14"/>
  </r>
  <r>
    <x v="44"/>
    <x v="67"/>
    <x v="67"/>
    <s v="HSX"/>
    <s v="2730"/>
    <n v="0.6054056215811684"/>
    <n v="0.96081124316233679"/>
    <n v="0.25"/>
    <n v="331410184100"/>
    <n v="30.3"/>
    <n v="15"/>
  </r>
  <r>
    <x v="44"/>
    <x v="77"/>
    <x v="77"/>
    <s v="HNX"/>
    <s v="8780"/>
    <n v="0.60441658230064654"/>
    <n v="0.85883316460129311"/>
    <n v="0.35"/>
    <n v="3136340400"/>
    <n v="7.7"/>
    <n v="16"/>
  </r>
  <r>
    <x v="44"/>
    <x v="107"/>
    <x v="107"/>
    <s v="HNX"/>
    <s v="2350"/>
    <n v="0.59922899566266508"/>
    <n v="0.84845799132533017"/>
    <n v="0.35"/>
    <n v="36372901400"/>
    <n v="70.8"/>
    <n v="17"/>
  </r>
  <r>
    <x v="44"/>
    <x v="121"/>
    <x v="121"/>
    <s v="HSX"/>
    <s v="4570"/>
    <n v="0.59336923255033813"/>
    <n v="0.83673846510067629"/>
    <n v="0.35"/>
    <n v="2202840400"/>
    <n v="106.9"/>
    <n v="18"/>
  </r>
  <r>
    <x v="44"/>
    <x v="115"/>
    <x v="115"/>
    <s v="HSX"/>
    <s v="2770"/>
    <n v="0.59017310553880353"/>
    <n v="0.980346211077607"/>
    <n v="0.2"/>
    <n v="59625157100"/>
    <n v="22.9"/>
    <n v="19"/>
  </r>
  <r>
    <x v="44"/>
    <x v="63"/>
    <x v="63"/>
    <s v="HSX"/>
    <s v="1750"/>
    <n v="0.58665667385153197"/>
    <n v="0.8733133477030639"/>
    <n v="0.3"/>
    <n v="5182715800"/>
    <n v="13.5"/>
    <n v="20"/>
  </r>
  <r>
    <x v="45"/>
    <x v="71"/>
    <x v="71"/>
    <s v="HSX"/>
    <s v="8780"/>
    <n v="0.79391979586674621"/>
    <n v="0.88783959173349247"/>
    <n v="0.7"/>
    <n v="5833858460"/>
    <n v="12"/>
    <n v="1"/>
  </r>
  <r>
    <x v="45"/>
    <x v="98"/>
    <x v="98"/>
    <s v="HSX"/>
    <s v="2770"/>
    <n v="0.77591895855322712"/>
    <n v="0.95183791710645427"/>
    <n v="0.6"/>
    <n v="121056872800"/>
    <n v="66.8"/>
    <n v="2"/>
  </r>
  <r>
    <x v="45"/>
    <x v="70"/>
    <x v="70"/>
    <s v="HSX"/>
    <s v="8350"/>
    <n v="0.75918595385686538"/>
    <n v="0.91837190771373078"/>
    <n v="0.6"/>
    <n v="12124418400"/>
    <n v="11.5"/>
    <n v="3"/>
  </r>
  <r>
    <x v="45"/>
    <x v="86"/>
    <x v="86"/>
    <s v="HNX"/>
    <s v="8780"/>
    <n v="0.73388199802668264"/>
    <n v="0.91776399605336523"/>
    <n v="0.55000000000000004"/>
    <n v="23525006400"/>
    <n v="20.8"/>
    <n v="4"/>
  </r>
  <r>
    <x v="45"/>
    <x v="106"/>
    <x v="106"/>
    <s v="HNX"/>
    <s v="8630"/>
    <n v="0.65806933671085277"/>
    <n v="0.96613867342170556"/>
    <n v="0.35"/>
    <n v="6317015200"/>
    <n v="8.5"/>
    <n v="5"/>
  </r>
  <r>
    <x v="45"/>
    <x v="116"/>
    <x v="116"/>
    <s v="HSX"/>
    <s v="8630"/>
    <n v="0.65656267920273392"/>
    <n v="0.96312535840546776"/>
    <n v="0.35"/>
    <n v="162005590700"/>
    <n v="12.3"/>
    <n v="6"/>
  </r>
  <r>
    <x v="45"/>
    <x v="78"/>
    <x v="78"/>
    <s v="HSX"/>
    <s v="8630"/>
    <n v="0.63274084880048886"/>
    <n v="0.91548169760097764"/>
    <n v="0.35"/>
    <n v="5122658500"/>
    <n v="44.8"/>
    <n v="7"/>
  </r>
  <r>
    <x v="45"/>
    <x v="30"/>
    <x v="30"/>
    <s v="HSX"/>
    <s v="8630"/>
    <n v="0.63222013490533546"/>
    <n v="0.96444026981067099"/>
    <n v="0.3"/>
    <n v="52062715120"/>
    <n v="12.35"/>
    <n v="8"/>
  </r>
  <r>
    <x v="45"/>
    <x v="67"/>
    <x v="67"/>
    <s v="HSX"/>
    <s v="2730"/>
    <n v="0.62621766498850961"/>
    <n v="0.9524353299770193"/>
    <n v="0.3"/>
    <n v="329858199500"/>
    <n v="30"/>
    <n v="9"/>
  </r>
  <r>
    <x v="45"/>
    <x v="69"/>
    <x v="69"/>
    <s v="HSX"/>
    <s v="8630"/>
    <n v="0.624587501118261"/>
    <n v="0.94917500223652207"/>
    <n v="0.3"/>
    <n v="4638770440"/>
    <n v="2.35"/>
    <n v="10"/>
  </r>
  <r>
    <x v="45"/>
    <x v="107"/>
    <x v="107"/>
    <s v="HNX"/>
    <s v="2350"/>
    <n v="0.61908121077837164"/>
    <n v="0.83816242155674336"/>
    <n v="0.4"/>
    <n v="36243057800"/>
    <n v="71.400000000000006"/>
    <n v="11"/>
  </r>
  <r>
    <x v="45"/>
    <x v="27"/>
    <x v="27"/>
    <s v="HSX"/>
    <s v="3570"/>
    <n v="0.60583281206306627"/>
    <n v="0.86166562412613246"/>
    <n v="0.35"/>
    <n v="40920721000"/>
    <n v="17.350000000000001"/>
    <n v="12"/>
  </r>
  <r>
    <x v="45"/>
    <x v="66"/>
    <x v="66"/>
    <s v="HSX"/>
    <s v="8630"/>
    <n v="0.5984537528456807"/>
    <n v="0.9469075056913614"/>
    <n v="0.25"/>
    <n v="3468502740"/>
    <n v="9.0399999999999991"/>
    <n v="13"/>
  </r>
  <r>
    <x v="45"/>
    <x v="115"/>
    <x v="115"/>
    <s v="HSX"/>
    <s v="2770"/>
    <n v="0.59077216080996331"/>
    <n v="0.98154432161992666"/>
    <n v="0.2"/>
    <n v="60980782100"/>
    <n v="23.1"/>
    <n v="14"/>
  </r>
  <r>
    <x v="45"/>
    <x v="4"/>
    <x v="4"/>
    <s v="HNX"/>
    <s v="2350"/>
    <n v="0.58250566436486095"/>
    <n v="0.9150113287297218"/>
    <n v="0.25"/>
    <n v="10110261400"/>
    <n v="15.1"/>
    <n v="15"/>
  </r>
  <r>
    <x v="45"/>
    <x v="118"/>
    <x v="118"/>
    <s v="HSX"/>
    <s v="5370"/>
    <n v="0.58209034001053794"/>
    <n v="0.61418068002107595"/>
    <n v="0.55000000000000004"/>
    <n v="85624602400"/>
    <n v="170.5"/>
    <n v="16"/>
  </r>
  <r>
    <x v="45"/>
    <x v="108"/>
    <x v="108"/>
    <s v="UPCOM"/>
    <s v="1350"/>
    <n v="0.57118967561718725"/>
    <n v="0.94237935123437444"/>
    <n v="0.2"/>
    <n v="47174161400"/>
    <n v="22.5"/>
    <n v="17"/>
  </r>
  <r>
    <x v="45"/>
    <x v="79"/>
    <x v="79"/>
    <s v="HNX"/>
    <s v="2770"/>
    <n v="0.56975298292654408"/>
    <n v="0.98950596585308825"/>
    <n v="0.15"/>
    <n v="11788792600"/>
    <n v="8.3000000000000007"/>
    <n v="18"/>
  </r>
  <r>
    <x v="45"/>
    <x v="89"/>
    <x v="89"/>
    <s v="HSX"/>
    <s v="8630"/>
    <n v="0.56381296402876979"/>
    <n v="0.92762592805753963"/>
    <n v="0.2"/>
    <n v="580768781600"/>
    <n v="62.2"/>
    <n v="19"/>
  </r>
  <r>
    <x v="45"/>
    <x v="75"/>
    <x v="75"/>
    <s v="HSX"/>
    <s v="2350"/>
    <n v="0.56287665260143582"/>
    <n v="0.92575330520287158"/>
    <n v="0.2"/>
    <n v="5307717560"/>
    <n v="14.3"/>
    <n v="20"/>
  </r>
  <r>
    <x v="46"/>
    <x v="71"/>
    <x v="71"/>
    <s v="HSX"/>
    <s v="8780"/>
    <n v="0.76908242624895806"/>
    <n v="0.8881648524979161"/>
    <n v="0.65"/>
    <n v="5822966480"/>
    <n v="11.95"/>
    <n v="1"/>
  </r>
  <r>
    <x v="46"/>
    <x v="98"/>
    <x v="98"/>
    <s v="HSX"/>
    <s v="2770"/>
    <n v="0.73144054703162908"/>
    <n v="0.96288109406325817"/>
    <n v="0.5"/>
    <n v="120972870800"/>
    <n v="68"/>
    <n v="2"/>
  </r>
  <r>
    <x v="46"/>
    <x v="30"/>
    <x v="30"/>
    <s v="HSX"/>
    <s v="8630"/>
    <n v="0.71834928771327333"/>
    <n v="0.98669857542654671"/>
    <n v="0.45"/>
    <n v="55433975620"/>
    <n v="13.05"/>
    <n v="3"/>
  </r>
  <r>
    <x v="46"/>
    <x v="73"/>
    <x v="73"/>
    <s v="HSX"/>
    <s v="8630"/>
    <n v="0.6969278781042787"/>
    <n v="0.79385575620855731"/>
    <n v="0.6"/>
    <n v="16957990400"/>
    <n v="3.35"/>
    <n v="4"/>
  </r>
  <r>
    <x v="46"/>
    <x v="70"/>
    <x v="70"/>
    <s v="HSX"/>
    <s v="8350"/>
    <n v="0.66257736762703567"/>
    <n v="0.87515473525407128"/>
    <n v="0.45"/>
    <n v="11946181200"/>
    <n v="11.6"/>
    <n v="5"/>
  </r>
  <r>
    <x v="46"/>
    <x v="78"/>
    <x v="78"/>
    <s v="HSX"/>
    <s v="8630"/>
    <n v="0.65894622189574381"/>
    <n v="0.91789244379148749"/>
    <n v="0.4"/>
    <n v="5623532700"/>
    <n v="45"/>
    <n v="6"/>
  </r>
  <r>
    <x v="46"/>
    <x v="106"/>
    <x v="106"/>
    <s v="HNX"/>
    <s v="8630"/>
    <n v="0.6553958386838028"/>
    <n v="0.96079167736760562"/>
    <n v="0.35"/>
    <n v="6467574800"/>
    <n v="8.4"/>
    <n v="7"/>
  </r>
  <r>
    <x v="46"/>
    <x v="116"/>
    <x v="116"/>
    <s v="HSX"/>
    <s v="8630"/>
    <n v="0.65036502618550251"/>
    <n v="0.95073005237100494"/>
    <n v="0.35"/>
    <n v="163497902900"/>
    <n v="12.3"/>
    <n v="8"/>
  </r>
  <r>
    <x v="46"/>
    <x v="67"/>
    <x v="67"/>
    <s v="HSX"/>
    <s v="2730"/>
    <n v="0.62762733891442934"/>
    <n v="0.95525467782885876"/>
    <n v="0.3"/>
    <n v="328710911700"/>
    <n v="30.05"/>
    <n v="9"/>
  </r>
  <r>
    <x v="46"/>
    <x v="64"/>
    <x v="64"/>
    <s v="HSX"/>
    <s v="8630"/>
    <n v="0.62244959447572312"/>
    <n v="0.5448991889514464"/>
    <n v="0.7"/>
    <n v="12197293880"/>
    <n v="6.64"/>
    <n v="10"/>
  </r>
  <r>
    <x v="46"/>
    <x v="33"/>
    <x v="33"/>
    <s v="HSX"/>
    <s v="8630"/>
    <n v="0.62014339541628216"/>
    <n v="0.74028679083256432"/>
    <n v="0.5"/>
    <n v="3873812620"/>
    <n v="2.15"/>
    <n v="11"/>
  </r>
  <r>
    <x v="46"/>
    <x v="79"/>
    <x v="79"/>
    <s v="HNX"/>
    <s v="2770"/>
    <n v="0.61639801934721095"/>
    <n v="0.98279603869442178"/>
    <n v="0.25"/>
    <n v="12179482000"/>
    <n v="8.1"/>
    <n v="12"/>
  </r>
  <r>
    <x v="46"/>
    <x v="99"/>
    <x v="99"/>
    <s v="HSX"/>
    <s v="5750"/>
    <n v="0.59688515159835376"/>
    <n v="0.89377030319670758"/>
    <n v="0.3"/>
    <n v="85358888400"/>
    <n v="34.6"/>
    <n v="13"/>
  </r>
  <r>
    <x v="46"/>
    <x v="27"/>
    <x v="27"/>
    <s v="HSX"/>
    <s v="3570"/>
    <n v="0.59165521913125452"/>
    <n v="0.83331043826250906"/>
    <n v="0.35"/>
    <n v="40219337900"/>
    <n v="17.3"/>
    <n v="14"/>
  </r>
  <r>
    <x v="46"/>
    <x v="115"/>
    <x v="115"/>
    <s v="HSX"/>
    <s v="2770"/>
    <n v="0.58658354465321116"/>
    <n v="0.97316708930642237"/>
    <n v="0.2"/>
    <n v="61729878800"/>
    <n v="22.8"/>
    <n v="15"/>
  </r>
  <r>
    <x v="46"/>
    <x v="108"/>
    <x v="108"/>
    <s v="UPCOM"/>
    <s v="1350"/>
    <n v="0.57602226916877375"/>
    <n v="0.95204453833754743"/>
    <n v="0.2"/>
    <n v="46894460400"/>
    <n v="23"/>
    <n v="16"/>
  </r>
  <r>
    <x v="46"/>
    <x v="56"/>
    <x v="56"/>
    <s v="HSX"/>
    <s v="8350"/>
    <n v="0.57313290330305178"/>
    <n v="0.6962658066061036"/>
    <n v="0.45"/>
    <n v="582100742800"/>
    <n v="40"/>
    <n v="17"/>
  </r>
  <r>
    <x v="46"/>
    <x v="77"/>
    <x v="77"/>
    <s v="HNX"/>
    <s v="8780"/>
    <n v="0.57279235210258839"/>
    <n v="0.89558470420517688"/>
    <n v="0.25"/>
    <n v="3049468200"/>
    <n v="7.8"/>
    <n v="18"/>
  </r>
  <r>
    <x v="46"/>
    <x v="122"/>
    <x v="122"/>
    <s v="HNX"/>
    <s v="2350"/>
    <n v="0.56893427877162228"/>
    <n v="0.4378685575432445"/>
    <n v="0.7"/>
    <n v="6864257200"/>
    <n v="28.5"/>
    <n v="19"/>
  </r>
  <r>
    <x v="46"/>
    <x v="34"/>
    <x v="34"/>
    <s v="HSX"/>
    <s v="1750"/>
    <n v="0.56695199388388073"/>
    <n v="0.68390398776776151"/>
    <n v="0.45"/>
    <n v="5223684700"/>
    <n v="5.56"/>
    <n v="20"/>
  </r>
  <r>
    <x v="47"/>
    <x v="71"/>
    <x v="71"/>
    <s v="HSX"/>
    <s v="8780"/>
    <n v="0.79481925013041943"/>
    <n v="0.88963850026083879"/>
    <n v="0.7"/>
    <n v="5860799200"/>
    <n v="11.95"/>
    <n v="1"/>
  </r>
  <r>
    <x v="47"/>
    <x v="98"/>
    <x v="98"/>
    <s v="HSX"/>
    <s v="2770"/>
    <n v="0.78025590600598782"/>
    <n v="0.96051181201197566"/>
    <n v="0.6"/>
    <n v="119710736200"/>
    <n v="68.2"/>
    <n v="2"/>
  </r>
  <r>
    <x v="47"/>
    <x v="30"/>
    <x v="30"/>
    <s v="HSX"/>
    <s v="8630"/>
    <n v="0.76466051691044634"/>
    <n v="0.97932103382089253"/>
    <n v="0.55000000000000004"/>
    <n v="57750308440"/>
    <n v="13.05"/>
    <n v="3"/>
  </r>
  <r>
    <x v="47"/>
    <x v="86"/>
    <x v="86"/>
    <s v="HNX"/>
    <s v="8780"/>
    <n v="0.72291684567944769"/>
    <n v="0.94583369135889539"/>
    <n v="0.5"/>
    <n v="23698293800"/>
    <n v="22"/>
    <n v="4"/>
  </r>
  <r>
    <x v="47"/>
    <x v="73"/>
    <x v="73"/>
    <s v="HSX"/>
    <s v="8630"/>
    <n v="0.6812262105349387"/>
    <n v="0.7124524210698775"/>
    <n v="0.65"/>
    <n v="17330305760"/>
    <n v="3.3"/>
    <n v="5"/>
  </r>
  <r>
    <x v="47"/>
    <x v="67"/>
    <x v="67"/>
    <s v="HSX"/>
    <s v="2730"/>
    <n v="0.62247177487985694"/>
    <n v="0.94494354975971384"/>
    <n v="0.3"/>
    <n v="333939753500"/>
    <n v="29.5"/>
    <n v="6"/>
  </r>
  <r>
    <x v="47"/>
    <x v="64"/>
    <x v="64"/>
    <s v="HSX"/>
    <s v="8630"/>
    <n v="0.62125953717764681"/>
    <n v="0.44251907435529347"/>
    <n v="0.8"/>
    <n v="12172871480"/>
    <n v="6.56"/>
    <n v="7"/>
  </r>
  <r>
    <x v="47"/>
    <x v="108"/>
    <x v="108"/>
    <s v="UPCOM"/>
    <s v="1350"/>
    <n v="0.61768868889037687"/>
    <n v="0.93537737778075369"/>
    <n v="0.3"/>
    <n v="46208982000"/>
    <n v="22.9"/>
    <n v="8"/>
  </r>
  <r>
    <x v="47"/>
    <x v="27"/>
    <x v="27"/>
    <s v="HSX"/>
    <s v="3570"/>
    <n v="0.61154408796345727"/>
    <n v="0.82308817592691441"/>
    <n v="0.4"/>
    <n v="40148655200"/>
    <n v="17.350000000000001"/>
    <n v="9"/>
  </r>
  <r>
    <x v="47"/>
    <x v="106"/>
    <x v="106"/>
    <s v="HNX"/>
    <s v="8630"/>
    <n v="0.60510135642758467"/>
    <n v="0.96020271285516945"/>
    <n v="0.25"/>
    <n v="6656260800"/>
    <n v="8.5"/>
    <n v="10"/>
  </r>
  <r>
    <x v="47"/>
    <x v="78"/>
    <x v="78"/>
    <s v="HSX"/>
    <s v="8630"/>
    <n v="0.60046091984756811"/>
    <n v="0.90092183969513628"/>
    <n v="0.3"/>
    <n v="5888330100"/>
    <n v="44.95"/>
    <n v="11"/>
  </r>
  <r>
    <x v="47"/>
    <x v="100"/>
    <x v="100"/>
    <s v="HSX"/>
    <s v="1350"/>
    <n v="0.59909208305250816"/>
    <n v="0.89818416610501639"/>
    <n v="0.3"/>
    <n v="23434236100"/>
    <n v="45.5"/>
    <n v="12"/>
  </r>
  <r>
    <x v="47"/>
    <x v="123"/>
    <x v="123"/>
    <s v="HSX"/>
    <s v="5370"/>
    <n v="0.59698240171196237"/>
    <n v="0.89396480342392481"/>
    <n v="0.3"/>
    <n v="478884343500"/>
    <n v="63.5"/>
    <n v="13"/>
  </r>
  <r>
    <x v="47"/>
    <x v="99"/>
    <x v="99"/>
    <s v="HSX"/>
    <s v="5750"/>
    <n v="0.57450665409046842"/>
    <n v="0.89901330818093694"/>
    <n v="0.25"/>
    <n v="86311699900"/>
    <n v="34.85"/>
    <n v="14"/>
  </r>
  <r>
    <x v="47"/>
    <x v="116"/>
    <x v="116"/>
    <s v="HSX"/>
    <s v="8630"/>
    <n v="0.5738153695665249"/>
    <n v="0.94763073913304985"/>
    <n v="0.2"/>
    <n v="169076112300"/>
    <n v="12.05"/>
    <n v="15"/>
  </r>
  <r>
    <x v="47"/>
    <x v="115"/>
    <x v="115"/>
    <s v="HSX"/>
    <s v="2770"/>
    <n v="0.56692892004911222"/>
    <n v="0.98385784009822441"/>
    <n v="0.15"/>
    <n v="63291444700"/>
    <n v="23.65"/>
    <n v="16"/>
  </r>
  <r>
    <x v="47"/>
    <x v="28"/>
    <x v="28"/>
    <s v="UPCOM"/>
    <s v="2770"/>
    <n v="0.5610046415806984"/>
    <n v="0.8720092831613967"/>
    <n v="0.25"/>
    <n v="6677143400"/>
    <n v="145"/>
    <n v="17"/>
  </r>
  <r>
    <x v="47"/>
    <x v="68"/>
    <x v="68"/>
    <s v="HSX"/>
    <s v="2350"/>
    <n v="0.55120490312983483"/>
    <n v="0.75240980625966969"/>
    <n v="0.35"/>
    <n v="10810607000"/>
    <n v="13.35"/>
    <n v="18"/>
  </r>
  <r>
    <x v="47"/>
    <x v="75"/>
    <x v="75"/>
    <s v="HSX"/>
    <s v="2350"/>
    <n v="0.5510999661799415"/>
    <n v="0.80219993235988296"/>
    <n v="0.3"/>
    <n v="5359658040"/>
    <n v="13.95"/>
    <n v="19"/>
  </r>
  <r>
    <x v="47"/>
    <x v="56"/>
    <x v="56"/>
    <s v="HSX"/>
    <s v="8350"/>
    <n v="0.55108857339392248"/>
    <n v="0.652177146787845"/>
    <n v="0.45"/>
    <n v="581149794700"/>
    <n v="40.1"/>
    <n v="20"/>
  </r>
  <r>
    <x v="48"/>
    <x v="71"/>
    <x v="71"/>
    <s v="HSX"/>
    <s v="8780"/>
    <n v="0.77644700959034529"/>
    <n v="0.85289401918069074"/>
    <n v="0.7"/>
    <n v="5879956020"/>
    <n v="11.95"/>
    <n v="1"/>
  </r>
  <r>
    <x v="48"/>
    <x v="86"/>
    <x v="86"/>
    <s v="HNX"/>
    <s v="8780"/>
    <n v="0.72710544889001427"/>
    <n v="0.95421089778002854"/>
    <n v="0.5"/>
    <n v="24005538600"/>
    <n v="22.3"/>
    <n v="2"/>
  </r>
  <r>
    <x v="48"/>
    <x v="108"/>
    <x v="108"/>
    <s v="UPCOM"/>
    <s v="1350"/>
    <n v="0.72499154418259726"/>
    <n v="0.89998308836519447"/>
    <n v="0.55000000000000004"/>
    <n v="46733694000"/>
    <n v="22.6"/>
    <n v="3"/>
  </r>
  <r>
    <x v="48"/>
    <x v="67"/>
    <x v="67"/>
    <s v="HSX"/>
    <s v="2730"/>
    <n v="0.71997847980103935"/>
    <n v="0.88995695960207877"/>
    <n v="0.55000000000000004"/>
    <n v="331904119800"/>
    <n v="29"/>
    <n v="4"/>
  </r>
  <r>
    <x v="48"/>
    <x v="98"/>
    <x v="98"/>
    <s v="HSX"/>
    <s v="2770"/>
    <n v="0.68827595839200995"/>
    <n v="0.92655191678401982"/>
    <n v="0.45"/>
    <n v="120263431000"/>
    <n v="66.599999999999994"/>
    <n v="5"/>
  </r>
  <r>
    <x v="48"/>
    <x v="106"/>
    <x v="106"/>
    <s v="HNX"/>
    <s v="8630"/>
    <n v="0.66049315553712651"/>
    <n v="0.97098631107425315"/>
    <n v="0.35"/>
    <n v="6934719400"/>
    <n v="8.6999999999999993"/>
    <n v="6"/>
  </r>
  <r>
    <x v="48"/>
    <x v="30"/>
    <x v="30"/>
    <s v="HSX"/>
    <s v="8630"/>
    <n v="0.6594438200087045"/>
    <n v="0.96888764001740901"/>
    <n v="0.35"/>
    <n v="58841845660"/>
    <n v="13.25"/>
    <n v="7"/>
  </r>
  <r>
    <x v="48"/>
    <x v="124"/>
    <x v="124"/>
    <s v="HNX"/>
    <s v="8630"/>
    <n v="0.65240728396134939"/>
    <n v="0.85481456792269872"/>
    <n v="0.45"/>
    <n v="2732804200"/>
    <n v="7.2"/>
    <n v="8"/>
  </r>
  <r>
    <x v="48"/>
    <x v="66"/>
    <x v="66"/>
    <s v="HSX"/>
    <s v="8630"/>
    <n v="0.63081828762041503"/>
    <n v="0.96163657524083002"/>
    <n v="0.3"/>
    <n v="3687485620"/>
    <n v="9.5399999999999991"/>
    <n v="9"/>
  </r>
  <r>
    <x v="48"/>
    <x v="4"/>
    <x v="4"/>
    <s v="HNX"/>
    <s v="2350"/>
    <n v="0.6185896859405432"/>
    <n v="0.93717937188108635"/>
    <n v="0.3"/>
    <n v="10349963600"/>
    <n v="15.6"/>
    <n v="10"/>
  </r>
  <r>
    <x v="48"/>
    <x v="115"/>
    <x v="115"/>
    <s v="HSX"/>
    <s v="2770"/>
    <n v="0.60563888952113065"/>
    <n v="0.96127777904226119"/>
    <n v="0.25"/>
    <n v="66572700400"/>
    <n v="22"/>
    <n v="11"/>
  </r>
  <r>
    <x v="48"/>
    <x v="12"/>
    <x v="12"/>
    <s v="UPCOM"/>
    <s v="8780"/>
    <n v="0.60258002115835341"/>
    <n v="0.60516004231670695"/>
    <n v="0.6"/>
    <n v="4650887400"/>
    <n v="8"/>
    <n v="12"/>
  </r>
  <r>
    <x v="48"/>
    <x v="32"/>
    <x v="32"/>
    <s v="UPCOM"/>
    <s v="1350"/>
    <n v="0.58678477632900727"/>
    <n v="0.37356955265801439"/>
    <n v="0.8"/>
    <n v="19929368600"/>
    <n v="12"/>
    <n v="13"/>
  </r>
  <r>
    <x v="48"/>
    <x v="27"/>
    <x v="27"/>
    <s v="HSX"/>
    <s v="3570"/>
    <n v="0.57625880238383975"/>
    <n v="0.85251760476767946"/>
    <n v="0.3"/>
    <n v="40220865800"/>
    <n v="17.399999999999999"/>
    <n v="14"/>
  </r>
  <r>
    <x v="48"/>
    <x v="34"/>
    <x v="34"/>
    <s v="HSX"/>
    <s v="1750"/>
    <n v="0.57165667185420121"/>
    <n v="0.69331334370840236"/>
    <n v="0.45"/>
    <n v="4700552380"/>
    <n v="5.59"/>
    <n v="15"/>
  </r>
  <r>
    <x v="48"/>
    <x v="74"/>
    <x v="74"/>
    <s v="HSX"/>
    <s v="3530"/>
    <n v="0.57120745009699347"/>
    <n v="0.74241490019398704"/>
    <n v="0.4"/>
    <n v="9325072100"/>
    <n v="21.8"/>
    <n v="16"/>
  </r>
  <r>
    <x v="48"/>
    <x v="64"/>
    <x v="64"/>
    <s v="HSX"/>
    <s v="8630"/>
    <n v="0.5680787472817177"/>
    <n v="0.48615749456343532"/>
    <n v="0.65"/>
    <n v="12034766600"/>
    <n v="6.62"/>
    <n v="17"/>
  </r>
  <r>
    <x v="48"/>
    <x v="116"/>
    <x v="116"/>
    <s v="HSX"/>
    <s v="8630"/>
    <n v="0.56506568297903315"/>
    <n v="0.93013136595806623"/>
    <n v="0.2"/>
    <n v="170484522900"/>
    <n v="12.25"/>
    <n v="18"/>
  </r>
  <r>
    <x v="48"/>
    <x v="28"/>
    <x v="28"/>
    <s v="UPCOM"/>
    <s v="2770"/>
    <n v="0.54289097192518976"/>
    <n v="0.78578194385037947"/>
    <n v="0.3"/>
    <n v="6855611600"/>
    <n v="142.9"/>
    <n v="19"/>
  </r>
  <r>
    <x v="48"/>
    <x v="125"/>
    <x v="125"/>
    <s v="HNX"/>
    <s v="8630"/>
    <n v="0.54165192540667928"/>
    <n v="0.78330385081335863"/>
    <n v="0.3"/>
    <n v="3720725600"/>
    <n v="5.2"/>
    <n v="20"/>
  </r>
  <r>
    <x v="49"/>
    <x v="106"/>
    <x v="106"/>
    <s v="HNX"/>
    <s v="8630"/>
    <n v="0.81886157642418622"/>
    <n v="0.98772315284837231"/>
    <n v="0.65"/>
    <n v="7537107800"/>
    <n v="9.1999999999999993"/>
    <n v="1"/>
  </r>
  <r>
    <x v="49"/>
    <x v="71"/>
    <x v="71"/>
    <s v="HSX"/>
    <s v="8780"/>
    <n v="0.79324091979365607"/>
    <n v="0.83648183958731215"/>
    <n v="0.75"/>
    <n v="5880123620"/>
    <n v="11.95"/>
    <n v="2"/>
  </r>
  <r>
    <x v="49"/>
    <x v="86"/>
    <x v="86"/>
    <s v="HNX"/>
    <s v="8780"/>
    <n v="0.72173854672627658"/>
    <n v="0.94347709345255315"/>
    <n v="0.5"/>
    <n v="24568444600"/>
    <n v="21.9"/>
    <n v="3"/>
  </r>
  <r>
    <x v="49"/>
    <x v="30"/>
    <x v="30"/>
    <s v="HSX"/>
    <s v="8630"/>
    <n v="0.7095248928205321"/>
    <n v="0.96904978564106414"/>
    <n v="0.45"/>
    <n v="61449086620"/>
    <n v="13.2"/>
    <n v="4"/>
  </r>
  <r>
    <x v="49"/>
    <x v="124"/>
    <x v="124"/>
    <s v="HNX"/>
    <s v="8630"/>
    <n v="0.70036871481709762"/>
    <n v="0.95073742963419527"/>
    <n v="0.45"/>
    <n v="2942295800"/>
    <n v="7.9"/>
    <n v="5"/>
  </r>
  <r>
    <x v="49"/>
    <x v="28"/>
    <x v="28"/>
    <s v="UPCOM"/>
    <s v="2770"/>
    <n v="0.68251649371727829"/>
    <n v="0.66503298743455652"/>
    <n v="0.7"/>
    <n v="6836903800"/>
    <n v="142.4"/>
    <n v="6"/>
  </r>
  <r>
    <x v="49"/>
    <x v="126"/>
    <x v="126"/>
    <s v="UPCOM"/>
    <s v="8350"/>
    <n v="0.66422018963644347"/>
    <n v="0.97844037927288696"/>
    <n v="0.35"/>
    <n v="2039204600"/>
    <n v="36.9"/>
    <n v="7"/>
  </r>
  <r>
    <x v="49"/>
    <x v="109"/>
    <x v="109"/>
    <s v="UPCOM"/>
    <s v="2790"/>
    <n v="0.64741295649221065"/>
    <n v="0.94482591298442142"/>
    <n v="0.35"/>
    <n v="4659630600"/>
    <n v="229"/>
    <n v="8"/>
  </r>
  <r>
    <x v="49"/>
    <x v="108"/>
    <x v="108"/>
    <s v="UPCOM"/>
    <s v="1350"/>
    <n v="0.62949066912940976"/>
    <n v="0.95898133825881948"/>
    <n v="0.3"/>
    <n v="47969109600"/>
    <n v="23.6"/>
    <n v="9"/>
  </r>
  <r>
    <x v="49"/>
    <x v="127"/>
    <x v="127"/>
    <s v="HSX"/>
    <s v="2790"/>
    <n v="0.62387450912736875"/>
    <n v="0.84774901825473747"/>
    <n v="0.4"/>
    <n v="14945350400"/>
    <n v="36.4"/>
    <n v="10"/>
  </r>
  <r>
    <x v="49"/>
    <x v="75"/>
    <x v="75"/>
    <s v="HSX"/>
    <s v="2350"/>
    <n v="0.61709187635673857"/>
    <n v="0.83418375271347722"/>
    <n v="0.4"/>
    <n v="5410003840"/>
    <n v="14.4"/>
    <n v="11"/>
  </r>
  <r>
    <x v="49"/>
    <x v="65"/>
    <x v="65"/>
    <s v="HSX"/>
    <s v="8350"/>
    <n v="0.61171817507419013"/>
    <n v="0.92343635014838021"/>
    <n v="0.3"/>
    <n v="820034736880"/>
    <n v="13.7"/>
    <n v="12"/>
  </r>
  <r>
    <x v="49"/>
    <x v="78"/>
    <x v="78"/>
    <s v="HSX"/>
    <s v="8630"/>
    <n v="0.61072711917760114"/>
    <n v="0.87145423835520219"/>
    <n v="0.35"/>
    <n v="6474924900"/>
    <n v="44.5"/>
    <n v="13"/>
  </r>
  <r>
    <x v="49"/>
    <x v="115"/>
    <x v="115"/>
    <s v="HSX"/>
    <s v="2770"/>
    <n v="0.59971789928613639"/>
    <n v="0.94943579857227278"/>
    <n v="0.25"/>
    <n v="68208399100"/>
    <n v="22.2"/>
    <n v="14"/>
  </r>
  <r>
    <x v="49"/>
    <x v="4"/>
    <x v="4"/>
    <s v="HNX"/>
    <s v="2350"/>
    <n v="0.59753683123038359"/>
    <n v="0.89507366246076714"/>
    <n v="0.3"/>
    <n v="10379147400"/>
    <n v="15.5"/>
    <n v="15"/>
  </r>
  <r>
    <x v="49"/>
    <x v="99"/>
    <x v="99"/>
    <s v="HSX"/>
    <s v="5750"/>
    <n v="0.59386398785720274"/>
    <n v="0.78772797571440534"/>
    <n v="0.4"/>
    <n v="88097852400"/>
    <n v="34.549999999999997"/>
    <n v="16"/>
  </r>
  <r>
    <x v="49"/>
    <x v="41"/>
    <x v="41"/>
    <s v="HSX"/>
    <s v="8350"/>
    <n v="0.58306272792263569"/>
    <n v="0.81612545584527141"/>
    <n v="0.35"/>
    <n v="120032410400"/>
    <n v="37.049999999999997"/>
    <n v="17"/>
  </r>
  <r>
    <x v="49"/>
    <x v="27"/>
    <x v="27"/>
    <s v="HSX"/>
    <s v="3570"/>
    <n v="0.57110299197332681"/>
    <n v="0.84220598394665358"/>
    <n v="0.3"/>
    <n v="40165158500"/>
    <n v="17.5"/>
    <n v="18"/>
  </r>
  <r>
    <x v="49"/>
    <x v="12"/>
    <x v="12"/>
    <s v="UPCOM"/>
    <s v="8780"/>
    <n v="0.56478496508118792"/>
    <n v="0.87956993016237583"/>
    <n v="0.25"/>
    <n v="5054118400"/>
    <n v="8.6999999999999993"/>
    <n v="19"/>
  </r>
  <r>
    <x v="49"/>
    <x v="67"/>
    <x v="67"/>
    <s v="HSX"/>
    <s v="2730"/>
    <n v="0.5645013947532419"/>
    <n v="0.82900278950648376"/>
    <n v="0.3"/>
    <n v="334018103900"/>
    <n v="28.3"/>
    <n v="20"/>
  </r>
  <r>
    <x v="50"/>
    <x v="71"/>
    <x v="71"/>
    <s v="HSX"/>
    <s v="8780"/>
    <n v="0.90489529478208919"/>
    <n v="0.90979058956417846"/>
    <n v="0.9"/>
    <n v="6403332220"/>
    <n v="12.1"/>
    <n v="1"/>
  </r>
  <r>
    <x v="50"/>
    <x v="67"/>
    <x v="67"/>
    <s v="HSX"/>
    <s v="2730"/>
    <n v="0.73925673554803228"/>
    <n v="0.87851347109606459"/>
    <n v="0.6"/>
    <n v="332222994400"/>
    <n v="29.35"/>
    <n v="2"/>
  </r>
  <r>
    <x v="50"/>
    <x v="124"/>
    <x v="124"/>
    <s v="HNX"/>
    <s v="8630"/>
    <n v="0.72470463233371252"/>
    <n v="0.94940926466742515"/>
    <n v="0.5"/>
    <n v="3063470600"/>
    <n v="7.9"/>
    <n v="3"/>
  </r>
  <r>
    <x v="50"/>
    <x v="86"/>
    <x v="86"/>
    <s v="HNX"/>
    <s v="8780"/>
    <n v="0.69665599884609841"/>
    <n v="0.94331199769219676"/>
    <n v="0.45"/>
    <n v="25070331400"/>
    <n v="22"/>
    <n v="4"/>
  </r>
  <r>
    <x v="50"/>
    <x v="99"/>
    <x v="99"/>
    <s v="HSX"/>
    <s v="5750"/>
    <n v="0.69533170298862834"/>
    <n v="0.74066340597725677"/>
    <n v="0.65"/>
    <n v="89130855200"/>
    <n v="34"/>
    <n v="5"/>
  </r>
  <r>
    <x v="50"/>
    <x v="106"/>
    <x v="106"/>
    <s v="HNX"/>
    <s v="8630"/>
    <n v="0.68150235081756916"/>
    <n v="0.96300470163513829"/>
    <n v="0.4"/>
    <n v="7673757800"/>
    <n v="9"/>
    <n v="6"/>
  </r>
  <r>
    <x v="50"/>
    <x v="126"/>
    <x v="126"/>
    <s v="UPCOM"/>
    <s v="8350"/>
    <n v="0.67464013877091666"/>
    <n v="0.9492802775418332"/>
    <n v="0.4"/>
    <n v="2035399400"/>
    <n v="36.9"/>
    <n v="7"/>
  </r>
  <r>
    <x v="50"/>
    <x v="109"/>
    <x v="109"/>
    <s v="UPCOM"/>
    <s v="2790"/>
    <n v="0.66875352191631954"/>
    <n v="0.93750704383263905"/>
    <n v="0.4"/>
    <n v="4785896600"/>
    <n v="226.9"/>
    <n v="8"/>
  </r>
  <r>
    <x v="50"/>
    <x v="30"/>
    <x v="30"/>
    <s v="HSX"/>
    <s v="8630"/>
    <n v="0.65760122561584777"/>
    <n v="0.96520245123169557"/>
    <n v="0.35"/>
    <n v="63357583420"/>
    <n v="13.2"/>
    <n v="9"/>
  </r>
  <r>
    <x v="50"/>
    <x v="128"/>
    <x v="128"/>
    <s v="HSX"/>
    <s v="1750"/>
    <n v="0.65221786439721541"/>
    <n v="0.70443572879443095"/>
    <n v="0.6"/>
    <n v="119034044100"/>
    <n v="16.45"/>
    <n v="10"/>
  </r>
  <r>
    <x v="50"/>
    <x v="108"/>
    <x v="108"/>
    <s v="UPCOM"/>
    <s v="1350"/>
    <n v="0.64843481341525899"/>
    <n v="0.94686962683051801"/>
    <n v="0.35"/>
    <n v="48169501800"/>
    <n v="23.7"/>
    <n v="11"/>
  </r>
  <r>
    <x v="50"/>
    <x v="41"/>
    <x v="41"/>
    <s v="HSX"/>
    <s v="8350"/>
    <n v="0.62736114672501564"/>
    <n v="0.70472229345003123"/>
    <n v="0.55000000000000004"/>
    <n v="120648757200"/>
    <n v="36.5"/>
    <n v="12"/>
  </r>
  <r>
    <x v="50"/>
    <x v="78"/>
    <x v="78"/>
    <s v="HSX"/>
    <s v="8630"/>
    <n v="0.62143872308661718"/>
    <n v="0.89287744617323428"/>
    <n v="0.35"/>
    <n v="7067948900"/>
    <n v="45.2"/>
    <n v="13"/>
  </r>
  <r>
    <x v="50"/>
    <x v="64"/>
    <x v="64"/>
    <s v="HSX"/>
    <s v="8630"/>
    <n v="0.60973064723320081"/>
    <n v="0.66946129446640157"/>
    <n v="0.55000000000000004"/>
    <n v="12098560080"/>
    <n v="6.91"/>
    <n v="14"/>
  </r>
  <r>
    <x v="50"/>
    <x v="27"/>
    <x v="27"/>
    <s v="HSX"/>
    <s v="3570"/>
    <n v="0.60699561585916506"/>
    <n v="0.8139912317183301"/>
    <n v="0.4"/>
    <n v="40170688500"/>
    <n v="17.5"/>
    <n v="15"/>
  </r>
  <r>
    <x v="50"/>
    <x v="115"/>
    <x v="115"/>
    <s v="HSX"/>
    <s v="2770"/>
    <n v="0.60204828815992562"/>
    <n v="0.90409657631985119"/>
    <n v="0.3"/>
    <n v="69826051100"/>
    <n v="21.5"/>
    <n v="16"/>
  </r>
  <r>
    <x v="50"/>
    <x v="4"/>
    <x v="4"/>
    <s v="HNX"/>
    <s v="2350"/>
    <n v="0.59823659334638413"/>
    <n v="0.89647318669276832"/>
    <n v="0.3"/>
    <n v="10252472600"/>
    <n v="15.2"/>
    <n v="17"/>
  </r>
  <r>
    <x v="50"/>
    <x v="12"/>
    <x v="12"/>
    <s v="UPCOM"/>
    <s v="8780"/>
    <n v="0.5965057454298327"/>
    <n v="0.89301149085966547"/>
    <n v="0.3"/>
    <n v="5091917800"/>
    <n v="8.8000000000000007"/>
    <n v="18"/>
  </r>
  <r>
    <x v="50"/>
    <x v="28"/>
    <x v="28"/>
    <s v="UPCOM"/>
    <s v="2770"/>
    <n v="0.58989669814106416"/>
    <n v="0.57979339628212834"/>
    <n v="0.6"/>
    <n v="6716498800"/>
    <n v="140.5"/>
    <n v="19"/>
  </r>
  <r>
    <x v="50"/>
    <x v="98"/>
    <x v="98"/>
    <s v="HSX"/>
    <s v="2770"/>
    <n v="0.58949133280274846"/>
    <n v="0.82898266560549683"/>
    <n v="0.35"/>
    <n v="116113800200"/>
    <n v="66.099999999999994"/>
    <n v="20"/>
  </r>
  <r>
    <x v="51"/>
    <x v="71"/>
    <x v="71"/>
    <s v="HSX"/>
    <s v="8780"/>
    <n v="0.80846444239796822"/>
    <n v="0.81692888479593639"/>
    <n v="0.8"/>
    <n v="6539945220"/>
    <n v="11.9"/>
    <n v="1"/>
  </r>
  <r>
    <x v="51"/>
    <x v="67"/>
    <x v="67"/>
    <s v="HSX"/>
    <s v="2730"/>
    <n v="0.79818722017448818"/>
    <n v="0.89637444034897629"/>
    <n v="0.7"/>
    <n v="327800448700"/>
    <n v="29.65"/>
    <n v="2"/>
  </r>
  <r>
    <x v="51"/>
    <x v="126"/>
    <x v="126"/>
    <s v="UPCOM"/>
    <s v="8350"/>
    <n v="0.72770565597159242"/>
    <n v="0.95541131194318496"/>
    <n v="0.5"/>
    <n v="2065448200"/>
    <n v="37.200000000000003"/>
    <n v="3"/>
  </r>
  <r>
    <x v="51"/>
    <x v="84"/>
    <x v="84"/>
    <s v="HSX"/>
    <s v="2350"/>
    <n v="0.72428859718219352"/>
    <n v="0.84857719436438706"/>
    <n v="0.6"/>
    <n v="41946585800"/>
    <n v="55.8"/>
    <n v="4"/>
  </r>
  <r>
    <x v="51"/>
    <x v="109"/>
    <x v="109"/>
    <s v="UPCOM"/>
    <s v="2790"/>
    <n v="0.6914420662461116"/>
    <n v="0.93288413249222313"/>
    <n v="0.45"/>
    <n v="4822356200"/>
    <n v="230"/>
    <n v="5"/>
  </r>
  <r>
    <x v="51"/>
    <x v="115"/>
    <x v="115"/>
    <s v="HSX"/>
    <s v="2770"/>
    <n v="0.67195293587248817"/>
    <n v="0.89390587174497638"/>
    <n v="0.45"/>
    <n v="70983385100"/>
    <n v="21.5"/>
    <n v="6"/>
  </r>
  <r>
    <x v="51"/>
    <x v="27"/>
    <x v="27"/>
    <s v="HSX"/>
    <s v="3570"/>
    <n v="0.65320627508476714"/>
    <n v="0.80641255016953428"/>
    <n v="0.5"/>
    <n v="40168652900"/>
    <n v="17.5"/>
    <n v="7"/>
  </r>
  <r>
    <x v="51"/>
    <x v="78"/>
    <x v="78"/>
    <s v="HSX"/>
    <s v="8630"/>
    <n v="0.63826128008899596"/>
    <n v="0.92652256017799195"/>
    <n v="0.35"/>
    <n v="8156560700"/>
    <n v="46.05"/>
    <n v="8"/>
  </r>
  <r>
    <x v="51"/>
    <x v="80"/>
    <x v="80"/>
    <s v="HSX"/>
    <s v="8630"/>
    <n v="0.62426254488756605"/>
    <n v="0.94852508977513217"/>
    <n v="0.3"/>
    <n v="7110996880"/>
    <n v="12.25"/>
    <n v="9"/>
  </r>
  <r>
    <x v="51"/>
    <x v="124"/>
    <x v="124"/>
    <s v="HNX"/>
    <s v="8630"/>
    <n v="0.6228480849697281"/>
    <n v="0.89569616993945622"/>
    <n v="0.35"/>
    <n v="3160899000"/>
    <n v="7.4"/>
    <n v="10"/>
  </r>
  <r>
    <x v="51"/>
    <x v="108"/>
    <x v="108"/>
    <s v="UPCOM"/>
    <s v="1350"/>
    <n v="0.62247474301019423"/>
    <n v="0.94494948602038853"/>
    <n v="0.3"/>
    <n v="48136317400"/>
    <n v="23.9"/>
    <n v="11"/>
  </r>
  <r>
    <x v="51"/>
    <x v="86"/>
    <x v="86"/>
    <s v="HNX"/>
    <s v="8780"/>
    <n v="0.6137430549411762"/>
    <n v="0.97748610988235229"/>
    <n v="0.25"/>
    <n v="25729754200"/>
    <n v="23.4"/>
    <n v="12"/>
  </r>
  <r>
    <x v="51"/>
    <x v="12"/>
    <x v="12"/>
    <s v="UPCOM"/>
    <s v="8780"/>
    <n v="0.60555499493390119"/>
    <n v="0.96110998986780238"/>
    <n v="0.25"/>
    <n v="5772734000"/>
    <n v="9.4"/>
    <n v="13"/>
  </r>
  <r>
    <x v="51"/>
    <x v="30"/>
    <x v="30"/>
    <s v="HSX"/>
    <s v="8630"/>
    <n v="0.6016503140382643"/>
    <n v="0.95330062807652849"/>
    <n v="0.25"/>
    <n v="65484990260"/>
    <n v="13"/>
    <n v="14"/>
  </r>
  <r>
    <x v="51"/>
    <x v="106"/>
    <x v="106"/>
    <s v="HNX"/>
    <s v="8630"/>
    <n v="0.5977782664749427"/>
    <n v="0.94555653294988551"/>
    <n v="0.25"/>
    <n v="7765272800"/>
    <n v="8.8000000000000007"/>
    <n v="15"/>
  </r>
  <r>
    <x v="51"/>
    <x v="99"/>
    <x v="99"/>
    <s v="HSX"/>
    <s v="5750"/>
    <n v="0.59098487973991343"/>
    <n v="0.78196975947982683"/>
    <n v="0.4"/>
    <n v="90449096800"/>
    <n v="34"/>
    <n v="16"/>
  </r>
  <r>
    <x v="51"/>
    <x v="93"/>
    <x v="93"/>
    <s v="HSX"/>
    <s v="1350"/>
    <n v="0.5892965397517318"/>
    <n v="0.72859307950346364"/>
    <n v="0.45"/>
    <n v="37153005000"/>
    <n v="141"/>
    <n v="17"/>
  </r>
  <r>
    <x v="51"/>
    <x v="64"/>
    <x v="64"/>
    <s v="HSX"/>
    <s v="8630"/>
    <n v="0.58312971714301942"/>
    <n v="0.56625943428603887"/>
    <n v="0.6"/>
    <n v="12047241840"/>
    <n v="6.8"/>
    <n v="18"/>
  </r>
  <r>
    <x v="51"/>
    <x v="128"/>
    <x v="128"/>
    <s v="HSX"/>
    <s v="1750"/>
    <n v="0.58175872598285272"/>
    <n v="0.56351745196570535"/>
    <n v="0.6"/>
    <n v="118900332000"/>
    <n v="16.25"/>
    <n v="19"/>
  </r>
  <r>
    <x v="51"/>
    <x v="129"/>
    <x v="129"/>
    <s v="HSX"/>
    <s v="2350"/>
    <n v="0.57864659750348268"/>
    <n v="0.80729319500696528"/>
    <n v="0.35"/>
    <n v="134208975200"/>
    <n v="14.2"/>
    <n v="20"/>
  </r>
  <r>
    <x v="52"/>
    <x v="67"/>
    <x v="67"/>
    <s v="HSX"/>
    <s v="2730"/>
    <n v="0.77398493627570275"/>
    <n v="0.89796987255140537"/>
    <n v="0.65"/>
    <n v="327618869500"/>
    <n v="30.4"/>
    <n v="1"/>
  </r>
  <r>
    <x v="52"/>
    <x v="126"/>
    <x v="126"/>
    <s v="UPCOM"/>
    <s v="8350"/>
    <n v="0.77217625716427973"/>
    <n v="0.94435251432855949"/>
    <n v="0.6"/>
    <n v="2070588200"/>
    <n v="37.4"/>
    <n v="2"/>
  </r>
  <r>
    <x v="52"/>
    <x v="98"/>
    <x v="98"/>
    <s v="HSX"/>
    <s v="2770"/>
    <n v="0.74182639326948929"/>
    <n v="0.93365278653897843"/>
    <n v="0.55000000000000004"/>
    <n v="114422901000"/>
    <n v="70.5"/>
    <n v="3"/>
  </r>
  <r>
    <x v="52"/>
    <x v="27"/>
    <x v="27"/>
    <s v="HSX"/>
    <s v="3570"/>
    <n v="0.72369483742653951"/>
    <n v="0.84738967485307914"/>
    <n v="0.6"/>
    <n v="39116473500"/>
    <n v="17.5"/>
    <n v="4"/>
  </r>
  <r>
    <x v="52"/>
    <x v="71"/>
    <x v="71"/>
    <s v="HSX"/>
    <s v="8780"/>
    <n v="0.67576334311563235"/>
    <n v="0.85152668623126471"/>
    <n v="0.5"/>
    <n v="6932492260"/>
    <n v="11.8"/>
    <n v="5"/>
  </r>
  <r>
    <x v="52"/>
    <x v="84"/>
    <x v="84"/>
    <s v="HSX"/>
    <s v="2350"/>
    <n v="0.66939548521527614"/>
    <n v="0.78879097043055235"/>
    <n v="0.55000000000000004"/>
    <n v="42091104000"/>
    <n v="56"/>
    <n v="6"/>
  </r>
  <r>
    <x v="52"/>
    <x v="12"/>
    <x v="12"/>
    <s v="UPCOM"/>
    <s v="8780"/>
    <n v="0.66379311739990743"/>
    <n v="0.92758623479981472"/>
    <n v="0.4"/>
    <n v="5809729200"/>
    <n v="9.1999999999999993"/>
    <n v="7"/>
  </r>
  <r>
    <x v="52"/>
    <x v="108"/>
    <x v="108"/>
    <s v="UPCOM"/>
    <s v="1350"/>
    <n v="0.65765113777123907"/>
    <n v="0.91530227554247823"/>
    <n v="0.4"/>
    <n v="48082162800"/>
    <n v="23.9"/>
    <n v="8"/>
  </r>
  <r>
    <x v="52"/>
    <x v="115"/>
    <x v="115"/>
    <s v="HSX"/>
    <s v="2770"/>
    <n v="0.65647147898855263"/>
    <n v="0.96294295797710527"/>
    <n v="0.35"/>
    <n v="75131113500"/>
    <n v="22.6"/>
    <n v="9"/>
  </r>
  <r>
    <x v="52"/>
    <x v="109"/>
    <x v="109"/>
    <s v="UPCOM"/>
    <s v="2790"/>
    <n v="0.65469726146263851"/>
    <n v="0.95939452292527716"/>
    <n v="0.35"/>
    <n v="4978257800"/>
    <n v="235.9"/>
    <n v="10"/>
  </r>
  <r>
    <x v="52"/>
    <x v="57"/>
    <x v="57"/>
    <s v="HSX"/>
    <s v="3570"/>
    <n v="0.61481450976986118"/>
    <n v="0.87962901953972239"/>
    <n v="0.35"/>
    <n v="129942533800"/>
    <n v="35.85"/>
    <n v="11"/>
  </r>
  <r>
    <x v="52"/>
    <x v="129"/>
    <x v="129"/>
    <s v="HSX"/>
    <s v="2350"/>
    <n v="0.60440355924738354"/>
    <n v="0.80880711849476716"/>
    <n v="0.4"/>
    <n v="139486961600"/>
    <n v="14.25"/>
    <n v="12"/>
  </r>
  <r>
    <x v="52"/>
    <x v="130"/>
    <x v="130"/>
    <s v="HSX"/>
    <s v="8990"/>
    <n v="0.60193015505771441"/>
    <n v="0.8038603101154288"/>
    <n v="0.4"/>
    <n v="10707531380"/>
    <n v="24.52"/>
    <n v="13"/>
  </r>
  <r>
    <x v="52"/>
    <x v="131"/>
    <x v="131"/>
    <s v="HSX"/>
    <s v="2770"/>
    <n v="0.59995574395437912"/>
    <n v="0.49991148790875828"/>
    <n v="0.7"/>
    <n v="5224335260"/>
    <n v="2.37"/>
    <n v="14"/>
  </r>
  <r>
    <x v="52"/>
    <x v="78"/>
    <x v="78"/>
    <s v="HSX"/>
    <s v="8630"/>
    <n v="0.5994508834954716"/>
    <n v="0.89890176699094326"/>
    <n v="0.3"/>
    <n v="8731830900"/>
    <n v="45.4"/>
    <n v="15"/>
  </r>
  <r>
    <x v="52"/>
    <x v="86"/>
    <x v="86"/>
    <s v="HNX"/>
    <s v="8780"/>
    <n v="0.59189407120182114"/>
    <n v="0.98378814240364221"/>
    <n v="0.2"/>
    <n v="26671903000"/>
    <n v="23.7"/>
    <n v="16"/>
  </r>
  <r>
    <x v="52"/>
    <x v="127"/>
    <x v="127"/>
    <s v="HSX"/>
    <s v="2790"/>
    <n v="0.58774445970936484"/>
    <n v="0.87548891941872975"/>
    <n v="0.3"/>
    <n v="16454837800"/>
    <n v="38"/>
    <n v="17"/>
  </r>
  <r>
    <x v="52"/>
    <x v="40"/>
    <x v="40"/>
    <s v="HSX"/>
    <s v="4530"/>
    <n v="0.57813698344937414"/>
    <n v="0.9062739668987484"/>
    <n v="0.25"/>
    <n v="3779764400"/>
    <n v="5.29"/>
    <n v="18"/>
  </r>
  <r>
    <x v="52"/>
    <x v="59"/>
    <x v="59"/>
    <s v="HSX"/>
    <s v="7530"/>
    <n v="0.57648819505427129"/>
    <n v="0.8029763901085426"/>
    <n v="0.35"/>
    <n v="27569819700"/>
    <n v="15.65"/>
    <n v="19"/>
  </r>
  <r>
    <x v="52"/>
    <x v="45"/>
    <x v="45"/>
    <s v="HSX"/>
    <s v="2730"/>
    <n v="0.5758940040801106"/>
    <n v="0.95178800816022113"/>
    <n v="0.2"/>
    <n v="91263199600"/>
    <n v="98.9"/>
    <n v="20"/>
  </r>
  <r>
    <x v="53"/>
    <x v="126"/>
    <x v="126"/>
    <s v="UPCOM"/>
    <s v="8350"/>
    <n v="0.77460591708842119"/>
    <n v="0.89921183417684225"/>
    <n v="0.65"/>
    <n v="2076536400"/>
    <n v="37.1"/>
    <n v="1"/>
  </r>
  <r>
    <x v="53"/>
    <x v="115"/>
    <x v="115"/>
    <s v="HSX"/>
    <s v="2770"/>
    <n v="0.75144659358781263"/>
    <n v="0.95289318717562521"/>
    <n v="0.55000000000000004"/>
    <n v="78506925100"/>
    <n v="23"/>
    <n v="2"/>
  </r>
  <r>
    <x v="53"/>
    <x v="98"/>
    <x v="98"/>
    <s v="HSX"/>
    <s v="2770"/>
    <n v="0.71484333228874775"/>
    <n v="0.97968666457749554"/>
    <n v="0.45"/>
    <n v="115779391200"/>
    <n v="75.400000000000006"/>
    <n v="3"/>
  </r>
  <r>
    <x v="53"/>
    <x v="40"/>
    <x v="40"/>
    <s v="HSX"/>
    <s v="4530"/>
    <n v="0.71380610548068768"/>
    <n v="0.87761221096137532"/>
    <n v="0.55000000000000004"/>
    <n v="3400343240"/>
    <n v="5.31"/>
    <n v="4"/>
  </r>
  <r>
    <x v="53"/>
    <x v="129"/>
    <x v="129"/>
    <s v="HSX"/>
    <s v="2350"/>
    <n v="0.68468054279413137"/>
    <n v="0.91936108558826268"/>
    <n v="0.45"/>
    <n v="148583182800"/>
    <n v="15.2"/>
    <n v="5"/>
  </r>
  <r>
    <x v="53"/>
    <x v="71"/>
    <x v="71"/>
    <s v="HSX"/>
    <s v="8780"/>
    <n v="0.67287518435908167"/>
    <n v="0.79575036871816329"/>
    <n v="0.55000000000000004"/>
    <n v="7047648020"/>
    <n v="12.05"/>
    <n v="6"/>
  </r>
  <r>
    <x v="53"/>
    <x v="108"/>
    <x v="108"/>
    <s v="UPCOM"/>
    <s v="1350"/>
    <n v="0.67205578677509381"/>
    <n v="0.89411157355018767"/>
    <n v="0.45"/>
    <n v="48684068200"/>
    <n v="23.3"/>
    <n v="7"/>
  </r>
  <r>
    <x v="53"/>
    <x v="130"/>
    <x v="130"/>
    <s v="HSX"/>
    <s v="8990"/>
    <n v="0.66654580890353921"/>
    <n v="0.73309161780707854"/>
    <n v="0.6"/>
    <n v="10741745720"/>
    <n v="24.75"/>
    <n v="8"/>
  </r>
  <r>
    <x v="53"/>
    <x v="67"/>
    <x v="67"/>
    <s v="HSX"/>
    <s v="2730"/>
    <n v="0.63034135075298237"/>
    <n v="0.96068270150596469"/>
    <n v="0.3"/>
    <n v="335913886100"/>
    <n v="32.5"/>
    <n v="9"/>
  </r>
  <r>
    <x v="53"/>
    <x v="89"/>
    <x v="89"/>
    <s v="HSX"/>
    <s v="8630"/>
    <n v="0.62978230266312551"/>
    <n v="0.9595646053262511"/>
    <n v="0.3"/>
    <n v="630406791900"/>
    <n v="67.3"/>
    <n v="10"/>
  </r>
  <r>
    <x v="53"/>
    <x v="59"/>
    <x v="59"/>
    <s v="HSX"/>
    <s v="7530"/>
    <n v="0.60704302572286906"/>
    <n v="0.91408605144573818"/>
    <n v="0.3"/>
    <n v="28858498800"/>
    <n v="16.3"/>
    <n v="11"/>
  </r>
  <r>
    <x v="53"/>
    <x v="12"/>
    <x v="12"/>
    <s v="UPCOM"/>
    <s v="8780"/>
    <n v="0.60482523016160539"/>
    <n v="0.8596504603232108"/>
    <n v="0.35"/>
    <n v="5521042000"/>
    <n v="9"/>
    <n v="12"/>
  </r>
  <r>
    <x v="53"/>
    <x v="27"/>
    <x v="27"/>
    <s v="HSX"/>
    <s v="3570"/>
    <n v="0.60255829108101244"/>
    <n v="0.85511658216202491"/>
    <n v="0.35"/>
    <n v="38832663900"/>
    <n v="18"/>
    <n v="13"/>
  </r>
  <r>
    <x v="53"/>
    <x v="99"/>
    <x v="99"/>
    <s v="HSX"/>
    <s v="5750"/>
    <n v="0.59962551251723495"/>
    <n v="0.9492510250344699"/>
    <n v="0.25"/>
    <n v="94848912100"/>
    <n v="36.450000000000003"/>
    <n v="14"/>
  </r>
  <r>
    <x v="53"/>
    <x v="127"/>
    <x v="127"/>
    <s v="HSX"/>
    <s v="2790"/>
    <n v="0.59619193618754451"/>
    <n v="0.84238387237508894"/>
    <n v="0.35"/>
    <n v="16854703100"/>
    <n v="37.9"/>
    <n v="15"/>
  </r>
  <r>
    <x v="53"/>
    <x v="109"/>
    <x v="109"/>
    <s v="UPCOM"/>
    <s v="2790"/>
    <n v="0.58431338349684148"/>
    <n v="0.91862676699368295"/>
    <n v="0.25"/>
    <n v="5056793200"/>
    <n v="231.9"/>
    <n v="16"/>
  </r>
  <r>
    <x v="53"/>
    <x v="84"/>
    <x v="84"/>
    <s v="HSX"/>
    <s v="2350"/>
    <n v="0.58341219195448923"/>
    <n v="0.91682438390897858"/>
    <n v="0.25"/>
    <n v="43767526100"/>
    <n v="58"/>
    <n v="17"/>
  </r>
  <r>
    <x v="53"/>
    <x v="121"/>
    <x v="121"/>
    <s v="HSX"/>
    <s v="4570"/>
    <n v="0.57549819020559201"/>
    <n v="0.75099638041118399"/>
    <n v="0.4"/>
    <n v="2992057200"/>
    <n v="106.7"/>
    <n v="18"/>
  </r>
  <r>
    <x v="53"/>
    <x v="66"/>
    <x v="66"/>
    <s v="HSX"/>
    <s v="8630"/>
    <n v="0.56992572361004024"/>
    <n v="0.88985144722008047"/>
    <n v="0.25"/>
    <n v="4040719780"/>
    <n v="9.25"/>
    <n v="19"/>
  </r>
  <r>
    <x v="53"/>
    <x v="80"/>
    <x v="80"/>
    <s v="HSX"/>
    <s v="8630"/>
    <n v="0.56715789655461535"/>
    <n v="0.88431579310923059"/>
    <n v="0.25"/>
    <n v="7265806480"/>
    <n v="12.2"/>
    <n v="20"/>
  </r>
  <r>
    <x v="54"/>
    <x v="99"/>
    <x v="99"/>
    <s v="HSX"/>
    <s v="5750"/>
    <n v="0.8126149736756787"/>
    <n v="0.97522994735135748"/>
    <n v="0.65"/>
    <n v="98300466000"/>
    <n v="38.65"/>
    <n v="1"/>
  </r>
  <r>
    <x v="54"/>
    <x v="126"/>
    <x v="126"/>
    <s v="UPCOM"/>
    <s v="8350"/>
    <n v="0.78859405081982503"/>
    <n v="0.92718810163964993"/>
    <n v="0.65"/>
    <n v="2081951400"/>
    <n v="38.9"/>
    <n v="2"/>
  </r>
  <r>
    <x v="54"/>
    <x v="98"/>
    <x v="98"/>
    <s v="HSX"/>
    <s v="2770"/>
    <n v="0.73188311324027788"/>
    <n v="0.96376622648055588"/>
    <n v="0.5"/>
    <n v="115830120800"/>
    <n v="76.099999999999994"/>
    <n v="3"/>
  </r>
  <r>
    <x v="54"/>
    <x v="129"/>
    <x v="129"/>
    <s v="HSX"/>
    <s v="2350"/>
    <n v="0.71946613565315098"/>
    <n v="0.93893227130630197"/>
    <n v="0.5"/>
    <n v="156613181000"/>
    <n v="15.4"/>
    <n v="4"/>
  </r>
  <r>
    <x v="54"/>
    <x v="80"/>
    <x v="80"/>
    <s v="HSX"/>
    <s v="8630"/>
    <n v="0.66249777755415096"/>
    <n v="0.97499555510830205"/>
    <n v="0.35"/>
    <n v="7861562280"/>
    <n v="13"/>
    <n v="5"/>
  </r>
  <r>
    <x v="54"/>
    <x v="127"/>
    <x v="127"/>
    <s v="HSX"/>
    <s v="2790"/>
    <n v="0.66240400106675534"/>
    <n v="0.87480800213351062"/>
    <n v="0.45"/>
    <n v="17395545300"/>
    <n v="38.450000000000003"/>
    <n v="6"/>
  </r>
  <r>
    <x v="54"/>
    <x v="67"/>
    <x v="67"/>
    <s v="HSX"/>
    <s v="2730"/>
    <n v="0.64757591812198656"/>
    <n v="0.94515183624397314"/>
    <n v="0.35"/>
    <n v="356738873300"/>
    <n v="32"/>
    <n v="7"/>
  </r>
  <r>
    <x v="54"/>
    <x v="108"/>
    <x v="108"/>
    <s v="UPCOM"/>
    <s v="1350"/>
    <n v="0.64301101237116665"/>
    <n v="0.83602202474233334"/>
    <n v="0.45"/>
    <n v="49182855400"/>
    <n v="23.4"/>
    <n v="8"/>
  </r>
  <r>
    <x v="54"/>
    <x v="104"/>
    <x v="104"/>
    <s v="HSX"/>
    <s v="1750"/>
    <n v="0.64194254915141502"/>
    <n v="0.93388509830282995"/>
    <n v="0.35"/>
    <n v="7972636680"/>
    <n v="11.1"/>
    <n v="9"/>
  </r>
  <r>
    <x v="54"/>
    <x v="40"/>
    <x v="40"/>
    <s v="HSX"/>
    <s v="4530"/>
    <n v="0.63160654247243431"/>
    <n v="0.86321308494486859"/>
    <n v="0.4"/>
    <n v="3093434260"/>
    <n v="5.18"/>
    <n v="10"/>
  </r>
  <r>
    <x v="54"/>
    <x v="124"/>
    <x v="124"/>
    <s v="HNX"/>
    <s v="8630"/>
    <n v="0.62351519111926068"/>
    <n v="0.69703038223852132"/>
    <n v="0.55000000000000004"/>
    <n v="3561125600"/>
    <n v="6.9"/>
    <n v="11"/>
  </r>
  <r>
    <x v="54"/>
    <x v="89"/>
    <x v="89"/>
    <s v="HSX"/>
    <s v="8630"/>
    <n v="0.62290776978053541"/>
    <n v="0.94581553956107078"/>
    <n v="0.3"/>
    <n v="628322898000"/>
    <n v="68.099999999999994"/>
    <n v="12"/>
  </r>
  <r>
    <x v="54"/>
    <x v="71"/>
    <x v="71"/>
    <s v="HSX"/>
    <s v="8780"/>
    <n v="0.62055824942511673"/>
    <n v="0.7911164988502335"/>
    <n v="0.45"/>
    <n v="7109626760"/>
    <n v="12"/>
    <n v="13"/>
  </r>
  <r>
    <x v="54"/>
    <x v="60"/>
    <x v="60"/>
    <s v="HSX"/>
    <s v="8780"/>
    <n v="0.62033920267090903"/>
    <n v="0.74067840534181806"/>
    <n v="0.5"/>
    <n v="555116147800"/>
    <n v="13.55"/>
    <n v="14"/>
  </r>
  <r>
    <x v="54"/>
    <x v="27"/>
    <x v="27"/>
    <s v="HSX"/>
    <s v="3570"/>
    <n v="0.62018692756091975"/>
    <n v="0.79037385512183955"/>
    <n v="0.45"/>
    <n v="38567239600"/>
    <n v="17.850000000000001"/>
    <n v="15"/>
  </r>
  <r>
    <x v="54"/>
    <x v="130"/>
    <x v="130"/>
    <s v="HSX"/>
    <s v="8990"/>
    <n v="0.59692924964752181"/>
    <n v="0.79385849929504371"/>
    <n v="0.4"/>
    <n v="10610692600"/>
    <n v="24.68"/>
    <n v="16"/>
  </r>
  <r>
    <x v="54"/>
    <x v="12"/>
    <x v="12"/>
    <s v="UPCOM"/>
    <s v="8780"/>
    <n v="0.59056857211406355"/>
    <n v="0.88113714422812706"/>
    <n v="0.3"/>
    <n v="5295859600"/>
    <n v="9"/>
    <n v="17"/>
  </r>
  <r>
    <x v="54"/>
    <x v="115"/>
    <x v="115"/>
    <s v="HSX"/>
    <s v="2770"/>
    <n v="0.57146028461110587"/>
    <n v="0.89292056922221186"/>
    <n v="0.25"/>
    <n v="83017113000"/>
    <n v="21.95"/>
    <n v="18"/>
  </r>
  <r>
    <x v="54"/>
    <x v="100"/>
    <x v="100"/>
    <s v="HSX"/>
    <s v="1350"/>
    <n v="0.55887549438088979"/>
    <n v="0.8677509887617797"/>
    <n v="0.25"/>
    <n v="27399447400"/>
    <n v="46.6"/>
    <n v="19"/>
  </r>
  <r>
    <x v="54"/>
    <x v="84"/>
    <x v="84"/>
    <s v="HSX"/>
    <s v="2350"/>
    <n v="0.55761712035075994"/>
    <n v="0.96523424070151997"/>
    <n v="0.15"/>
    <n v="45725308900"/>
    <n v="61"/>
    <n v="20"/>
  </r>
  <r>
    <x v="55"/>
    <x v="126"/>
    <x v="126"/>
    <s v="UPCOM"/>
    <s v="8350"/>
    <n v="0.78578276051239881"/>
    <n v="0.92156552102479761"/>
    <n v="0.65"/>
    <n v="2080945000"/>
    <n v="39"/>
    <n v="1"/>
  </r>
  <r>
    <x v="55"/>
    <x v="98"/>
    <x v="98"/>
    <s v="HSX"/>
    <s v="2770"/>
    <n v="0.78354420970036753"/>
    <n v="0.96708841940073498"/>
    <n v="0.6"/>
    <n v="116148736400"/>
    <n v="79"/>
    <n v="2"/>
  </r>
  <r>
    <x v="55"/>
    <x v="129"/>
    <x v="129"/>
    <s v="HSX"/>
    <s v="2350"/>
    <n v="0.75537920483856058"/>
    <n v="0.91075840967712107"/>
    <n v="0.6"/>
    <n v="159184097300"/>
    <n v="15.15"/>
    <n v="3"/>
  </r>
  <r>
    <x v="55"/>
    <x v="40"/>
    <x v="40"/>
    <s v="HSX"/>
    <s v="4530"/>
    <n v="0.73931271626226613"/>
    <n v="0.8786254325245324"/>
    <n v="0.6"/>
    <n v="3036667540"/>
    <n v="5.25"/>
    <n v="4"/>
  </r>
  <r>
    <x v="55"/>
    <x v="30"/>
    <x v="30"/>
    <s v="HSX"/>
    <s v="8630"/>
    <n v="0.68231161944908902"/>
    <n v="0.96462323889817791"/>
    <n v="0.4"/>
    <n v="73627865440"/>
    <n v="13.9"/>
    <n v="5"/>
  </r>
  <r>
    <x v="55"/>
    <x v="67"/>
    <x v="67"/>
    <s v="HSX"/>
    <s v="2730"/>
    <n v="0.68169515976197181"/>
    <n v="0.96339031952394372"/>
    <n v="0.4"/>
    <n v="363139438800"/>
    <n v="33.700000000000003"/>
    <n v="6"/>
  </r>
  <r>
    <x v="55"/>
    <x v="99"/>
    <x v="99"/>
    <s v="HSX"/>
    <s v="5750"/>
    <n v="0.6706239355470629"/>
    <n v="0.94124787109412567"/>
    <n v="0.4"/>
    <n v="99420804400"/>
    <n v="38.5"/>
    <n v="7"/>
  </r>
  <r>
    <x v="55"/>
    <x v="108"/>
    <x v="108"/>
    <s v="UPCOM"/>
    <s v="1350"/>
    <n v="0.66181022649167887"/>
    <n v="0.92362045298335771"/>
    <n v="0.4"/>
    <n v="50571421000"/>
    <n v="24.3"/>
    <n v="8"/>
  </r>
  <r>
    <x v="55"/>
    <x v="80"/>
    <x v="80"/>
    <s v="HSX"/>
    <s v="8630"/>
    <n v="0.6512184701520578"/>
    <n v="0.95243694030411552"/>
    <n v="0.35"/>
    <n v="7518108280"/>
    <n v="13"/>
    <n v="9"/>
  </r>
  <r>
    <x v="55"/>
    <x v="115"/>
    <x v="115"/>
    <s v="HSX"/>
    <s v="2770"/>
    <n v="0.64240439048655607"/>
    <n v="0.83480878097311206"/>
    <n v="0.45"/>
    <n v="84951517800"/>
    <n v="22"/>
    <n v="10"/>
  </r>
  <r>
    <x v="55"/>
    <x v="89"/>
    <x v="89"/>
    <s v="HSX"/>
    <s v="8630"/>
    <n v="0.6388592559287456"/>
    <n v="0.9277185118574911"/>
    <n v="0.35"/>
    <n v="627444896400"/>
    <n v="68.8"/>
    <n v="11"/>
  </r>
  <r>
    <x v="55"/>
    <x v="124"/>
    <x v="124"/>
    <s v="HNX"/>
    <s v="8630"/>
    <n v="0.59564971155642521"/>
    <n v="0.64129942311285026"/>
    <n v="0.55000000000000004"/>
    <n v="3623272600"/>
    <n v="6.7"/>
    <n v="12"/>
  </r>
  <r>
    <x v="55"/>
    <x v="127"/>
    <x v="127"/>
    <s v="HSX"/>
    <s v="2790"/>
    <n v="0.57987791404592615"/>
    <n v="0.85975582809185236"/>
    <n v="0.3"/>
    <n v="17634201500"/>
    <n v="38.950000000000003"/>
    <n v="13"/>
  </r>
  <r>
    <x v="55"/>
    <x v="4"/>
    <x v="4"/>
    <s v="HNX"/>
    <s v="2350"/>
    <n v="0.57534466791778893"/>
    <n v="0.90068933583557775"/>
    <n v="0.25"/>
    <n v="10311577000"/>
    <n v="15.5"/>
    <n v="14"/>
  </r>
  <r>
    <x v="55"/>
    <x v="27"/>
    <x v="27"/>
    <s v="HSX"/>
    <s v="3570"/>
    <n v="0.57229372329840122"/>
    <n v="0.79458744659680247"/>
    <n v="0.35"/>
    <n v="37881993900"/>
    <n v="17.95"/>
    <n v="15"/>
  </r>
  <r>
    <x v="55"/>
    <x v="24"/>
    <x v="24"/>
    <s v="HNX"/>
    <s v="8630"/>
    <n v="0.56431518355311261"/>
    <n v="0.62863036710622511"/>
    <n v="0.5"/>
    <n v="6823215600"/>
    <n v="5.0999999999999996"/>
    <n v="16"/>
  </r>
  <r>
    <x v="55"/>
    <x v="128"/>
    <x v="128"/>
    <s v="HSX"/>
    <s v="1750"/>
    <n v="0.5626729335533005"/>
    <n v="0.52534586710660092"/>
    <n v="0.6"/>
    <n v="117124825600"/>
    <n v="16.25"/>
    <n v="17"/>
  </r>
  <r>
    <x v="55"/>
    <x v="64"/>
    <x v="64"/>
    <s v="HSX"/>
    <s v="8630"/>
    <n v="0.54687013775475679"/>
    <n v="0.49374027550951349"/>
    <n v="0.6"/>
    <n v="11912254420"/>
    <n v="6.7"/>
    <n v="18"/>
  </r>
  <r>
    <x v="55"/>
    <x v="86"/>
    <x v="86"/>
    <s v="HNX"/>
    <s v="8780"/>
    <n v="0.54334101962913373"/>
    <n v="0.98668203925826747"/>
    <n v="0.1"/>
    <n v="29611647800"/>
    <n v="25.5"/>
    <n v="19"/>
  </r>
  <r>
    <x v="55"/>
    <x v="70"/>
    <x v="70"/>
    <s v="HSX"/>
    <s v="8350"/>
    <n v="0.53484826265796082"/>
    <n v="0.96969652531592154"/>
    <n v="0.1"/>
    <n v="14244494200"/>
    <n v="13.5"/>
    <n v="20"/>
  </r>
  <r>
    <x v="56"/>
    <x v="98"/>
    <x v="98"/>
    <s v="HSX"/>
    <s v="2770"/>
    <n v="0.78213464187269244"/>
    <n v="0.96426928374538479"/>
    <n v="0.6"/>
    <n v="115944831600"/>
    <n v="78.900000000000006"/>
    <n v="1"/>
  </r>
  <r>
    <x v="56"/>
    <x v="129"/>
    <x v="129"/>
    <s v="HSX"/>
    <s v="2350"/>
    <n v="0.77754527855043354"/>
    <n v="0.95509055710086721"/>
    <n v="0.6"/>
    <n v="165791920100"/>
    <n v="15.7"/>
    <n v="2"/>
  </r>
  <r>
    <x v="56"/>
    <x v="30"/>
    <x v="30"/>
    <s v="HSX"/>
    <s v="8630"/>
    <n v="0.76427643346923357"/>
    <n v="0.97855286693846721"/>
    <n v="0.55000000000000004"/>
    <n v="77955916480"/>
    <n v="14.6"/>
    <n v="3"/>
  </r>
  <r>
    <x v="56"/>
    <x v="40"/>
    <x v="40"/>
    <s v="HSX"/>
    <s v="4530"/>
    <n v="0.76281950742940619"/>
    <n v="0.87563901485881235"/>
    <n v="0.65"/>
    <n v="3051723400"/>
    <n v="5.3"/>
    <n v="4"/>
  </r>
  <r>
    <x v="56"/>
    <x v="126"/>
    <x v="126"/>
    <s v="UPCOM"/>
    <s v="8350"/>
    <n v="0.73574612925511895"/>
    <n v="0.87149225851023793"/>
    <n v="0.6"/>
    <n v="2090528200"/>
    <n v="38.9"/>
    <n v="5"/>
  </r>
  <r>
    <x v="56"/>
    <x v="115"/>
    <x v="115"/>
    <s v="HSX"/>
    <s v="2770"/>
    <n v="0.67230708099175629"/>
    <n v="0.94461416198351256"/>
    <n v="0.4"/>
    <n v="92814664100"/>
    <n v="23.15"/>
    <n v="6"/>
  </r>
  <r>
    <x v="56"/>
    <x v="80"/>
    <x v="80"/>
    <s v="HSX"/>
    <s v="8630"/>
    <n v="0.66972428521513083"/>
    <n v="0.98944857043026169"/>
    <n v="0.35"/>
    <n v="7778016980"/>
    <n v="13.9"/>
    <n v="7"/>
  </r>
  <r>
    <x v="56"/>
    <x v="67"/>
    <x v="67"/>
    <s v="HSX"/>
    <s v="2730"/>
    <n v="0.66026299784342268"/>
    <n v="0.9705259956868455"/>
    <n v="0.35"/>
    <n v="370691962200"/>
    <n v="35.1"/>
    <n v="8"/>
  </r>
  <r>
    <x v="56"/>
    <x v="89"/>
    <x v="89"/>
    <s v="HSX"/>
    <s v="8630"/>
    <n v="0.65998499484344775"/>
    <n v="0.96996998968689563"/>
    <n v="0.35"/>
    <n v="633909543400"/>
    <n v="73.5"/>
    <n v="9"/>
  </r>
  <r>
    <x v="56"/>
    <x v="108"/>
    <x v="108"/>
    <s v="UPCOM"/>
    <s v="1350"/>
    <n v="0.65346230394259186"/>
    <n v="0.95692460788518374"/>
    <n v="0.35"/>
    <n v="52749574400"/>
    <n v="25.6"/>
    <n v="10"/>
  </r>
  <r>
    <x v="56"/>
    <x v="99"/>
    <x v="99"/>
    <s v="HSX"/>
    <s v="5750"/>
    <n v="0.64300564686929806"/>
    <n v="0.93601129373859615"/>
    <n v="0.35"/>
    <n v="98302128700"/>
    <n v="38.549999999999997"/>
    <n v="11"/>
  </r>
  <r>
    <x v="56"/>
    <x v="100"/>
    <x v="100"/>
    <s v="HSX"/>
    <s v="1350"/>
    <n v="0.62347540187721329"/>
    <n v="0.89695080375442648"/>
    <n v="0.35"/>
    <n v="29099115700"/>
    <n v="48.05"/>
    <n v="12"/>
  </r>
  <r>
    <x v="56"/>
    <x v="113"/>
    <x v="113"/>
    <s v="HSX"/>
    <s v="8350"/>
    <n v="0.61869606946551814"/>
    <n v="0.98739213893103639"/>
    <n v="0.25"/>
    <n v="5963970800"/>
    <n v="15.6"/>
    <n v="13"/>
  </r>
  <r>
    <x v="56"/>
    <x v="27"/>
    <x v="27"/>
    <s v="HSX"/>
    <s v="3570"/>
    <n v="0.59840308617050197"/>
    <n v="0.79680617234100393"/>
    <n v="0.4"/>
    <n v="37626698600"/>
    <n v="18"/>
    <n v="14"/>
  </r>
  <r>
    <x v="56"/>
    <x v="24"/>
    <x v="24"/>
    <s v="HNX"/>
    <s v="8630"/>
    <n v="0.59493740774605064"/>
    <n v="0.68987481549210128"/>
    <n v="0.5"/>
    <n v="6826182800"/>
    <n v="5.2"/>
    <n v="15"/>
  </r>
  <r>
    <x v="56"/>
    <x v="86"/>
    <x v="86"/>
    <s v="HNX"/>
    <s v="8780"/>
    <n v="0.58830526326433363"/>
    <n v="0.9766105265286672"/>
    <n v="0.2"/>
    <n v="30088005000"/>
    <n v="24.8"/>
    <n v="16"/>
  </r>
  <r>
    <x v="56"/>
    <x v="93"/>
    <x v="93"/>
    <s v="HSX"/>
    <s v="1350"/>
    <n v="0.58765837440884283"/>
    <n v="0.62531674881768562"/>
    <n v="0.55000000000000004"/>
    <n v="36798583400"/>
    <n v="142.69999999999999"/>
    <n v="17"/>
  </r>
  <r>
    <x v="56"/>
    <x v="12"/>
    <x v="12"/>
    <s v="UPCOM"/>
    <s v="8780"/>
    <n v="0.57886423355557903"/>
    <n v="0.80772846711115809"/>
    <n v="0.35"/>
    <n v="4959921600"/>
    <n v="9"/>
    <n v="18"/>
  </r>
  <r>
    <x v="56"/>
    <x v="127"/>
    <x v="127"/>
    <s v="HSX"/>
    <s v="2790"/>
    <n v="0.57505493987016143"/>
    <n v="0.85010987974032293"/>
    <n v="0.3"/>
    <n v="17954404700"/>
    <n v="39.299999999999997"/>
    <n v="19"/>
  </r>
  <r>
    <x v="56"/>
    <x v="132"/>
    <x v="132"/>
    <s v="HNX"/>
    <s v="1350"/>
    <n v="0.57008691433413505"/>
    <n v="0.84017382866827017"/>
    <n v="0.3"/>
    <n v="14910336600"/>
    <n v="21.2"/>
    <n v="20"/>
  </r>
  <r>
    <x v="57"/>
    <x v="99"/>
    <x v="99"/>
    <s v="HSX"/>
    <s v="5750"/>
    <n v="0.85967469820953146"/>
    <n v="0.96934939641906293"/>
    <n v="0.75"/>
    <n v="100318077700"/>
    <n v="40.15"/>
    <n v="1"/>
  </r>
  <r>
    <x v="57"/>
    <x v="98"/>
    <x v="98"/>
    <s v="HSX"/>
    <s v="2770"/>
    <n v="0.84196126508167901"/>
    <n v="0.98392253016335818"/>
    <n v="0.7"/>
    <n v="117635042800"/>
    <n v="84.4"/>
    <n v="2"/>
  </r>
  <r>
    <x v="57"/>
    <x v="30"/>
    <x v="30"/>
    <s v="HSX"/>
    <s v="8630"/>
    <n v="0.80822228765637205"/>
    <n v="0.96644457531274408"/>
    <n v="0.65"/>
    <n v="79885786740"/>
    <n v="14.65"/>
    <n v="3"/>
  </r>
  <r>
    <x v="57"/>
    <x v="129"/>
    <x v="129"/>
    <s v="HSX"/>
    <s v="2350"/>
    <n v="0.74824648002365857"/>
    <n v="0.9464929600473172"/>
    <n v="0.55000000000000004"/>
    <n v="171397308000"/>
    <n v="15.9"/>
    <n v="4"/>
  </r>
  <r>
    <x v="57"/>
    <x v="108"/>
    <x v="108"/>
    <s v="UPCOM"/>
    <s v="1350"/>
    <n v="0.70792044623698946"/>
    <n v="0.86584089247397888"/>
    <n v="0.55000000000000004"/>
    <n v="53140731200"/>
    <n v="24.9"/>
    <n v="5"/>
  </r>
  <r>
    <x v="57"/>
    <x v="126"/>
    <x v="126"/>
    <s v="UPCOM"/>
    <s v="8350"/>
    <n v="0.68064350358082515"/>
    <n v="0.81128700716165036"/>
    <n v="0.55000000000000004"/>
    <n v="2091562200"/>
    <n v="39"/>
    <n v="6"/>
  </r>
  <r>
    <x v="57"/>
    <x v="28"/>
    <x v="28"/>
    <s v="UPCOM"/>
    <s v="2770"/>
    <n v="0.67862232142846479"/>
    <n v="0.75724464285692972"/>
    <n v="0.6"/>
    <n v="7713016000"/>
    <n v="149"/>
    <n v="7"/>
  </r>
  <r>
    <x v="57"/>
    <x v="80"/>
    <x v="80"/>
    <s v="HSX"/>
    <s v="8630"/>
    <n v="0.66712480661072882"/>
    <n v="0.98424961322145765"/>
    <n v="0.35"/>
    <n v="7785576580"/>
    <n v="14"/>
    <n v="8"/>
  </r>
  <r>
    <x v="57"/>
    <x v="127"/>
    <x v="127"/>
    <s v="HSX"/>
    <s v="2790"/>
    <n v="0.65474268642452893"/>
    <n v="0.90948537284905784"/>
    <n v="0.4"/>
    <n v="18857441600"/>
    <n v="39.85"/>
    <n v="9"/>
  </r>
  <r>
    <x v="57"/>
    <x v="89"/>
    <x v="89"/>
    <s v="HSX"/>
    <s v="8630"/>
    <n v="0.65340912676249419"/>
    <n v="0.95681825352498828"/>
    <n v="0.35"/>
    <n v="630696754200"/>
    <n v="74.3"/>
    <n v="10"/>
  </r>
  <r>
    <x v="57"/>
    <x v="48"/>
    <x v="48"/>
    <s v="HNX"/>
    <s v="8770"/>
    <n v="0.65284576768864122"/>
    <n v="0.80569153537728233"/>
    <n v="0.5"/>
    <n v="2822446400"/>
    <n v="14"/>
    <n v="11"/>
  </r>
  <r>
    <x v="57"/>
    <x v="40"/>
    <x v="40"/>
    <s v="HSX"/>
    <s v="4530"/>
    <n v="0.64588150577584247"/>
    <n v="0.84176301155168498"/>
    <n v="0.45"/>
    <n v="3000667800"/>
    <n v="5.31"/>
    <n v="12"/>
  </r>
  <r>
    <x v="57"/>
    <x v="133"/>
    <x v="133"/>
    <s v="HSX"/>
    <s v="2770"/>
    <n v="0.63903776803740109"/>
    <n v="0.72807553607480202"/>
    <n v="0.55000000000000004"/>
    <n v="134149332900"/>
    <n v="59.5"/>
    <n v="13"/>
  </r>
  <r>
    <x v="57"/>
    <x v="67"/>
    <x v="67"/>
    <s v="HSX"/>
    <s v="2730"/>
    <n v="0.6371875246753429"/>
    <n v="0.97437504935068586"/>
    <n v="0.3"/>
    <n v="376629670200"/>
    <n v="36"/>
    <n v="14"/>
  </r>
  <r>
    <x v="57"/>
    <x v="86"/>
    <x v="86"/>
    <s v="HNX"/>
    <s v="8780"/>
    <n v="0.61469430671268321"/>
    <n v="0.97938861342536643"/>
    <n v="0.25"/>
    <n v="31215759200"/>
    <n v="24.7"/>
    <n v="15"/>
  </r>
  <r>
    <x v="57"/>
    <x v="27"/>
    <x v="27"/>
    <s v="HSX"/>
    <s v="3570"/>
    <n v="0.60867254041811492"/>
    <n v="0.81734508083622981"/>
    <n v="0.4"/>
    <n v="37664430300"/>
    <n v="18.05"/>
    <n v="16"/>
  </r>
  <r>
    <x v="57"/>
    <x v="115"/>
    <x v="115"/>
    <s v="HSX"/>
    <s v="2770"/>
    <n v="0.60815619237539198"/>
    <n v="0.96631238475078407"/>
    <n v="0.25"/>
    <n v="98669391300"/>
    <n v="24.65"/>
    <n v="17"/>
  </r>
  <r>
    <x v="57"/>
    <x v="134"/>
    <x v="134"/>
    <s v="HSX"/>
    <s v="8630"/>
    <n v="0.60178159280466925"/>
    <n v="0.90356318560933857"/>
    <n v="0.3"/>
    <n v="117016345600"/>
    <n v="36.9"/>
    <n v="18"/>
  </r>
  <r>
    <x v="57"/>
    <x v="124"/>
    <x v="124"/>
    <s v="HNX"/>
    <s v="8630"/>
    <n v="0.60010768221922617"/>
    <n v="0.70021536443845223"/>
    <n v="0.5"/>
    <n v="3828814600"/>
    <n v="7.2"/>
    <n v="19"/>
  </r>
  <r>
    <x v="57"/>
    <x v="113"/>
    <x v="113"/>
    <s v="HSX"/>
    <s v="8350"/>
    <n v="0.59601022430166728"/>
    <n v="0.99202044860333449"/>
    <n v="0.2"/>
    <n v="6426519000"/>
    <n v="16.899999999999999"/>
    <n v="20"/>
  </r>
  <r>
    <x v="58"/>
    <x v="99"/>
    <x v="99"/>
    <s v="HSX"/>
    <s v="5750"/>
    <n v="0.87956066128692756"/>
    <n v="0.95912132257385507"/>
    <n v="0.8"/>
    <n v="101964274900"/>
    <n v="39.549999999999997"/>
    <n v="1"/>
  </r>
  <r>
    <x v="58"/>
    <x v="30"/>
    <x v="30"/>
    <s v="HSX"/>
    <s v="8630"/>
    <n v="0.80711036388040613"/>
    <n v="0.96422072776081225"/>
    <n v="0.65"/>
    <n v="81928877340"/>
    <n v="14.4"/>
    <n v="2"/>
  </r>
  <r>
    <x v="58"/>
    <x v="98"/>
    <x v="98"/>
    <s v="HSX"/>
    <s v="2770"/>
    <n v="0.76307756369220314"/>
    <n v="0.97615512738440613"/>
    <n v="0.55000000000000004"/>
    <n v="119083124800"/>
    <n v="80.5"/>
    <n v="3"/>
  </r>
  <r>
    <x v="58"/>
    <x v="115"/>
    <x v="115"/>
    <s v="HSX"/>
    <s v="2770"/>
    <n v="0.7085796382659223"/>
    <n v="0.91715927653184459"/>
    <n v="0.5"/>
    <n v="104870005700"/>
    <n v="23.6"/>
    <n v="4"/>
  </r>
  <r>
    <x v="58"/>
    <x v="40"/>
    <x v="40"/>
    <s v="HSX"/>
    <s v="4530"/>
    <n v="0.70611425612697598"/>
    <n v="0.86222851225395181"/>
    <n v="0.55000000000000004"/>
    <n v="2983800920"/>
    <n v="5.35"/>
    <n v="5"/>
  </r>
  <r>
    <x v="58"/>
    <x v="126"/>
    <x v="126"/>
    <s v="UPCOM"/>
    <s v="8350"/>
    <n v="0.68653052387798541"/>
    <n v="0.82306104775597078"/>
    <n v="0.55000000000000004"/>
    <n v="2093103000"/>
    <n v="38.700000000000003"/>
    <n v="6"/>
  </r>
  <r>
    <x v="58"/>
    <x v="89"/>
    <x v="89"/>
    <s v="HSX"/>
    <s v="8630"/>
    <n v="0.68057478919614933"/>
    <n v="0.96114957839229875"/>
    <n v="0.4"/>
    <n v="622882238200"/>
    <n v="75.7"/>
    <n v="7"/>
  </r>
  <r>
    <x v="58"/>
    <x v="129"/>
    <x v="129"/>
    <s v="HSX"/>
    <s v="2350"/>
    <n v="0.66564300416142386"/>
    <n v="0.88128600832284776"/>
    <n v="0.45"/>
    <n v="177779418000"/>
    <n v="15.4"/>
    <n v="8"/>
  </r>
  <r>
    <x v="58"/>
    <x v="80"/>
    <x v="80"/>
    <s v="HSX"/>
    <s v="8630"/>
    <n v="0.66434391649106495"/>
    <n v="0.97868783298213002"/>
    <n v="0.35"/>
    <n v="7840729580"/>
    <n v="13.85"/>
    <n v="9"/>
  </r>
  <r>
    <x v="58"/>
    <x v="108"/>
    <x v="108"/>
    <s v="UPCOM"/>
    <s v="1350"/>
    <n v="0.66033878593063489"/>
    <n v="0.92067757186126986"/>
    <n v="0.4"/>
    <n v="53774674800"/>
    <n v="25.3"/>
    <n v="10"/>
  </r>
  <r>
    <x v="58"/>
    <x v="67"/>
    <x v="67"/>
    <s v="HSX"/>
    <s v="2730"/>
    <n v="0.65905790992155988"/>
    <n v="0.96811581984311978"/>
    <n v="0.35"/>
    <n v="380453838600"/>
    <n v="35.5"/>
    <n v="11"/>
  </r>
  <r>
    <x v="58"/>
    <x v="86"/>
    <x v="86"/>
    <s v="HNX"/>
    <s v="8780"/>
    <n v="0.63340448670650562"/>
    <n v="0.96680897341301131"/>
    <n v="0.3"/>
    <n v="32101431200"/>
    <n v="24.7"/>
    <n v="12"/>
  </r>
  <r>
    <x v="58"/>
    <x v="135"/>
    <x v="135"/>
    <s v="HSX"/>
    <s v="8630"/>
    <n v="0.63038189277306389"/>
    <n v="0.63038189277306389"/>
    <m/>
    <n v="4057213200"/>
    <n v="25"/>
    <n v="13"/>
  </r>
  <r>
    <x v="58"/>
    <x v="127"/>
    <x v="127"/>
    <s v="HSX"/>
    <s v="2790"/>
    <n v="0.62467398626077297"/>
    <n v="0.84934797252154592"/>
    <n v="0.4"/>
    <n v="19027838000"/>
    <n v="39.799999999999997"/>
    <n v="14"/>
  </r>
  <r>
    <x v="58"/>
    <x v="28"/>
    <x v="28"/>
    <s v="UPCOM"/>
    <s v="2770"/>
    <n v="0.61859951586924267"/>
    <n v="0.73719903173848533"/>
    <n v="0.5"/>
    <n v="7956738600"/>
    <n v="148.5"/>
    <n v="15"/>
  </r>
  <r>
    <x v="58"/>
    <x v="66"/>
    <x v="66"/>
    <s v="HSX"/>
    <s v="8630"/>
    <n v="0.61010574051370936"/>
    <n v="0.92021148102741879"/>
    <n v="0.3"/>
    <n v="4259631560"/>
    <n v="9.57"/>
    <n v="16"/>
  </r>
  <r>
    <x v="58"/>
    <x v="27"/>
    <x v="27"/>
    <s v="HSX"/>
    <s v="3570"/>
    <n v="0.60576310309359749"/>
    <n v="0.81152620618719506"/>
    <n v="0.4"/>
    <n v="37308386500"/>
    <n v="18.100000000000001"/>
    <n v="17"/>
  </r>
  <r>
    <x v="58"/>
    <x v="65"/>
    <x v="65"/>
    <s v="HSX"/>
    <s v="8350"/>
    <n v="0.60252218926639167"/>
    <n v="0.80504437853278321"/>
    <n v="0.4"/>
    <n v="962030475700"/>
    <n v="13.8"/>
    <n v="18"/>
  </r>
  <r>
    <x v="58"/>
    <x v="33"/>
    <x v="33"/>
    <s v="HSX"/>
    <s v="8630"/>
    <n v="0.60229072924816829"/>
    <n v="0.50458145849633662"/>
    <n v="0.7"/>
    <n v="3383289960"/>
    <n v="2.14"/>
    <n v="19"/>
  </r>
  <r>
    <x v="58"/>
    <x v="69"/>
    <x v="69"/>
    <s v="HSX"/>
    <s v="8630"/>
    <n v="0.59773822966636514"/>
    <n v="0.94547645933273028"/>
    <n v="0.25"/>
    <n v="5117270160"/>
    <n v="2.5"/>
    <n v="20"/>
  </r>
  <r>
    <x v="59"/>
    <x v="30"/>
    <x v="30"/>
    <s v="HSX"/>
    <s v="8630"/>
    <n v="0.80969136502443961"/>
    <n v="0.9693827300488792"/>
    <n v="0.65"/>
    <n v="83323092340"/>
    <n v="14.75"/>
    <n v="1"/>
  </r>
  <r>
    <x v="59"/>
    <x v="98"/>
    <x v="98"/>
    <s v="HSX"/>
    <s v="2770"/>
    <n v="0.75548479993578799"/>
    <n v="0.96096959987157593"/>
    <n v="0.55000000000000004"/>
    <n v="119530623400"/>
    <n v="80.400000000000006"/>
    <n v="2"/>
  </r>
  <r>
    <x v="59"/>
    <x v="99"/>
    <x v="99"/>
    <s v="HSX"/>
    <s v="5750"/>
    <n v="0.74626014784467487"/>
    <n v="0.94252029568934981"/>
    <n v="0.55000000000000004"/>
    <n v="103235721000"/>
    <n v="39"/>
    <n v="3"/>
  </r>
  <r>
    <x v="59"/>
    <x v="89"/>
    <x v="89"/>
    <s v="HSX"/>
    <s v="8630"/>
    <n v="0.73579443025372215"/>
    <n v="0.97158886050744431"/>
    <n v="0.5"/>
    <n v="618952599800"/>
    <n v="76.900000000000006"/>
    <n v="4"/>
  </r>
  <r>
    <x v="59"/>
    <x v="126"/>
    <x v="126"/>
    <s v="UPCOM"/>
    <s v="8350"/>
    <n v="0.70214614402843645"/>
    <n v="0.85429228805687296"/>
    <n v="0.55000000000000004"/>
    <n v="2102011800"/>
    <n v="38.799999999999997"/>
    <n v="5"/>
  </r>
  <r>
    <x v="59"/>
    <x v="116"/>
    <x v="116"/>
    <s v="HSX"/>
    <s v="8630"/>
    <n v="0.6817261541608356"/>
    <n v="0.96345230832167117"/>
    <n v="0.4"/>
    <n v="228012590600"/>
    <n v="13.95"/>
    <n v="6"/>
  </r>
  <r>
    <x v="59"/>
    <x v="108"/>
    <x v="108"/>
    <s v="UPCOM"/>
    <s v="1350"/>
    <n v="0.67691658772952634"/>
    <n v="0.90383317545905262"/>
    <n v="0.45"/>
    <n v="54393969000"/>
    <n v="25.4"/>
    <n v="7"/>
  </r>
  <r>
    <x v="59"/>
    <x v="127"/>
    <x v="127"/>
    <s v="HSX"/>
    <s v="2790"/>
    <n v="0.67618363163166362"/>
    <n v="0.85236726326332735"/>
    <n v="0.5"/>
    <n v="19395830000"/>
    <n v="39.6"/>
    <n v="8"/>
  </r>
  <r>
    <x v="59"/>
    <x v="129"/>
    <x v="129"/>
    <s v="HSX"/>
    <s v="2350"/>
    <n v="0.67264533628416867"/>
    <n v="0.84529067256833745"/>
    <n v="0.5"/>
    <n v="183385962500"/>
    <n v="15.55"/>
    <n v="9"/>
  </r>
  <r>
    <x v="59"/>
    <x v="86"/>
    <x v="86"/>
    <s v="HNX"/>
    <s v="8780"/>
    <n v="0.64799563299569374"/>
    <n v="0.94599126599138739"/>
    <n v="0.35"/>
    <n v="32563344200"/>
    <n v="24.5"/>
    <n v="10"/>
  </r>
  <r>
    <x v="59"/>
    <x v="59"/>
    <x v="59"/>
    <s v="HSX"/>
    <s v="7530"/>
    <n v="0.63204094983781478"/>
    <n v="0.71408189967562952"/>
    <n v="0.55000000000000004"/>
    <n v="31389623600"/>
    <n v="15.6"/>
    <n v="11"/>
  </r>
  <r>
    <x v="59"/>
    <x v="27"/>
    <x v="27"/>
    <s v="HSX"/>
    <s v="3570"/>
    <n v="0.62574872758845346"/>
    <n v="0.80149745517690685"/>
    <n v="0.45"/>
    <n v="37168773100"/>
    <n v="18.149999999999999"/>
    <n v="12"/>
  </r>
  <r>
    <x v="59"/>
    <x v="80"/>
    <x v="80"/>
    <s v="HSX"/>
    <s v="8630"/>
    <n v="0.614324988948729"/>
    <n v="0.978649977897458"/>
    <n v="0.25"/>
    <n v="7932774680"/>
    <n v="14.05"/>
    <n v="13"/>
  </r>
  <r>
    <x v="59"/>
    <x v="33"/>
    <x v="33"/>
    <s v="HSX"/>
    <s v="8630"/>
    <n v="0.61249880066193541"/>
    <n v="0.52499760132387074"/>
    <n v="0.7"/>
    <n v="3328445820"/>
    <n v="2.17"/>
    <n v="14"/>
  </r>
  <r>
    <x v="59"/>
    <x v="130"/>
    <x v="130"/>
    <s v="HSX"/>
    <s v="8990"/>
    <n v="0.60883812342985455"/>
    <n v="0.76767624685970903"/>
    <n v="0.45"/>
    <n v="10451028200"/>
    <n v="25.29"/>
    <n v="15"/>
  </r>
  <r>
    <x v="59"/>
    <x v="136"/>
    <x v="136"/>
    <s v="HNX"/>
    <s v="8630"/>
    <n v="0.60872555255646588"/>
    <n v="0.91745110511293171"/>
    <n v="0.3"/>
    <n v="111819990800"/>
    <n v="15.6"/>
    <n v="16"/>
  </r>
  <r>
    <x v="59"/>
    <x v="124"/>
    <x v="124"/>
    <s v="HNX"/>
    <s v="8630"/>
    <n v="0.60536507387933369"/>
    <n v="0.6107301477586673"/>
    <n v="0.6"/>
    <n v="3973354400"/>
    <n v="7.2"/>
    <n v="17"/>
  </r>
  <r>
    <x v="59"/>
    <x v="134"/>
    <x v="134"/>
    <s v="HSX"/>
    <s v="8630"/>
    <n v="0.60032538504700395"/>
    <n v="0.95065077009400789"/>
    <n v="0.25"/>
    <n v="117859966100"/>
    <n v="38.35"/>
    <n v="18"/>
  </r>
  <r>
    <x v="59"/>
    <x v="135"/>
    <x v="135"/>
    <s v="HSX"/>
    <s v="8630"/>
    <n v="0.59616889150149244"/>
    <n v="0.59616889150149244"/>
    <m/>
    <n v="3929806800"/>
    <n v="24.9"/>
    <n v="19"/>
  </r>
  <r>
    <x v="59"/>
    <x v="113"/>
    <x v="113"/>
    <s v="HSX"/>
    <s v="8350"/>
    <n v="0.5940336555130955"/>
    <n v="0.98806731102619105"/>
    <n v="0.2"/>
    <n v="6944522600"/>
    <n v="17"/>
    <n v="20"/>
  </r>
  <r>
    <x v="60"/>
    <x v="30"/>
    <x v="30"/>
    <s v="HSX"/>
    <s v="8630"/>
    <n v="0.83244591451606031"/>
    <n v="0.96489182903212056"/>
    <n v="0.7"/>
    <n v="83758876940"/>
    <n v="14.7"/>
    <n v="1"/>
  </r>
  <r>
    <x v="60"/>
    <x v="89"/>
    <x v="89"/>
    <s v="HSX"/>
    <s v="8630"/>
    <n v="0.73467717939953125"/>
    <n v="0.96935435879906251"/>
    <n v="0.5"/>
    <n v="617562415000"/>
    <n v="77.599999999999994"/>
    <n v="2"/>
  </r>
  <r>
    <x v="60"/>
    <x v="67"/>
    <x v="67"/>
    <s v="HSX"/>
    <s v="2730"/>
    <n v="0.72877006592361027"/>
    <n v="0.95754013184722042"/>
    <n v="0.5"/>
    <n v="395926066400"/>
    <n v="35.450000000000003"/>
    <n v="3"/>
  </r>
  <r>
    <x v="60"/>
    <x v="98"/>
    <x v="98"/>
    <s v="HSX"/>
    <s v="2770"/>
    <n v="0.72078902049905158"/>
    <n v="0.94157804099810316"/>
    <n v="0.5"/>
    <n v="122804435800"/>
    <n v="78"/>
    <n v="4"/>
  </r>
  <r>
    <x v="60"/>
    <x v="116"/>
    <x v="116"/>
    <s v="HSX"/>
    <s v="8630"/>
    <n v="0.7100526423431518"/>
    <n v="0.97010528468630353"/>
    <n v="0.45"/>
    <n v="241594177800"/>
    <n v="14.15"/>
    <n v="5"/>
  </r>
  <r>
    <x v="60"/>
    <x v="136"/>
    <x v="136"/>
    <s v="HNX"/>
    <s v="8630"/>
    <n v="0.71001525107078556"/>
    <n v="0.97003050214157116"/>
    <n v="0.45"/>
    <n v="117357878000"/>
    <n v="16.5"/>
    <n v="6"/>
  </r>
  <r>
    <x v="60"/>
    <x v="108"/>
    <x v="108"/>
    <s v="UPCOM"/>
    <s v="1350"/>
    <n v="0.67227343716927646"/>
    <n v="0.84454687433855302"/>
    <n v="0.5"/>
    <n v="55094147400"/>
    <n v="24.8"/>
    <n v="7"/>
  </r>
  <r>
    <x v="60"/>
    <x v="80"/>
    <x v="80"/>
    <s v="HSX"/>
    <s v="8630"/>
    <n v="0.67059292243695368"/>
    <n v="0.99118584487390737"/>
    <n v="0.35"/>
    <n v="8295506880"/>
    <n v="14.7"/>
    <n v="8"/>
  </r>
  <r>
    <x v="60"/>
    <x v="126"/>
    <x v="126"/>
    <s v="UPCOM"/>
    <s v="8350"/>
    <n v="0.6690171349415559"/>
    <n v="0.83803426988311169"/>
    <n v="0.5"/>
    <n v="2105293600"/>
    <n v="38.700000000000003"/>
    <n v="9"/>
  </r>
  <r>
    <x v="60"/>
    <x v="86"/>
    <x v="86"/>
    <s v="HNX"/>
    <s v="8780"/>
    <n v="0.65196455311771717"/>
    <n v="0.95392910623543437"/>
    <n v="0.35"/>
    <n v="33377631200"/>
    <n v="24.7"/>
    <n v="10"/>
  </r>
  <r>
    <x v="60"/>
    <x v="127"/>
    <x v="127"/>
    <s v="HSX"/>
    <s v="2790"/>
    <n v="0.64310429418364445"/>
    <n v="0.78620858836728891"/>
    <n v="0.5"/>
    <n v="19736865800"/>
    <n v="38.75"/>
    <n v="11"/>
  </r>
  <r>
    <x v="60"/>
    <x v="27"/>
    <x v="27"/>
    <s v="HSX"/>
    <s v="3570"/>
    <n v="0.63183025774327861"/>
    <n v="0.81366051548655716"/>
    <n v="0.45"/>
    <n v="37150378500"/>
    <n v="18.2"/>
    <n v="12"/>
  </r>
  <r>
    <x v="60"/>
    <x v="99"/>
    <x v="99"/>
    <s v="HSX"/>
    <s v="5750"/>
    <n v="0.62292343892786839"/>
    <n v="0.89584687785573691"/>
    <n v="0.35"/>
    <n v="104059667800"/>
    <n v="37.65"/>
    <n v="13"/>
  </r>
  <r>
    <x v="60"/>
    <x v="65"/>
    <x v="65"/>
    <s v="HSX"/>
    <s v="8350"/>
    <n v="0.61982826189023699"/>
    <n v="0.78965652378047402"/>
    <n v="0.45"/>
    <n v="956958714200"/>
    <n v="13.55"/>
    <n v="14"/>
  </r>
  <r>
    <x v="60"/>
    <x v="130"/>
    <x v="130"/>
    <s v="HSX"/>
    <s v="8990"/>
    <n v="0.61276930546645569"/>
    <n v="0.77553861093291143"/>
    <n v="0.45"/>
    <n v="10871377400"/>
    <n v="24.8"/>
    <n v="15"/>
  </r>
  <r>
    <x v="60"/>
    <x v="59"/>
    <x v="59"/>
    <s v="HSX"/>
    <s v="7530"/>
    <n v="0.5942211796939364"/>
    <n v="0.78844235938787277"/>
    <n v="0.4"/>
    <n v="31738229000"/>
    <n v="15.75"/>
    <n v="16"/>
  </r>
  <r>
    <x v="60"/>
    <x v="84"/>
    <x v="84"/>
    <s v="HSX"/>
    <s v="2350"/>
    <n v="0.59115456950109224"/>
    <n v="0.98230913900218442"/>
    <n v="0.2"/>
    <n v="55511772700"/>
    <n v="68.7"/>
    <n v="17"/>
  </r>
  <r>
    <x v="60"/>
    <x v="129"/>
    <x v="129"/>
    <s v="HSX"/>
    <s v="2350"/>
    <n v="0.57980829128180023"/>
    <n v="0.80961658256360047"/>
    <n v="0.35"/>
    <n v="187378317300"/>
    <n v="15.4"/>
    <n v="18"/>
  </r>
  <r>
    <x v="60"/>
    <x v="124"/>
    <x v="124"/>
    <s v="HNX"/>
    <s v="8630"/>
    <n v="0.57884245175831506"/>
    <n v="0.50768490351663009"/>
    <n v="0.65"/>
    <n v="3992973800"/>
    <n v="6.9"/>
    <n v="19"/>
  </r>
  <r>
    <x v="60"/>
    <x v="137"/>
    <x v="137"/>
    <s v="HSX"/>
    <s v="8630"/>
    <n v="0.57642629686874369"/>
    <n v="0.90285259373748739"/>
    <n v="0.25"/>
    <n v="330175002600"/>
    <n v="27.5"/>
    <n v="20"/>
  </r>
  <r>
    <x v="61"/>
    <x v="30"/>
    <x v="30"/>
    <s v="HSX"/>
    <s v="8630"/>
    <n v="0.78795993930106079"/>
    <n v="0.97591987860212148"/>
    <n v="0.6"/>
    <n v="85527518600"/>
    <n v="15.15"/>
    <n v="1"/>
  </r>
  <r>
    <x v="61"/>
    <x v="89"/>
    <x v="89"/>
    <s v="HSX"/>
    <s v="8630"/>
    <n v="0.75349773664339526"/>
    <n v="0.95699547328679058"/>
    <n v="0.55000000000000004"/>
    <n v="613411884000"/>
    <n v="77"/>
    <n v="2"/>
  </r>
  <r>
    <x v="61"/>
    <x v="127"/>
    <x v="127"/>
    <s v="HSX"/>
    <s v="2790"/>
    <n v="0.72212244451629704"/>
    <n v="0.94424488903259396"/>
    <n v="0.5"/>
    <n v="20667733200"/>
    <n v="41.45"/>
    <n v="3"/>
  </r>
  <r>
    <x v="61"/>
    <x v="22"/>
    <x v="22"/>
    <s v="HSX"/>
    <s v="8630"/>
    <n v="0.71565277173860475"/>
    <n v="0.83130554347720942"/>
    <n v="0.6"/>
    <n v="18020410480"/>
    <n v="6.64"/>
    <n v="4"/>
  </r>
  <r>
    <x v="61"/>
    <x v="129"/>
    <x v="129"/>
    <s v="HSX"/>
    <s v="2350"/>
    <n v="0.71087143765609151"/>
    <n v="0.87174287531218297"/>
    <n v="0.55000000000000004"/>
    <n v="189388694400"/>
    <n v="15.8"/>
    <n v="5"/>
  </r>
  <r>
    <x v="61"/>
    <x v="116"/>
    <x v="116"/>
    <s v="HSX"/>
    <s v="8630"/>
    <n v="0.70943598858985091"/>
    <n v="0.96887197717970175"/>
    <n v="0.45"/>
    <n v="247120074900"/>
    <n v="14.55"/>
    <n v="6"/>
  </r>
  <r>
    <x v="61"/>
    <x v="67"/>
    <x v="67"/>
    <s v="HSX"/>
    <s v="2730"/>
    <n v="0.68953494631071588"/>
    <n v="0.9290698926214318"/>
    <n v="0.45"/>
    <n v="399341318000"/>
    <n v="35"/>
    <n v="7"/>
  </r>
  <r>
    <x v="61"/>
    <x v="108"/>
    <x v="108"/>
    <s v="UPCOM"/>
    <s v="1350"/>
    <n v="0.68369169056676204"/>
    <n v="0.91738338113352402"/>
    <n v="0.45"/>
    <n v="56914517200"/>
    <n v="25.7"/>
    <n v="8"/>
  </r>
  <r>
    <x v="61"/>
    <x v="126"/>
    <x v="126"/>
    <s v="UPCOM"/>
    <s v="8350"/>
    <n v="0.67591726048954404"/>
    <n v="0.85183452097908796"/>
    <n v="0.5"/>
    <n v="2109854600"/>
    <n v="38.5"/>
    <n v="9"/>
  </r>
  <r>
    <x v="61"/>
    <x v="59"/>
    <x v="59"/>
    <s v="HSX"/>
    <s v="7530"/>
    <n v="0.67225134935114372"/>
    <n v="0.94450269870228742"/>
    <n v="0.4"/>
    <n v="33225311100"/>
    <n v="16.850000000000001"/>
    <n v="10"/>
  </r>
  <r>
    <x v="61"/>
    <x v="136"/>
    <x v="136"/>
    <s v="HNX"/>
    <s v="8630"/>
    <n v="0.66975598672448888"/>
    <n v="0.98951197344897779"/>
    <n v="0.35"/>
    <n v="125151706000"/>
    <n v="17.899999999999999"/>
    <n v="11"/>
  </r>
  <r>
    <x v="61"/>
    <x v="124"/>
    <x v="124"/>
    <s v="HNX"/>
    <s v="8630"/>
    <n v="0.66624579065108136"/>
    <n v="0.6824915813021627"/>
    <n v="0.65"/>
    <n v="4144865000"/>
    <n v="7.2"/>
    <n v="12"/>
  </r>
  <r>
    <x v="61"/>
    <x v="37"/>
    <x v="37"/>
    <s v="HSX"/>
    <s v="3570"/>
    <n v="0.66238305888382532"/>
    <n v="0.9247661177676505"/>
    <n v="0.4"/>
    <n v="29323309100"/>
    <n v="28.35"/>
    <n v="13"/>
  </r>
  <r>
    <x v="61"/>
    <x v="65"/>
    <x v="65"/>
    <s v="HSX"/>
    <s v="8350"/>
    <n v="0.64146071656671166"/>
    <n v="0.78292143313342333"/>
    <n v="0.5"/>
    <n v="955654714000"/>
    <n v="13.7"/>
    <n v="14"/>
  </r>
  <r>
    <x v="61"/>
    <x v="84"/>
    <x v="84"/>
    <s v="HSX"/>
    <s v="2350"/>
    <n v="0.63722435996904758"/>
    <n v="0.97444871993809523"/>
    <n v="0.3"/>
    <n v="56535033700"/>
    <n v="68.7"/>
    <n v="15"/>
  </r>
  <r>
    <x v="61"/>
    <x v="49"/>
    <x v="49"/>
    <s v="HSX"/>
    <s v="8780"/>
    <n v="0.63428699717405757"/>
    <n v="0.81857399434811506"/>
    <n v="0.45"/>
    <n v="331221408700"/>
    <n v="16.350000000000001"/>
    <n v="16"/>
  </r>
  <r>
    <x v="61"/>
    <x v="122"/>
    <x v="122"/>
    <s v="HNX"/>
    <s v="2350"/>
    <n v="0.62111087003224119"/>
    <n v="0.84222174006448225"/>
    <n v="0.4"/>
    <n v="6335306200"/>
    <n v="32.4"/>
    <n v="17"/>
  </r>
  <r>
    <x v="61"/>
    <x v="99"/>
    <x v="99"/>
    <s v="HSX"/>
    <s v="5750"/>
    <n v="0.62095355514240058"/>
    <n v="0.89190711028480119"/>
    <n v="0.35"/>
    <n v="105903534800"/>
    <n v="37.950000000000003"/>
    <n v="18"/>
  </r>
  <r>
    <x v="61"/>
    <x v="39"/>
    <x v="39"/>
    <s v="HSX"/>
    <s v="8630"/>
    <n v="0.61739116897418378"/>
    <n v="0.83478233794836754"/>
    <n v="0.4"/>
    <n v="173025271100"/>
    <n v="20.399999999999999"/>
    <n v="19"/>
  </r>
  <r>
    <x v="61"/>
    <x v="138"/>
    <x v="138"/>
    <s v="HSX"/>
    <s v="8630"/>
    <n v="0.61541689053096205"/>
    <n v="0.78083378106192403"/>
    <n v="0.45"/>
    <n v="2557383920"/>
    <n v="4.68"/>
    <n v="20"/>
  </r>
  <r>
    <x v="62"/>
    <x v="30"/>
    <x v="30"/>
    <s v="HSX"/>
    <s v="8630"/>
    <n v="0.81070249188715748"/>
    <n v="0.97140498377431483"/>
    <n v="0.65"/>
    <n v="87138877100"/>
    <n v="15.15"/>
    <n v="1"/>
  </r>
  <r>
    <x v="62"/>
    <x v="89"/>
    <x v="89"/>
    <s v="HSX"/>
    <s v="8630"/>
    <n v="0.77872486665179541"/>
    <n v="0.95744973330359096"/>
    <n v="0.6"/>
    <n v="608088446100"/>
    <n v="77.599999999999994"/>
    <n v="2"/>
  </r>
  <r>
    <x v="62"/>
    <x v="49"/>
    <x v="49"/>
    <s v="HSX"/>
    <s v="8780"/>
    <n v="0.74836043126225027"/>
    <n v="0.94672086252450061"/>
    <n v="0.55000000000000004"/>
    <n v="350252126600"/>
    <n v="17.45"/>
    <n v="3"/>
  </r>
  <r>
    <x v="62"/>
    <x v="139"/>
    <x v="139"/>
    <s v="HNX"/>
    <s v="0570"/>
    <n v="0.72212045675301217"/>
    <n v="0.54424091350602444"/>
    <n v="0.9"/>
    <n v="4911081400"/>
    <n v="29.2"/>
    <n v="4"/>
  </r>
  <r>
    <x v="62"/>
    <x v="127"/>
    <x v="127"/>
    <s v="HSX"/>
    <s v="2790"/>
    <n v="0.71698768780119293"/>
    <n v="0.8839753756023857"/>
    <n v="0.55000000000000004"/>
    <n v="21025772700"/>
    <n v="40.950000000000003"/>
    <n v="5"/>
  </r>
  <r>
    <x v="62"/>
    <x v="126"/>
    <x v="126"/>
    <s v="UPCOM"/>
    <s v="8350"/>
    <n v="0.70189439859712932"/>
    <n v="0.85378879719425849"/>
    <n v="0.55000000000000004"/>
    <n v="2116190600"/>
    <n v="39"/>
    <n v="6"/>
  </r>
  <r>
    <x v="62"/>
    <x v="67"/>
    <x v="67"/>
    <s v="HSX"/>
    <s v="2730"/>
    <n v="0.70067229519541785"/>
    <n v="0.95134459039083574"/>
    <n v="0.45"/>
    <n v="406092868800"/>
    <n v="35.9"/>
    <n v="7"/>
  </r>
  <r>
    <x v="62"/>
    <x v="48"/>
    <x v="48"/>
    <s v="HNX"/>
    <s v="8770"/>
    <n v="0.69395296469633838"/>
    <n v="0.88790592939267676"/>
    <n v="0.5"/>
    <n v="2690125600"/>
    <n v="14.5"/>
    <n v="8"/>
  </r>
  <r>
    <x v="62"/>
    <x v="98"/>
    <x v="98"/>
    <s v="HSX"/>
    <s v="2770"/>
    <n v="0.68676850725293326"/>
    <n v="0.92353701450586656"/>
    <n v="0.45"/>
    <n v="127241015400"/>
    <n v="78"/>
    <n v="9"/>
  </r>
  <r>
    <x v="62"/>
    <x v="22"/>
    <x v="22"/>
    <s v="HSX"/>
    <s v="8630"/>
    <n v="0.68105380221487966"/>
    <n v="0.91210760442975936"/>
    <n v="0.45"/>
    <n v="18952563040"/>
    <n v="6.9"/>
    <n v="10"/>
  </r>
  <r>
    <x v="62"/>
    <x v="109"/>
    <x v="109"/>
    <s v="UPCOM"/>
    <s v="2790"/>
    <n v="0.66624651574304172"/>
    <n v="0.88249303148608338"/>
    <n v="0.45"/>
    <n v="5756781400"/>
    <n v="231.5"/>
    <n v="11"/>
  </r>
  <r>
    <x v="62"/>
    <x v="116"/>
    <x v="116"/>
    <s v="HSX"/>
    <s v="8630"/>
    <n v="0.64485119014139847"/>
    <n v="0.93970238028279707"/>
    <n v="0.35"/>
    <n v="255641943700"/>
    <n v="14.2"/>
    <n v="12"/>
  </r>
  <r>
    <x v="62"/>
    <x v="122"/>
    <x v="122"/>
    <s v="HNX"/>
    <s v="2350"/>
    <n v="0.63314899403834346"/>
    <n v="0.81629798807668696"/>
    <n v="0.45"/>
    <n v="6204315000"/>
    <n v="32.4"/>
    <n v="13"/>
  </r>
  <r>
    <x v="62"/>
    <x v="12"/>
    <x v="12"/>
    <s v="UPCOM"/>
    <s v="8780"/>
    <n v="0.63306694392537977"/>
    <n v="0.91613388785075955"/>
    <n v="0.35"/>
    <n v="5112033800"/>
    <n v="9.3000000000000007"/>
    <n v="14"/>
  </r>
  <r>
    <x v="62"/>
    <x v="86"/>
    <x v="86"/>
    <s v="HNX"/>
    <s v="8780"/>
    <n v="0.62490167602253555"/>
    <n v="0.94980335204507116"/>
    <n v="0.3"/>
    <n v="36127683000"/>
    <n v="24.8"/>
    <n v="15"/>
  </r>
  <r>
    <x v="62"/>
    <x v="108"/>
    <x v="108"/>
    <s v="UPCOM"/>
    <s v="1350"/>
    <n v="0.6236005840079315"/>
    <n v="0.89720116801586292"/>
    <n v="0.35"/>
    <n v="57296387200"/>
    <n v="25.9"/>
    <n v="16"/>
  </r>
  <r>
    <x v="62"/>
    <x v="129"/>
    <x v="129"/>
    <s v="HSX"/>
    <s v="2350"/>
    <n v="0.62199655112567143"/>
    <n v="0.84399310225134283"/>
    <n v="0.4"/>
    <n v="194287773100"/>
    <n v="15.6"/>
    <n v="17"/>
  </r>
  <r>
    <x v="62"/>
    <x v="65"/>
    <x v="65"/>
    <s v="HSX"/>
    <s v="8350"/>
    <n v="0.62180277276593388"/>
    <n v="0.84360554553186762"/>
    <n v="0.4"/>
    <n v="966102128700"/>
    <n v="13.9"/>
    <n v="18"/>
  </r>
  <r>
    <x v="62"/>
    <x v="104"/>
    <x v="104"/>
    <s v="HSX"/>
    <s v="1750"/>
    <n v="0.62158685140148529"/>
    <n v="0.89317370280297048"/>
    <n v="0.35"/>
    <n v="8442615020"/>
    <n v="11.3"/>
    <n v="19"/>
  </r>
  <r>
    <x v="62"/>
    <x v="136"/>
    <x v="136"/>
    <s v="HNX"/>
    <s v="8630"/>
    <n v="0.6209013556354519"/>
    <n v="0.99180271127090391"/>
    <n v="0.25"/>
    <n v="133853741200"/>
    <n v="18.399999999999999"/>
    <n v="20"/>
  </r>
  <r>
    <x v="63"/>
    <x v="89"/>
    <x v="89"/>
    <s v="HSX"/>
    <s v="8630"/>
    <n v="0.80125650602884568"/>
    <n v="0.95251301205769123"/>
    <n v="0.65"/>
    <n v="605414605900"/>
    <n v="77.099999999999994"/>
    <n v="1"/>
  </r>
  <r>
    <x v="63"/>
    <x v="140"/>
    <x v="140"/>
    <s v="UPCOM"/>
    <s v="2350"/>
    <n v="0.79606883070991497"/>
    <n v="0.99213766141982995"/>
    <n v="0.6"/>
    <n v="3392070000"/>
    <n v="9.6"/>
    <n v="2"/>
  </r>
  <r>
    <x v="63"/>
    <x v="33"/>
    <x v="33"/>
    <s v="HSX"/>
    <s v="8630"/>
    <n v="0.74944458314087226"/>
    <n v="0.74888916628174451"/>
    <n v="0.75"/>
    <n v="3695686140"/>
    <n v="2.2799999999999998"/>
    <n v="3"/>
  </r>
  <r>
    <x v="63"/>
    <x v="30"/>
    <x v="30"/>
    <s v="HSX"/>
    <s v="8630"/>
    <n v="0.72743240790828079"/>
    <n v="0.95486481581656146"/>
    <n v="0.5"/>
    <n v="89056750100"/>
    <n v="14.8"/>
    <n v="4"/>
  </r>
  <r>
    <x v="63"/>
    <x v="67"/>
    <x v="67"/>
    <s v="HSX"/>
    <s v="2730"/>
    <n v="0.70550727434001193"/>
    <n v="0.96101454868002389"/>
    <n v="0.45"/>
    <n v="408144432400"/>
    <n v="37"/>
    <n v="5"/>
  </r>
  <r>
    <x v="63"/>
    <x v="126"/>
    <x v="126"/>
    <s v="UPCOM"/>
    <s v="8350"/>
    <n v="0.70329982825043813"/>
    <n v="0.85659965650087611"/>
    <n v="0.55000000000000004"/>
    <n v="2119836200"/>
    <n v="38.799999999999997"/>
    <n v="6"/>
  </r>
  <r>
    <x v="63"/>
    <x v="108"/>
    <x v="108"/>
    <s v="UPCOM"/>
    <s v="1350"/>
    <n v="0.69937265870457743"/>
    <n v="0.89874531740915475"/>
    <n v="0.5"/>
    <n v="57661525600"/>
    <n v="25.7"/>
    <n v="7"/>
  </r>
  <r>
    <x v="63"/>
    <x v="65"/>
    <x v="65"/>
    <s v="HSX"/>
    <s v="8350"/>
    <n v="0.69671644627880414"/>
    <n v="0.79343289255760829"/>
    <n v="0.6"/>
    <n v="962168390500"/>
    <n v="13.8"/>
    <n v="8"/>
  </r>
  <r>
    <x v="63"/>
    <x v="61"/>
    <x v="61"/>
    <s v="HSX"/>
    <s v="8630"/>
    <n v="0.67811950493883466"/>
    <n v="0.9562390098776693"/>
    <n v="0.4"/>
    <n v="581730846400"/>
    <n v="98.1"/>
    <n v="9"/>
  </r>
  <r>
    <x v="63"/>
    <x v="49"/>
    <x v="49"/>
    <s v="HSX"/>
    <s v="8780"/>
    <n v="0.6733681559162904"/>
    <n v="0.89673631183258073"/>
    <n v="0.45"/>
    <n v="350937780900"/>
    <n v="17.3"/>
    <n v="10"/>
  </r>
  <r>
    <x v="63"/>
    <x v="139"/>
    <x v="139"/>
    <s v="HNX"/>
    <s v="0570"/>
    <n v="0.66962836622283561"/>
    <n v="0.48925673244567119"/>
    <n v="0.85"/>
    <n v="4945430200"/>
    <n v="29.2"/>
    <n v="11"/>
  </r>
  <r>
    <x v="63"/>
    <x v="141"/>
    <x v="141"/>
    <s v="HSX"/>
    <s v="8350"/>
    <n v="0.66090015223315657"/>
    <n v="0.97180030446631305"/>
    <n v="0.35"/>
    <n v="220566129700"/>
    <n v="24.65"/>
    <n v="12"/>
  </r>
  <r>
    <x v="63"/>
    <x v="142"/>
    <x v="142"/>
    <s v="UPCOM"/>
    <s v="2350"/>
    <n v="0.65859197930187863"/>
    <n v="0.81718395860375737"/>
    <n v="0.5"/>
    <n v="7246942200"/>
    <n v="8.3000000000000007"/>
    <n v="13"/>
  </r>
  <r>
    <x v="63"/>
    <x v="127"/>
    <x v="127"/>
    <s v="HSX"/>
    <s v="2790"/>
    <n v="0.65637391250626087"/>
    <n v="0.91274782501252172"/>
    <n v="0.4"/>
    <n v="21651924300"/>
    <n v="42.1"/>
    <n v="14"/>
  </r>
  <r>
    <x v="63"/>
    <x v="143"/>
    <x v="143"/>
    <s v="HSX"/>
    <s v="8630"/>
    <n v="0.65023762607299807"/>
    <n v="0.90047525214599622"/>
    <n v="0.4"/>
    <n v="38302813600"/>
    <n v="19"/>
    <n v="15"/>
  </r>
  <r>
    <x v="63"/>
    <x v="129"/>
    <x v="129"/>
    <s v="HSX"/>
    <s v="2350"/>
    <n v="0.64262562326621242"/>
    <n v="0.83525124653242488"/>
    <n v="0.45"/>
    <n v="198158973100"/>
    <n v="15.6"/>
    <n v="16"/>
  </r>
  <r>
    <x v="63"/>
    <x v="104"/>
    <x v="104"/>
    <s v="HSX"/>
    <s v="1750"/>
    <n v="0.64070997584255929"/>
    <n v="0.88141995168511855"/>
    <n v="0.4"/>
    <n v="8477941820"/>
    <n v="11.3"/>
    <n v="17"/>
  </r>
  <r>
    <x v="63"/>
    <x v="48"/>
    <x v="48"/>
    <s v="HNX"/>
    <s v="8770"/>
    <n v="0.6400631998695181"/>
    <n v="0.93012639973903632"/>
    <n v="0.35"/>
    <n v="2806615000"/>
    <n v="14.9"/>
    <n v="18"/>
  </r>
  <r>
    <x v="63"/>
    <x v="28"/>
    <x v="28"/>
    <s v="UPCOM"/>
    <s v="2770"/>
    <n v="0.62583579777938259"/>
    <n v="0.70167159555876513"/>
    <n v="0.55000000000000004"/>
    <n v="8216097000"/>
    <n v="155"/>
    <n v="19"/>
  </r>
  <r>
    <x v="63"/>
    <x v="144"/>
    <x v="144"/>
    <s v="HSX"/>
    <s v="8630"/>
    <n v="0.62168705673760727"/>
    <n v="0.9433741134752146"/>
    <n v="0.3"/>
    <n v="2241620260"/>
    <n v="8.51"/>
    <n v="20"/>
  </r>
  <r>
    <x v="64"/>
    <x v="89"/>
    <x v="89"/>
    <s v="HSX"/>
    <s v="8630"/>
    <n v="0.8230429582333687"/>
    <n v="0.94608591646673734"/>
    <n v="0.7"/>
    <n v="600338287400"/>
    <n v="76.8"/>
    <n v="1"/>
  </r>
  <r>
    <x v="64"/>
    <x v="140"/>
    <x v="140"/>
    <s v="UPCOM"/>
    <s v="2350"/>
    <n v="0.7963768802020843"/>
    <n v="0.99275376040416852"/>
    <n v="0.6"/>
    <n v="3765531400"/>
    <n v="9.6999999999999993"/>
    <n v="2"/>
  </r>
  <r>
    <x v="64"/>
    <x v="126"/>
    <x v="126"/>
    <s v="UPCOM"/>
    <s v="8350"/>
    <n v="0.71724450137543938"/>
    <n v="0.88448900275087883"/>
    <n v="0.55000000000000004"/>
    <n v="2125618200"/>
    <n v="39"/>
    <n v="3"/>
  </r>
  <r>
    <x v="64"/>
    <x v="67"/>
    <x v="67"/>
    <s v="HSX"/>
    <s v="2730"/>
    <n v="0.69778949085010888"/>
    <n v="0.94557898170021781"/>
    <n v="0.45"/>
    <n v="411534416400"/>
    <n v="36.5"/>
    <n v="4"/>
  </r>
  <r>
    <x v="64"/>
    <x v="108"/>
    <x v="108"/>
    <s v="UPCOM"/>
    <s v="1350"/>
    <n v="0.68821039642652115"/>
    <n v="0.87642079285304231"/>
    <n v="0.5"/>
    <n v="58526867200"/>
    <n v="25.4"/>
    <n v="5"/>
  </r>
  <r>
    <x v="64"/>
    <x v="33"/>
    <x v="33"/>
    <s v="HSX"/>
    <s v="8630"/>
    <n v="0.68658134931934156"/>
    <n v="0.67316269863868328"/>
    <n v="0.7"/>
    <n v="3795780140"/>
    <n v="2.2400000000000002"/>
    <n v="6"/>
  </r>
  <r>
    <x v="64"/>
    <x v="142"/>
    <x v="142"/>
    <s v="UPCOM"/>
    <s v="2350"/>
    <n v="0.68081475946330205"/>
    <n v="0.86162951892660411"/>
    <n v="0.5"/>
    <n v="7627521200"/>
    <n v="8.5"/>
    <n v="7"/>
  </r>
  <r>
    <x v="64"/>
    <x v="70"/>
    <x v="70"/>
    <s v="HSX"/>
    <s v="8350"/>
    <n v="0.6737632469706758"/>
    <n v="0.94752649394135169"/>
    <n v="0.4"/>
    <n v="15901989000"/>
    <n v="13.7"/>
    <n v="8"/>
  </r>
  <r>
    <x v="64"/>
    <x v="61"/>
    <x v="61"/>
    <s v="HSX"/>
    <s v="8630"/>
    <n v="0.67137602045281852"/>
    <n v="0.94275204090563702"/>
    <n v="0.4"/>
    <n v="580361368400"/>
    <n v="98"/>
    <n v="9"/>
  </r>
  <r>
    <x v="64"/>
    <x v="116"/>
    <x v="116"/>
    <s v="HSX"/>
    <s v="8630"/>
    <n v="0.66197833690423979"/>
    <n v="0.92395667380847946"/>
    <n v="0.4"/>
    <n v="267943594400"/>
    <n v="14.3"/>
    <n v="10"/>
  </r>
  <r>
    <x v="64"/>
    <x v="80"/>
    <x v="80"/>
    <s v="HSX"/>
    <s v="8630"/>
    <n v="0.64073414013255026"/>
    <n v="0.98146828026510058"/>
    <n v="0.3"/>
    <n v="9131153680"/>
    <n v="14.7"/>
    <n v="11"/>
  </r>
  <r>
    <x v="64"/>
    <x v="145"/>
    <x v="145"/>
    <s v="HSX"/>
    <s v="7530"/>
    <n v="0.64042832463947774"/>
    <n v="0.88085664927895546"/>
    <n v="0.4"/>
    <n v="58676651000"/>
    <n v="77.3"/>
    <n v="12"/>
  </r>
  <r>
    <x v="64"/>
    <x v="64"/>
    <x v="64"/>
    <s v="HSX"/>
    <s v="8630"/>
    <n v="0.63654824770797813"/>
    <n v="0.97309649541595622"/>
    <n v="0.3"/>
    <n v="14003534640"/>
    <n v="8.2899999999999991"/>
    <n v="13"/>
  </r>
  <r>
    <x v="64"/>
    <x v="49"/>
    <x v="49"/>
    <s v="HSX"/>
    <s v="8780"/>
    <n v="0.63588727362579256"/>
    <n v="0.87177454725158499"/>
    <n v="0.4"/>
    <n v="346117210900"/>
    <n v="17.100000000000001"/>
    <n v="14"/>
  </r>
  <r>
    <x v="64"/>
    <x v="120"/>
    <x v="120"/>
    <s v="HNX"/>
    <s v="1350"/>
    <n v="0.62714281944924666"/>
    <n v="0.80428563889849336"/>
    <n v="0.45"/>
    <n v="11028837400"/>
    <n v="27.7"/>
    <n v="15"/>
  </r>
  <r>
    <x v="64"/>
    <x v="30"/>
    <x v="30"/>
    <s v="HSX"/>
    <s v="8630"/>
    <n v="0.61905223278318466"/>
    <n v="0.93810446556636939"/>
    <n v="0.3"/>
    <n v="91792028500"/>
    <n v="14.7"/>
    <n v="16"/>
  </r>
  <r>
    <x v="64"/>
    <x v="129"/>
    <x v="129"/>
    <s v="HSX"/>
    <s v="2350"/>
    <n v="0.6178193957684508"/>
    <n v="0.83563879153690146"/>
    <n v="0.4"/>
    <n v="203210295000"/>
    <n v="15.55"/>
    <n v="17"/>
  </r>
  <r>
    <x v="64"/>
    <x v="141"/>
    <x v="141"/>
    <s v="HSX"/>
    <s v="8350"/>
    <n v="0.61557851739045621"/>
    <n v="0.93115703478091238"/>
    <n v="0.3"/>
    <n v="221758703900"/>
    <n v="24.3"/>
    <n v="18"/>
  </r>
  <r>
    <x v="64"/>
    <x v="127"/>
    <x v="127"/>
    <s v="HSX"/>
    <s v="2790"/>
    <n v="0.61321920921247397"/>
    <n v="0.92643841842494801"/>
    <n v="0.3"/>
    <n v="22474841500"/>
    <n v="42.3"/>
    <n v="19"/>
  </r>
  <r>
    <x v="64"/>
    <x v="146"/>
    <x v="146"/>
    <s v="HSX"/>
    <s v="2770"/>
    <n v="0.61016034625393101"/>
    <n v="0.67032069250786197"/>
    <n v="0.55000000000000004"/>
    <n v="2769899500"/>
    <n v="15.2"/>
    <n v="20"/>
  </r>
  <r>
    <x v="65"/>
    <x v="89"/>
    <x v="89"/>
    <s v="HSX"/>
    <s v="8630"/>
    <n v="0.84467543474676354"/>
    <n v="0.9393508694935272"/>
    <n v="0.75"/>
    <n v="594248152800"/>
    <n v="76"/>
    <n v="1"/>
  </r>
  <r>
    <x v="65"/>
    <x v="140"/>
    <x v="140"/>
    <s v="UPCOM"/>
    <s v="2350"/>
    <n v="0.82127969248348609"/>
    <n v="0.99255938496697216"/>
    <n v="0.65"/>
    <n v="4031948600"/>
    <n v="9.6"/>
    <n v="2"/>
  </r>
  <r>
    <x v="65"/>
    <x v="52"/>
    <x v="52"/>
    <s v="HSX"/>
    <s v="2350"/>
    <n v="0.72929396770571153"/>
    <n v="0.75858793541142322"/>
    <n v="0.7"/>
    <n v="29373478500"/>
    <n v="21.55"/>
    <n v="3"/>
  </r>
  <r>
    <x v="65"/>
    <x v="142"/>
    <x v="142"/>
    <s v="UPCOM"/>
    <s v="2350"/>
    <n v="0.72796261196374112"/>
    <n v="0.80592522392748223"/>
    <n v="0.65"/>
    <n v="7772219600"/>
    <n v="8.4"/>
    <n v="4"/>
  </r>
  <r>
    <x v="65"/>
    <x v="127"/>
    <x v="127"/>
    <s v="HSX"/>
    <s v="2790"/>
    <n v="0.70176477802948356"/>
    <n v="0.85352955605896708"/>
    <n v="0.55000000000000004"/>
    <n v="23321675500"/>
    <n v="40.4"/>
    <n v="5"/>
  </r>
  <r>
    <x v="65"/>
    <x v="61"/>
    <x v="61"/>
    <s v="HSX"/>
    <s v="8630"/>
    <n v="0.69595629610589516"/>
    <n v="0.94191259221179036"/>
    <n v="0.45"/>
    <n v="572550222400"/>
    <n v="97"/>
    <n v="6"/>
  </r>
  <r>
    <x v="65"/>
    <x v="51"/>
    <x v="51"/>
    <s v="HSX"/>
    <s v="2350"/>
    <n v="0.67026579000474173"/>
    <n v="0.89053158000948351"/>
    <n v="0.45"/>
    <n v="4169293280"/>
    <n v="10.85"/>
    <n v="7"/>
  </r>
  <r>
    <x v="65"/>
    <x v="136"/>
    <x v="136"/>
    <s v="HNX"/>
    <s v="8630"/>
    <n v="0.66897465938947831"/>
    <n v="0.98794931877895675"/>
    <n v="0.35"/>
    <n v="159204610600"/>
    <n v="18.100000000000001"/>
    <n v="8"/>
  </r>
  <r>
    <x v="65"/>
    <x v="67"/>
    <x v="67"/>
    <s v="HSX"/>
    <s v="2730"/>
    <n v="0.66854045091573955"/>
    <n v="0.93708090183147918"/>
    <n v="0.4"/>
    <n v="417893218800"/>
    <n v="36"/>
    <n v="9"/>
  </r>
  <r>
    <x v="65"/>
    <x v="49"/>
    <x v="49"/>
    <s v="HSX"/>
    <s v="8780"/>
    <n v="0.66511133870822181"/>
    <n v="0.83022267741644362"/>
    <n v="0.5"/>
    <n v="354800926300"/>
    <n v="16.45"/>
    <n v="10"/>
  </r>
  <r>
    <x v="65"/>
    <x v="126"/>
    <x v="126"/>
    <s v="UPCOM"/>
    <s v="8350"/>
    <n v="0.66492680345574939"/>
    <n v="0.82985360691149879"/>
    <n v="0.5"/>
    <n v="2127386800"/>
    <n v="38.700000000000003"/>
    <n v="11"/>
  </r>
  <r>
    <x v="65"/>
    <x v="70"/>
    <x v="70"/>
    <s v="HSX"/>
    <s v="8350"/>
    <n v="0.66481224177557507"/>
    <n v="0.87962448355115019"/>
    <n v="0.45"/>
    <n v="15756837000"/>
    <n v="13.5"/>
    <n v="12"/>
  </r>
  <r>
    <x v="65"/>
    <x v="116"/>
    <x v="116"/>
    <s v="HSX"/>
    <s v="8630"/>
    <n v="0.66304716439273848"/>
    <n v="0.92609432878547682"/>
    <n v="0.4"/>
    <n v="269715681400"/>
    <n v="14.3"/>
    <n v="13"/>
  </r>
  <r>
    <x v="65"/>
    <x v="65"/>
    <x v="65"/>
    <s v="HSX"/>
    <s v="8350"/>
    <n v="0.65598324787912521"/>
    <n v="0.76196649575825048"/>
    <n v="0.55000000000000004"/>
    <n v="944506702100"/>
    <n v="13.7"/>
    <n v="14"/>
  </r>
  <r>
    <x v="65"/>
    <x v="64"/>
    <x v="64"/>
    <s v="HSX"/>
    <s v="8630"/>
    <n v="0.64474710209865016"/>
    <n v="0.98949420419730028"/>
    <n v="0.3"/>
    <n v="15747523560"/>
    <n v="8.85"/>
    <n v="15"/>
  </r>
  <r>
    <x v="65"/>
    <x v="108"/>
    <x v="108"/>
    <s v="UPCOM"/>
    <s v="1350"/>
    <n v="0.64265453781295467"/>
    <n v="0.83530907562590928"/>
    <n v="0.45"/>
    <n v="58923416200"/>
    <n v="25"/>
    <n v="16"/>
  </r>
  <r>
    <x v="65"/>
    <x v="147"/>
    <x v="147"/>
    <s v="HNX"/>
    <s v="2350"/>
    <n v="0.6352253495575384"/>
    <n v="0.87045069911507666"/>
    <n v="0.4"/>
    <n v="6160182000"/>
    <n v="9"/>
    <n v="17"/>
  </r>
  <r>
    <x v="65"/>
    <x v="22"/>
    <x v="22"/>
    <s v="HSX"/>
    <s v="8630"/>
    <n v="0.63429883874665638"/>
    <n v="0.96859767749331271"/>
    <n v="0.3"/>
    <n v="22300185220"/>
    <n v="7.4"/>
    <n v="18"/>
  </r>
  <r>
    <x v="65"/>
    <x v="69"/>
    <x v="69"/>
    <s v="HSX"/>
    <s v="8630"/>
    <n v="0.63005003109987723"/>
    <n v="0.66010006219975448"/>
    <n v="0.6"/>
    <n v="5101675320"/>
    <n v="2.37"/>
    <n v="19"/>
  </r>
  <r>
    <x v="65"/>
    <x v="30"/>
    <x v="30"/>
    <s v="HSX"/>
    <s v="8630"/>
    <n v="0.62429416205563337"/>
    <n v="0.94858832411126681"/>
    <n v="0.3"/>
    <n v="93936005320"/>
    <n v="15.15"/>
    <n v="20"/>
  </r>
  <r>
    <x v="66"/>
    <x v="140"/>
    <x v="140"/>
    <s v="UPCOM"/>
    <s v="2350"/>
    <n v="0.79305173684960506"/>
    <n v="0.98610347369921003"/>
    <n v="0.6"/>
    <n v="4219276200"/>
    <n v="9.4"/>
    <n v="1"/>
  </r>
  <r>
    <x v="66"/>
    <x v="89"/>
    <x v="89"/>
    <s v="HSX"/>
    <s v="8630"/>
    <n v="0.77590719415911114"/>
    <n v="0.85181438831822243"/>
    <n v="0.7"/>
    <n v="589269966000"/>
    <n v="70.7"/>
    <n v="2"/>
  </r>
  <r>
    <x v="66"/>
    <x v="49"/>
    <x v="49"/>
    <s v="HSX"/>
    <s v="8780"/>
    <n v="0.72852901382379409"/>
    <n v="0.70705802764758807"/>
    <n v="0.75"/>
    <n v="354436766300"/>
    <n v="16.2"/>
    <n v="3"/>
  </r>
  <r>
    <x v="66"/>
    <x v="70"/>
    <x v="70"/>
    <s v="HSX"/>
    <s v="8350"/>
    <n v="0.71291792020319389"/>
    <n v="0.87583584040638773"/>
    <n v="0.55000000000000004"/>
    <n v="15824049000"/>
    <n v="13.3"/>
    <n v="4"/>
  </r>
  <r>
    <x v="66"/>
    <x v="126"/>
    <x v="126"/>
    <s v="UPCOM"/>
    <s v="8350"/>
    <n v="0.70585607262047945"/>
    <n v="0.86171214524095874"/>
    <n v="0.55000000000000004"/>
    <n v="2131638400"/>
    <n v="38.799999999999997"/>
    <n v="5"/>
  </r>
  <r>
    <x v="66"/>
    <x v="116"/>
    <x v="116"/>
    <s v="HSX"/>
    <s v="8630"/>
    <n v="0.69733623392554989"/>
    <n v="0.94467246785109971"/>
    <n v="0.45"/>
    <n v="277719206800"/>
    <n v="14.4"/>
    <n v="6"/>
  </r>
  <r>
    <x v="66"/>
    <x v="148"/>
    <x v="148"/>
    <s v="HSX"/>
    <s v="8630"/>
    <n v="0.69219738288668264"/>
    <n v="0.98439476577336527"/>
    <n v="0.4"/>
    <n v="2006761800"/>
    <n v="2.85"/>
    <n v="7"/>
  </r>
  <r>
    <x v="66"/>
    <x v="109"/>
    <x v="109"/>
    <s v="UPCOM"/>
    <s v="2790"/>
    <n v="0.68838663468998729"/>
    <n v="0.82677326937997453"/>
    <n v="0.55000000000000004"/>
    <n v="6439790200"/>
    <n v="235"/>
    <n v="8"/>
  </r>
  <r>
    <x v="66"/>
    <x v="52"/>
    <x v="52"/>
    <s v="HSX"/>
    <s v="2350"/>
    <n v="0.67935410914324579"/>
    <n v="0.7587082182864916"/>
    <n v="0.6"/>
    <n v="30093305200"/>
    <n v="21.75"/>
    <n v="9"/>
  </r>
  <r>
    <x v="66"/>
    <x v="67"/>
    <x v="67"/>
    <s v="HSX"/>
    <s v="2730"/>
    <n v="0.67677508267623721"/>
    <n v="0.90355016535247434"/>
    <n v="0.45"/>
    <n v="414940555800"/>
    <n v="35"/>
    <n v="10"/>
  </r>
  <r>
    <x v="66"/>
    <x v="27"/>
    <x v="27"/>
    <s v="HSX"/>
    <s v="3570"/>
    <n v="0.65541922823471865"/>
    <n v="0.8108384564694372"/>
    <n v="0.5"/>
    <n v="35527666300"/>
    <n v="18.5"/>
    <n v="11"/>
  </r>
  <r>
    <x v="66"/>
    <x v="37"/>
    <x v="37"/>
    <s v="HSX"/>
    <s v="3570"/>
    <n v="0.65403416073326803"/>
    <n v="0.75806832146653613"/>
    <n v="0.55000000000000004"/>
    <n v="31919324300"/>
    <n v="26"/>
    <n v="12"/>
  </r>
  <r>
    <x v="66"/>
    <x v="64"/>
    <x v="64"/>
    <s v="HSX"/>
    <s v="8630"/>
    <n v="0.61585979009513281"/>
    <n v="0.98171958019026551"/>
    <n v="0.25"/>
    <n v="16590751560"/>
    <n v="8.65"/>
    <n v="13"/>
  </r>
  <r>
    <x v="66"/>
    <x v="30"/>
    <x v="30"/>
    <s v="HSX"/>
    <s v="8630"/>
    <n v="0.60150993359732452"/>
    <n v="0.95301986719464904"/>
    <n v="0.25"/>
    <n v="96176161080"/>
    <n v="15.7"/>
    <n v="14"/>
  </r>
  <r>
    <x v="66"/>
    <x v="61"/>
    <x v="61"/>
    <s v="HSX"/>
    <s v="8630"/>
    <n v="0.60137330816136769"/>
    <n v="0.85274661632273552"/>
    <n v="0.35"/>
    <n v="570341798200"/>
    <n v="90.3"/>
    <n v="15"/>
  </r>
  <r>
    <x v="66"/>
    <x v="149"/>
    <x v="149"/>
    <s v="HSX"/>
    <s v="7530"/>
    <n v="0.60014348644970317"/>
    <n v="0.75028697289940627"/>
    <n v="0.45"/>
    <n v="2415039780"/>
    <n v="12.45"/>
    <n v="16"/>
  </r>
  <r>
    <x v="66"/>
    <x v="132"/>
    <x v="132"/>
    <s v="HNX"/>
    <s v="1350"/>
    <n v="0.59605855646756956"/>
    <n v="0.64211711293513918"/>
    <n v="0.55000000000000004"/>
    <n v="19634338200"/>
    <n v="21.1"/>
    <n v="17"/>
  </r>
  <r>
    <x v="66"/>
    <x v="103"/>
    <x v="103"/>
    <s v="HSX"/>
    <s v="8530"/>
    <n v="0.59162757755714324"/>
    <n v="0.78325515511428645"/>
    <n v="0.4"/>
    <n v="2069643200"/>
    <n v="37.15"/>
    <n v="18"/>
  </r>
  <r>
    <x v="66"/>
    <x v="69"/>
    <x v="69"/>
    <s v="HSX"/>
    <s v="8630"/>
    <n v="0.58933002867815365"/>
    <n v="0.62866005735630726"/>
    <n v="0.55000000000000004"/>
    <n v="5129554280"/>
    <n v="2.2999999999999998"/>
    <n v="19"/>
  </r>
  <r>
    <x v="66"/>
    <x v="146"/>
    <x v="146"/>
    <s v="HSX"/>
    <s v="2770"/>
    <n v="0.57958893735568617"/>
    <n v="0.55917787471137237"/>
    <n v="0.6"/>
    <n v="2778972900"/>
    <n v="15.05"/>
    <n v="20"/>
  </r>
  <r>
    <x v="67"/>
    <x v="89"/>
    <x v="89"/>
    <s v="HSX"/>
    <s v="8630"/>
    <n v="0.82844316904818993"/>
    <n v="0.90688633809637975"/>
    <n v="0.75"/>
    <n v="593105830000"/>
    <n v="72.599999999999994"/>
    <n v="1"/>
  </r>
  <r>
    <x v="67"/>
    <x v="70"/>
    <x v="70"/>
    <s v="HSX"/>
    <s v="8350"/>
    <n v="0.79320353224823614"/>
    <n v="0.93640706449647226"/>
    <n v="0.65"/>
    <n v="16282793000"/>
    <n v="13.8"/>
    <n v="2"/>
  </r>
  <r>
    <x v="67"/>
    <x v="67"/>
    <x v="67"/>
    <s v="HSX"/>
    <s v="2730"/>
    <n v="0.73607548983382243"/>
    <n v="0.9221509796676447"/>
    <n v="0.55000000000000004"/>
    <n v="417375695900"/>
    <n v="35.65"/>
    <n v="3"/>
  </r>
  <r>
    <x v="67"/>
    <x v="140"/>
    <x v="140"/>
    <s v="UPCOM"/>
    <s v="2350"/>
    <n v="0.71620596802433101"/>
    <n v="0.98241193604866206"/>
    <n v="0.45"/>
    <n v="4410615600"/>
    <n v="9.3000000000000007"/>
    <n v="4"/>
  </r>
  <r>
    <x v="67"/>
    <x v="118"/>
    <x v="118"/>
    <s v="HSX"/>
    <s v="5370"/>
    <n v="0.67220664241147832"/>
    <n v="0.79441328482295659"/>
    <n v="0.55000000000000004"/>
    <n v="78242006200"/>
    <n v="179.9"/>
    <n v="5"/>
  </r>
  <r>
    <x v="67"/>
    <x v="126"/>
    <x v="126"/>
    <s v="UPCOM"/>
    <s v="8350"/>
    <n v="0.67060798250711984"/>
    <n v="0.84121596501423967"/>
    <n v="0.5"/>
    <n v="2133978400"/>
    <n v="39"/>
    <n v="6"/>
  </r>
  <r>
    <x v="67"/>
    <x v="49"/>
    <x v="49"/>
    <s v="HSX"/>
    <s v="8780"/>
    <n v="0.67008993734622835"/>
    <n v="0.69017987469245667"/>
    <n v="0.65"/>
    <n v="354782399200"/>
    <n v="16.3"/>
    <n v="7"/>
  </r>
  <r>
    <x v="67"/>
    <x v="66"/>
    <x v="66"/>
    <s v="HSX"/>
    <s v="8630"/>
    <n v="0.66173327289190143"/>
    <n v="0.87346654578380289"/>
    <n v="0.45"/>
    <n v="4330574220"/>
    <n v="9.35"/>
    <n v="8"/>
  </r>
  <r>
    <x v="67"/>
    <x v="109"/>
    <x v="109"/>
    <s v="UPCOM"/>
    <s v="2790"/>
    <n v="0.65202057299258087"/>
    <n v="0.80404114598516174"/>
    <n v="0.5"/>
    <n v="6476922600"/>
    <n v="235.8"/>
    <n v="9"/>
  </r>
  <r>
    <x v="67"/>
    <x v="116"/>
    <x v="116"/>
    <s v="HSX"/>
    <s v="8630"/>
    <n v="0.64242355474937229"/>
    <n v="0.93484710949874461"/>
    <n v="0.35"/>
    <n v="281922571900"/>
    <n v="14.35"/>
    <n v="10"/>
  </r>
  <r>
    <x v="67"/>
    <x v="64"/>
    <x v="64"/>
    <s v="HSX"/>
    <s v="8630"/>
    <n v="0.63014929836744626"/>
    <n v="0.9602985967348926"/>
    <n v="0.3"/>
    <n v="17302029960"/>
    <n v="8.3000000000000007"/>
    <n v="11"/>
  </r>
  <r>
    <x v="67"/>
    <x v="149"/>
    <x v="149"/>
    <s v="HSX"/>
    <s v="7530"/>
    <n v="0.61474307058661004"/>
    <n v="0.77948614117322002"/>
    <n v="0.45"/>
    <n v="2468307480"/>
    <n v="12.45"/>
    <n v="12"/>
  </r>
  <r>
    <x v="67"/>
    <x v="69"/>
    <x v="69"/>
    <s v="HSX"/>
    <s v="8630"/>
    <n v="0.61320759369291067"/>
    <n v="0.57641518738582143"/>
    <n v="0.65"/>
    <n v="5105644180"/>
    <n v="2.2999999999999998"/>
    <n v="13"/>
  </r>
  <r>
    <x v="67"/>
    <x v="150"/>
    <x v="150"/>
    <s v="HSX"/>
    <s v="5370"/>
    <n v="0.6114024263317358"/>
    <n v="0.72280485266347161"/>
    <n v="0.5"/>
    <n v="19248210400"/>
    <n v="24.1"/>
    <n v="14"/>
  </r>
  <r>
    <x v="67"/>
    <x v="151"/>
    <x v="151"/>
    <s v="HSX"/>
    <s v="2350"/>
    <n v="0.60680104531100487"/>
    <n v="0.91360209062200981"/>
    <n v="0.3"/>
    <n v="2841137520"/>
    <n v="5.24"/>
    <n v="15"/>
  </r>
  <r>
    <x v="67"/>
    <x v="148"/>
    <x v="148"/>
    <s v="HSX"/>
    <s v="8630"/>
    <n v="0.60604465494776716"/>
    <n v="0.96208930989553432"/>
    <n v="0.25"/>
    <n v="2060854300"/>
    <n v="2.75"/>
    <n v="16"/>
  </r>
  <r>
    <x v="67"/>
    <x v="103"/>
    <x v="103"/>
    <s v="HSX"/>
    <s v="8530"/>
    <n v="0.60118140668904552"/>
    <n v="0.70236281337809092"/>
    <n v="0.5"/>
    <n v="2086985600"/>
    <n v="37.200000000000003"/>
    <n v="17"/>
  </r>
  <r>
    <x v="67"/>
    <x v="27"/>
    <x v="27"/>
    <s v="HSX"/>
    <s v="3570"/>
    <n v="0.59223666449277879"/>
    <n v="0.83447332898555759"/>
    <n v="0.35"/>
    <n v="35547256400"/>
    <n v="18.649999999999999"/>
    <n v="18"/>
  </r>
  <r>
    <x v="67"/>
    <x v="37"/>
    <x v="37"/>
    <s v="HSX"/>
    <s v="3570"/>
    <n v="0.59032449876103354"/>
    <n v="0.73064899752206713"/>
    <n v="0.45"/>
    <n v="32372830800"/>
    <n v="26.75"/>
    <n v="19"/>
  </r>
  <r>
    <x v="67"/>
    <x v="99"/>
    <x v="99"/>
    <s v="HSX"/>
    <s v="5750"/>
    <n v="0.58235380243366941"/>
    <n v="0.86470760486733877"/>
    <n v="0.3"/>
    <n v="109991136100"/>
    <n v="38.700000000000003"/>
    <n v="20"/>
  </r>
  <r>
    <x v="68"/>
    <x v="89"/>
    <x v="89"/>
    <s v="HSX"/>
    <s v="8630"/>
    <n v="0.86123227999134988"/>
    <n v="0.87246455998269989"/>
    <n v="0.85"/>
    <n v="588893114000"/>
    <n v="72.099999999999994"/>
    <n v="1"/>
  </r>
  <r>
    <x v="68"/>
    <x v="70"/>
    <x v="70"/>
    <s v="HSX"/>
    <s v="8350"/>
    <n v="0.82904192122570264"/>
    <n v="0.90808384245140528"/>
    <n v="0.75"/>
    <n v="16381923400"/>
    <n v="13.8"/>
    <n v="2"/>
  </r>
  <r>
    <x v="68"/>
    <x v="67"/>
    <x v="67"/>
    <s v="HSX"/>
    <s v="2730"/>
    <n v="0.81415785857345546"/>
    <n v="0.87831571714691081"/>
    <n v="0.75"/>
    <n v="421000461700"/>
    <n v="34"/>
    <n v="3"/>
  </r>
  <r>
    <x v="68"/>
    <x v="140"/>
    <x v="140"/>
    <s v="UPCOM"/>
    <s v="2350"/>
    <n v="0.73869757539412162"/>
    <n v="0.97739515078824335"/>
    <n v="0.5"/>
    <n v="4504770800"/>
    <n v="9.4"/>
    <n v="4"/>
  </r>
  <r>
    <x v="68"/>
    <x v="99"/>
    <x v="99"/>
    <s v="HSX"/>
    <s v="5750"/>
    <n v="0.72666479982585641"/>
    <n v="0.90332959965171267"/>
    <n v="0.55000000000000004"/>
    <n v="111155804600"/>
    <n v="39.299999999999997"/>
    <n v="5"/>
  </r>
  <r>
    <x v="68"/>
    <x v="87"/>
    <x v="87"/>
    <s v="HSX"/>
    <s v="2350"/>
    <n v="0.71643651443916112"/>
    <n v="0.93287302887832224"/>
    <n v="0.5"/>
    <n v="6307960720"/>
    <n v="10.8"/>
    <n v="6"/>
  </r>
  <r>
    <x v="68"/>
    <x v="126"/>
    <x v="126"/>
    <s v="UPCOM"/>
    <s v="8350"/>
    <n v="0.71140376833785579"/>
    <n v="0.92280753667571158"/>
    <n v="0.5"/>
    <n v="2147278400"/>
    <n v="39.4"/>
    <n v="7"/>
  </r>
  <r>
    <x v="68"/>
    <x v="52"/>
    <x v="52"/>
    <s v="HSX"/>
    <s v="2350"/>
    <n v="0.65050802292412868"/>
    <n v="0.95101604584825739"/>
    <n v="0.35"/>
    <n v="32248918900"/>
    <n v="23.95"/>
    <n v="8"/>
  </r>
  <r>
    <x v="68"/>
    <x v="37"/>
    <x v="37"/>
    <s v="HSX"/>
    <s v="3570"/>
    <n v="0.6474765960406561"/>
    <n v="0.69495319208131223"/>
    <n v="0.6"/>
    <n v="32658925600"/>
    <n v="26.6"/>
    <n v="9"/>
  </r>
  <r>
    <x v="68"/>
    <x v="151"/>
    <x v="151"/>
    <s v="HSX"/>
    <s v="2350"/>
    <n v="0.63828070948569293"/>
    <n v="0.87656141897138584"/>
    <n v="0.4"/>
    <n v="2874441840"/>
    <n v="5.24"/>
    <n v="10"/>
  </r>
  <r>
    <x v="68"/>
    <x v="109"/>
    <x v="109"/>
    <s v="UPCOM"/>
    <s v="2790"/>
    <n v="0.63507388326444603"/>
    <n v="0.82014776652889199"/>
    <n v="0.45"/>
    <n v="6612040600"/>
    <n v="235.6"/>
    <n v="11"/>
  </r>
  <r>
    <x v="68"/>
    <x v="69"/>
    <x v="69"/>
    <s v="HSX"/>
    <s v="8630"/>
    <n v="0.63426164441341149"/>
    <n v="0.66852328882682299"/>
    <n v="0.6"/>
    <n v="5198062380"/>
    <n v="2.2999999999999998"/>
    <n v="12"/>
  </r>
  <r>
    <x v="68"/>
    <x v="152"/>
    <x v="152"/>
    <s v="HSX"/>
    <s v="1730"/>
    <n v="0.63060177467934464"/>
    <n v="0.86120354935868937"/>
    <n v="0.4"/>
    <n v="2032178240"/>
    <n v="5.82"/>
    <n v="13"/>
  </r>
  <r>
    <x v="68"/>
    <x v="148"/>
    <x v="148"/>
    <s v="HSX"/>
    <s v="8630"/>
    <n v="0.6263734091982941"/>
    <n v="0.95274681839658826"/>
    <n v="0.3"/>
    <n v="2135373800"/>
    <n v="2.75"/>
    <n v="14"/>
  </r>
  <r>
    <x v="68"/>
    <x v="108"/>
    <x v="108"/>
    <s v="UPCOM"/>
    <s v="1350"/>
    <n v="0.60801805058410918"/>
    <n v="0.86603610116821839"/>
    <n v="0.35"/>
    <n v="59486198000"/>
    <n v="25.1"/>
    <n v="15"/>
  </r>
  <r>
    <x v="68"/>
    <x v="64"/>
    <x v="64"/>
    <s v="HSX"/>
    <s v="8630"/>
    <n v="0.60755540639043759"/>
    <n v="0.96511081278087529"/>
    <n v="0.25"/>
    <n v="17990260560"/>
    <n v="8.5"/>
    <n v="16"/>
  </r>
  <r>
    <x v="68"/>
    <x v="146"/>
    <x v="146"/>
    <s v="HSX"/>
    <s v="2770"/>
    <n v="0.60035634090565382"/>
    <n v="0.60071268181130755"/>
    <n v="0.6"/>
    <n v="2756980300"/>
    <n v="15.1"/>
    <n v="17"/>
  </r>
  <r>
    <x v="68"/>
    <x v="27"/>
    <x v="27"/>
    <s v="HSX"/>
    <s v="3570"/>
    <n v="0.59080256054025648"/>
    <n v="0.8316051210805131"/>
    <n v="0.35"/>
    <n v="35617010700"/>
    <n v="18.7"/>
    <n v="18"/>
  </r>
  <r>
    <x v="68"/>
    <x v="30"/>
    <x v="30"/>
    <s v="HSX"/>
    <s v="8630"/>
    <n v="0.58743267020821444"/>
    <n v="0.92486534041642876"/>
    <n v="0.25"/>
    <n v="97909949880"/>
    <n v="15.5"/>
    <n v="19"/>
  </r>
  <r>
    <x v="68"/>
    <x v="86"/>
    <x v="86"/>
    <s v="HNX"/>
    <s v="8780"/>
    <n v="0.58517950620266668"/>
    <n v="0.9703590124053334"/>
    <n v="0.2"/>
    <n v="40965134200"/>
    <n v="27"/>
    <n v="20"/>
  </r>
  <r>
    <x v="69"/>
    <x v="70"/>
    <x v="70"/>
    <s v="HSX"/>
    <s v="8350"/>
    <n v="0.83225232405407712"/>
    <n v="0.91450464810815424"/>
    <n v="0.75"/>
    <n v="16549185000"/>
    <n v="13.9"/>
    <n v="1"/>
  </r>
  <r>
    <x v="69"/>
    <x v="89"/>
    <x v="89"/>
    <s v="HSX"/>
    <s v="8630"/>
    <n v="0.80619401040686045"/>
    <n v="0.8623880208137209"/>
    <n v="0.75"/>
    <n v="587485630000"/>
    <n v="70"/>
    <n v="2"/>
  </r>
  <r>
    <x v="69"/>
    <x v="67"/>
    <x v="67"/>
    <s v="HSX"/>
    <s v="2730"/>
    <n v="0.79492707719697098"/>
    <n v="0.889854154393942"/>
    <n v="0.7"/>
    <n v="422953485300"/>
    <n v="34.5"/>
    <n v="3"/>
  </r>
  <r>
    <x v="69"/>
    <x v="99"/>
    <x v="99"/>
    <s v="HSX"/>
    <s v="5750"/>
    <n v="0.78810908595732443"/>
    <n v="0.92621817191464884"/>
    <n v="0.65"/>
    <n v="112632412600"/>
    <n v="40.299999999999997"/>
    <n v="4"/>
  </r>
  <r>
    <x v="69"/>
    <x v="140"/>
    <x v="140"/>
    <s v="UPCOM"/>
    <s v="2350"/>
    <n v="0.77029952912947297"/>
    <n v="0.99059905825894601"/>
    <n v="0.55000000000000004"/>
    <n v="5081229800"/>
    <n v="9.6999999999999993"/>
    <n v="5"/>
  </r>
  <r>
    <x v="69"/>
    <x v="68"/>
    <x v="68"/>
    <s v="HSX"/>
    <s v="2350"/>
    <n v="0.75626611564610768"/>
    <n v="0.86253223129221546"/>
    <n v="0.65"/>
    <n v="14731153200"/>
    <n v="14.2"/>
    <n v="6"/>
  </r>
  <r>
    <x v="69"/>
    <x v="49"/>
    <x v="49"/>
    <s v="HSX"/>
    <s v="8780"/>
    <n v="0.74104038332279765"/>
    <n v="0.73208076664559518"/>
    <n v="0.75"/>
    <n v="352260899100"/>
    <n v="16.5"/>
    <n v="7"/>
  </r>
  <r>
    <x v="69"/>
    <x v="108"/>
    <x v="108"/>
    <s v="UPCOM"/>
    <s v="1350"/>
    <n v="0.72250884611490584"/>
    <n v="0.89501769222981153"/>
    <n v="0.55000000000000004"/>
    <n v="60179723400"/>
    <n v="25.7"/>
    <n v="8"/>
  </r>
  <r>
    <x v="69"/>
    <x v="151"/>
    <x v="151"/>
    <s v="HSX"/>
    <s v="2350"/>
    <n v="0.70056408320156671"/>
    <n v="0.80112816640313333"/>
    <n v="0.6"/>
    <n v="2894270120"/>
    <n v="5.2"/>
    <n v="9"/>
  </r>
  <r>
    <x v="69"/>
    <x v="52"/>
    <x v="52"/>
    <s v="HSX"/>
    <s v="2350"/>
    <n v="0.67911440111634236"/>
    <n v="0.9582288022326847"/>
    <n v="0.4"/>
    <n v="33761005700"/>
    <n v="24.4"/>
    <n v="10"/>
  </r>
  <r>
    <x v="69"/>
    <x v="126"/>
    <x v="126"/>
    <s v="UPCOM"/>
    <s v="8350"/>
    <n v="0.6733039723286991"/>
    <n v="0.8466079446573983"/>
    <n v="0.5"/>
    <n v="2150517400"/>
    <n v="39.5"/>
    <n v="11"/>
  </r>
  <r>
    <x v="69"/>
    <x v="37"/>
    <x v="37"/>
    <s v="HSX"/>
    <s v="3570"/>
    <n v="0.66395429679647888"/>
    <n v="0.72790859359295779"/>
    <n v="0.6"/>
    <n v="32683367200"/>
    <n v="26.8"/>
    <n v="12"/>
  </r>
  <r>
    <x v="69"/>
    <x v="87"/>
    <x v="87"/>
    <s v="HSX"/>
    <s v="2350"/>
    <n v="0.65797692297067212"/>
    <n v="0.91595384594134421"/>
    <n v="0.4"/>
    <n v="6426910840"/>
    <n v="10.7"/>
    <n v="13"/>
  </r>
  <r>
    <x v="69"/>
    <x v="56"/>
    <x v="56"/>
    <s v="HSX"/>
    <s v="8350"/>
    <n v="0.65212682194862814"/>
    <n v="0.90425364389725627"/>
    <n v="0.4"/>
    <n v="647553907400"/>
    <n v="45"/>
    <n v="14"/>
  </r>
  <r>
    <x v="69"/>
    <x v="152"/>
    <x v="152"/>
    <s v="HSX"/>
    <s v="1730"/>
    <n v="0.62449155897213782"/>
    <n v="0.84898311794427572"/>
    <n v="0.4"/>
    <n v="2038599720"/>
    <n v="5.86"/>
    <n v="15"/>
  </r>
  <r>
    <x v="69"/>
    <x v="132"/>
    <x v="132"/>
    <s v="HNX"/>
    <s v="1350"/>
    <n v="0.62235364149037875"/>
    <n v="0.74470728298075739"/>
    <n v="0.5"/>
    <n v="20795089800"/>
    <n v="21.7"/>
    <n v="16"/>
  </r>
  <r>
    <x v="69"/>
    <x v="30"/>
    <x v="30"/>
    <s v="HSX"/>
    <s v="8630"/>
    <n v="0.62000990614661933"/>
    <n v="0.94001981229323861"/>
    <n v="0.3"/>
    <n v="98360105880"/>
    <n v="15.5"/>
    <n v="17"/>
  </r>
  <r>
    <x v="69"/>
    <x v="149"/>
    <x v="149"/>
    <s v="HSX"/>
    <s v="7530"/>
    <n v="0.61258207182673952"/>
    <n v="0.77516414365347897"/>
    <n v="0.45"/>
    <n v="2564863480"/>
    <n v="12.45"/>
    <n v="18"/>
  </r>
  <r>
    <x v="69"/>
    <x v="69"/>
    <x v="69"/>
    <s v="HSX"/>
    <s v="8630"/>
    <n v="0.60127103432021367"/>
    <n v="0.60254206864042725"/>
    <n v="0.6"/>
    <n v="4829113380"/>
    <n v="2.2999999999999998"/>
    <n v="19"/>
  </r>
  <r>
    <x v="69"/>
    <x v="103"/>
    <x v="103"/>
    <s v="HSX"/>
    <s v="8530"/>
    <n v="0.58098757936353995"/>
    <n v="0.71197515872707984"/>
    <n v="0.45"/>
    <n v="2172410800"/>
    <n v="37.549999999999997"/>
    <n v="20"/>
  </r>
  <r>
    <x v="70"/>
    <x v="67"/>
    <x v="67"/>
    <s v="HSX"/>
    <s v="2730"/>
    <n v="0.82581459450283967"/>
    <n v="0.85162918900567919"/>
    <n v="0.8"/>
    <n v="425652505900"/>
    <n v="33.9"/>
    <n v="1"/>
  </r>
  <r>
    <x v="70"/>
    <x v="70"/>
    <x v="70"/>
    <s v="HSX"/>
    <s v="8350"/>
    <n v="0.77188306962898667"/>
    <n v="0.89376613925797321"/>
    <n v="0.65"/>
    <n v="16689005000"/>
    <n v="13.7"/>
    <n v="2"/>
  </r>
  <r>
    <x v="70"/>
    <x v="140"/>
    <x v="140"/>
    <s v="UPCOM"/>
    <s v="2350"/>
    <n v="0.76537696746602679"/>
    <n v="0.98075393493205354"/>
    <n v="0.55000000000000004"/>
    <n v="5228868400"/>
    <n v="9.6"/>
    <n v="3"/>
  </r>
  <r>
    <x v="70"/>
    <x v="37"/>
    <x v="37"/>
    <s v="HSX"/>
    <s v="3570"/>
    <n v="0.69738302725567158"/>
    <n v="0.7947660545113433"/>
    <n v="0.6"/>
    <n v="33477987200"/>
    <n v="26.8"/>
    <n v="4"/>
  </r>
  <r>
    <x v="70"/>
    <x v="32"/>
    <x v="32"/>
    <s v="UPCOM"/>
    <s v="1350"/>
    <n v="0.66982772615704755"/>
    <n v="0.43965545231409509"/>
    <n v="0.9"/>
    <n v="16048500200"/>
    <n v="12.2"/>
    <n v="5"/>
  </r>
  <r>
    <x v="70"/>
    <x v="132"/>
    <x v="132"/>
    <s v="HNX"/>
    <s v="1350"/>
    <n v="0.6672037627203794"/>
    <n v="0.78440752544075876"/>
    <n v="0.55000000000000004"/>
    <n v="21433001000"/>
    <n v="21.7"/>
    <n v="6"/>
  </r>
  <r>
    <x v="70"/>
    <x v="89"/>
    <x v="89"/>
    <s v="HSX"/>
    <s v="8630"/>
    <n v="0.66074409919088528"/>
    <n v="0.82148819838177045"/>
    <n v="0.5"/>
    <n v="585414820000"/>
    <n v="68.400000000000006"/>
    <n v="7"/>
  </r>
  <r>
    <x v="70"/>
    <x v="151"/>
    <x v="151"/>
    <s v="HSX"/>
    <s v="2350"/>
    <n v="0.65198761220852186"/>
    <n v="0.70397522441704374"/>
    <n v="0.6"/>
    <n v="2904313400"/>
    <n v="5.16"/>
    <n v="8"/>
  </r>
  <r>
    <x v="70"/>
    <x v="148"/>
    <x v="148"/>
    <s v="HSX"/>
    <s v="8630"/>
    <n v="0.64836941347727417"/>
    <n v="0.94673882695454836"/>
    <n v="0.35"/>
    <n v="2247805180"/>
    <n v="2.78"/>
    <n v="9"/>
  </r>
  <r>
    <x v="70"/>
    <x v="30"/>
    <x v="30"/>
    <s v="HSX"/>
    <s v="8630"/>
    <n v="0.64047536186370357"/>
    <n v="0.93095072372740728"/>
    <n v="0.35"/>
    <n v="100844537880"/>
    <n v="15.3"/>
    <n v="10"/>
  </r>
  <r>
    <x v="70"/>
    <x v="136"/>
    <x v="136"/>
    <s v="HNX"/>
    <s v="8630"/>
    <n v="0.63240898907894449"/>
    <n v="0.96481797815788906"/>
    <n v="0.3"/>
    <n v="195217115800"/>
    <n v="17.399999999999999"/>
    <n v="11"/>
  </r>
  <r>
    <x v="70"/>
    <x v="126"/>
    <x v="126"/>
    <s v="UPCOM"/>
    <s v="8350"/>
    <n v="0.6300681969740356"/>
    <n v="0.86013639394807129"/>
    <n v="0.4"/>
    <n v="2155684600"/>
    <n v="39.6"/>
    <n v="12"/>
  </r>
  <r>
    <x v="70"/>
    <x v="22"/>
    <x v="22"/>
    <s v="HSX"/>
    <s v="8630"/>
    <n v="0.62416338690170237"/>
    <n v="0.9483267738034048"/>
    <n v="0.3"/>
    <n v="26572143780"/>
    <n v="7.3"/>
    <n v="13"/>
  </r>
  <r>
    <x v="70"/>
    <x v="49"/>
    <x v="49"/>
    <s v="HSX"/>
    <s v="8780"/>
    <n v="0.62396103150301885"/>
    <n v="0.69792206300603754"/>
    <n v="0.55000000000000004"/>
    <n v="357038373400"/>
    <n v="16.149999999999999"/>
    <n v="14"/>
  </r>
  <r>
    <x v="70"/>
    <x v="64"/>
    <x v="64"/>
    <s v="HSX"/>
    <s v="8630"/>
    <n v="0.61635331627099998"/>
    <n v="0.98270663254199997"/>
    <n v="0.25"/>
    <n v="20081622780"/>
    <n v="9"/>
    <n v="15"/>
  </r>
  <r>
    <x v="70"/>
    <x v="100"/>
    <x v="100"/>
    <s v="HSX"/>
    <s v="1350"/>
    <n v="0.61554596816309803"/>
    <n v="0.53109193632619611"/>
    <n v="0.7"/>
    <n v="39792934900"/>
    <n v="43.9"/>
    <n v="16"/>
  </r>
  <r>
    <x v="70"/>
    <x v="146"/>
    <x v="146"/>
    <s v="HSX"/>
    <s v="2770"/>
    <n v="0.60519541679999544"/>
    <n v="0.66039083359999085"/>
    <n v="0.55000000000000004"/>
    <n v="2771912200"/>
    <n v="15.2"/>
    <n v="17"/>
  </r>
  <r>
    <x v="70"/>
    <x v="105"/>
    <x v="105"/>
    <s v="HNX"/>
    <s v="2350"/>
    <n v="0.60461099828950071"/>
    <n v="0.85922199657900156"/>
    <n v="0.35"/>
    <n v="5972076400"/>
    <n v="6.3"/>
    <n v="18"/>
  </r>
  <r>
    <x v="70"/>
    <x v="153"/>
    <x v="153"/>
    <s v="HSX"/>
    <s v="8350"/>
    <n v="0.60423178018699863"/>
    <n v="0.45846356037399733"/>
    <n v="0.75"/>
    <n v="134518531080"/>
    <n v="10.15"/>
    <n v="19"/>
  </r>
  <r>
    <x v="70"/>
    <x v="108"/>
    <x v="108"/>
    <s v="UPCOM"/>
    <s v="1350"/>
    <n v="0.59948022783542243"/>
    <n v="0.94896045567084486"/>
    <n v="0.25"/>
    <n v="62487230600"/>
    <n v="26.6"/>
    <n v="20"/>
  </r>
  <r>
    <x v="71"/>
    <x v="67"/>
    <x v="67"/>
    <s v="HSX"/>
    <s v="2730"/>
    <n v="0.7619185344798467"/>
    <n v="0.87383706895969349"/>
    <n v="0.65"/>
    <n v="415019699500"/>
    <n v="35"/>
    <n v="1"/>
  </r>
  <r>
    <x v="71"/>
    <x v="140"/>
    <x v="140"/>
    <s v="UPCOM"/>
    <s v="2350"/>
    <n v="0.74262524177272682"/>
    <n v="0.98525048354545353"/>
    <n v="0.5"/>
    <n v="5520406800"/>
    <n v="9.8000000000000007"/>
    <n v="2"/>
  </r>
  <r>
    <x v="71"/>
    <x v="132"/>
    <x v="132"/>
    <s v="HNX"/>
    <s v="1350"/>
    <n v="0.68553549757834509"/>
    <n v="0.87107099515669018"/>
    <n v="0.5"/>
    <n v="22360267800"/>
    <n v="22.7"/>
    <n v="3"/>
  </r>
  <r>
    <x v="71"/>
    <x v="116"/>
    <x v="116"/>
    <s v="HSX"/>
    <s v="8630"/>
    <n v="0.6796605208313965"/>
    <n v="0.95932104166279297"/>
    <n v="0.4"/>
    <n v="310666374200"/>
    <n v="14.9"/>
    <n v="4"/>
  </r>
  <r>
    <x v="71"/>
    <x v="99"/>
    <x v="99"/>
    <s v="HSX"/>
    <s v="5750"/>
    <n v="0.66655620724879894"/>
    <n v="0.83311241449759776"/>
    <n v="0.5"/>
    <n v="117198129700"/>
    <n v="37.9"/>
    <n v="5"/>
  </r>
  <r>
    <x v="71"/>
    <x v="49"/>
    <x v="49"/>
    <s v="HSX"/>
    <s v="8780"/>
    <n v="0.65281187414599662"/>
    <n v="0.75562374829199319"/>
    <n v="0.55000000000000004"/>
    <n v="359108071800"/>
    <n v="16.8"/>
    <n v="6"/>
  </r>
  <r>
    <x v="71"/>
    <x v="154"/>
    <x v="154"/>
    <s v="HSX"/>
    <s v="4570"/>
    <n v="0.65090588703419328"/>
    <n v="0.90181177406838642"/>
    <n v="0.4"/>
    <n v="14828757800"/>
    <n v="28.55"/>
    <n v="7"/>
  </r>
  <r>
    <x v="71"/>
    <x v="37"/>
    <x v="37"/>
    <s v="HSX"/>
    <s v="3570"/>
    <n v="0.64963866091521849"/>
    <n v="0.74927732183043683"/>
    <n v="0.55000000000000004"/>
    <n v="34039640200"/>
    <n v="27.05"/>
    <n v="8"/>
  </r>
  <r>
    <x v="71"/>
    <x v="70"/>
    <x v="70"/>
    <s v="HSX"/>
    <s v="8350"/>
    <n v="0.64750657831833225"/>
    <n v="0.84501315663666443"/>
    <n v="0.45"/>
    <n v="16681736200"/>
    <n v="13.8"/>
    <n v="9"/>
  </r>
  <r>
    <x v="71"/>
    <x v="148"/>
    <x v="148"/>
    <s v="HSX"/>
    <s v="8630"/>
    <n v="0.63705200133143913"/>
    <n v="0.9241040026628784"/>
    <n v="0.35"/>
    <n v="2290743680"/>
    <n v="2.75"/>
    <n v="10"/>
  </r>
  <r>
    <x v="71"/>
    <x v="113"/>
    <x v="113"/>
    <s v="HSX"/>
    <s v="8350"/>
    <n v="0.62868850119861786"/>
    <n v="0.95737700239723567"/>
    <n v="0.3"/>
    <n v="8478273800"/>
    <n v="17.2"/>
    <n v="11"/>
  </r>
  <r>
    <x v="71"/>
    <x v="151"/>
    <x v="151"/>
    <s v="HSX"/>
    <s v="2350"/>
    <n v="0.62842778765205087"/>
    <n v="0.65685557530410177"/>
    <n v="0.6"/>
    <n v="2915494800"/>
    <n v="5.2"/>
    <n v="12"/>
  </r>
  <r>
    <x v="71"/>
    <x v="155"/>
    <x v="155"/>
    <s v="HSX"/>
    <s v="0570"/>
    <n v="0.6179817970641438"/>
    <n v="0.83596359412828758"/>
    <n v="0.4"/>
    <n v="125639678300"/>
    <n v="21.85"/>
    <n v="13"/>
  </r>
  <r>
    <x v="71"/>
    <x v="146"/>
    <x v="146"/>
    <s v="HSX"/>
    <s v="2770"/>
    <n v="0.61428108899115397"/>
    <n v="0.77856217798230787"/>
    <n v="0.45"/>
    <n v="2845283000"/>
    <n v="15.8"/>
    <n v="14"/>
  </r>
  <r>
    <x v="71"/>
    <x v="156"/>
    <x v="156"/>
    <s v="HSX"/>
    <s v="0530"/>
    <n v="0.6073881550655289"/>
    <n v="0.81477631013105767"/>
    <n v="0.4"/>
    <n v="58135996100"/>
    <n v="19.5"/>
    <n v="15"/>
  </r>
  <r>
    <x v="71"/>
    <x v="30"/>
    <x v="30"/>
    <s v="HSX"/>
    <s v="8630"/>
    <n v="0.60282642399849462"/>
    <n v="0.90565284799698931"/>
    <n v="0.3"/>
    <n v="101753313980"/>
    <n v="15.3"/>
    <n v="16"/>
  </r>
  <r>
    <x v="71"/>
    <x v="126"/>
    <x v="126"/>
    <s v="UPCOM"/>
    <s v="8350"/>
    <n v="0.60142763750110206"/>
    <n v="0.80285527500220399"/>
    <n v="0.4"/>
    <n v="2156928600"/>
    <n v="39.700000000000003"/>
    <n v="17"/>
  </r>
  <r>
    <x v="71"/>
    <x v="32"/>
    <x v="32"/>
    <s v="UPCOM"/>
    <s v="1350"/>
    <n v="0.59398957485832826"/>
    <n v="0.43797914971665652"/>
    <n v="0.75"/>
    <n v="15910443400"/>
    <n v="12.5"/>
    <n v="18"/>
  </r>
  <r>
    <x v="71"/>
    <x v="56"/>
    <x v="56"/>
    <s v="HSX"/>
    <s v="8350"/>
    <n v="0.58861730394205158"/>
    <n v="0.87723460788410323"/>
    <n v="0.3"/>
    <n v="651715176000"/>
    <n v="45.5"/>
    <n v="19"/>
  </r>
  <r>
    <x v="71"/>
    <x v="64"/>
    <x v="64"/>
    <s v="HSX"/>
    <s v="8630"/>
    <n v="0.5863684946315374"/>
    <n v="0.97273698926307473"/>
    <n v="0.2"/>
    <n v="20853506020"/>
    <n v="8.99"/>
    <n v="20"/>
  </r>
  <r>
    <x v="72"/>
    <x v="67"/>
    <x v="67"/>
    <s v="HSX"/>
    <s v="2730"/>
    <n v="0.78959314054950591"/>
    <n v="0.82918628109901182"/>
    <n v="0.75"/>
    <n v="401073781600"/>
    <n v="34.799999999999997"/>
    <n v="1"/>
  </r>
  <r>
    <x v="72"/>
    <x v="116"/>
    <x v="116"/>
    <s v="HSX"/>
    <s v="8630"/>
    <n v="0.78673537663974935"/>
    <n v="0.97347075327949883"/>
    <n v="0.6"/>
    <n v="320218594200"/>
    <n v="15.45"/>
    <n v="2"/>
  </r>
  <r>
    <x v="72"/>
    <x v="151"/>
    <x v="151"/>
    <s v="HSX"/>
    <s v="2350"/>
    <n v="0.72954115843559053"/>
    <n v="0.60908231687118108"/>
    <n v="0.85"/>
    <n v="2942233600"/>
    <n v="5.2"/>
    <n v="3"/>
  </r>
  <r>
    <x v="72"/>
    <x v="140"/>
    <x v="140"/>
    <s v="UPCOM"/>
    <s v="2350"/>
    <n v="0.71485602634644141"/>
    <n v="0.97971205269288275"/>
    <n v="0.45"/>
    <n v="5750804200"/>
    <n v="9.6999999999999993"/>
    <n v="4"/>
  </r>
  <r>
    <x v="72"/>
    <x v="154"/>
    <x v="154"/>
    <s v="HSX"/>
    <s v="4570"/>
    <n v="0.70299082068206309"/>
    <n v="0.95598164136412622"/>
    <n v="0.45"/>
    <n v="16544852200"/>
    <n v="30.1"/>
    <n v="5"/>
  </r>
  <r>
    <x v="72"/>
    <x v="49"/>
    <x v="49"/>
    <s v="HSX"/>
    <s v="8780"/>
    <n v="0.68908146024524686"/>
    <n v="0.72816292049049358"/>
    <n v="0.65"/>
    <n v="357033755700"/>
    <n v="16.75"/>
    <n v="6"/>
  </r>
  <r>
    <x v="72"/>
    <x v="107"/>
    <x v="107"/>
    <s v="HNX"/>
    <s v="2350"/>
    <n v="0.67247691802366549"/>
    <n v="0.89495383604733092"/>
    <n v="0.45"/>
    <n v="39053875800"/>
    <n v="81"/>
    <n v="7"/>
  </r>
  <r>
    <x v="72"/>
    <x v="148"/>
    <x v="148"/>
    <s v="HSX"/>
    <s v="8630"/>
    <n v="0.67233100428289516"/>
    <n v="0.9446620085657903"/>
    <n v="0.4"/>
    <n v="2342258240"/>
    <n v="2.79"/>
    <n v="8"/>
  </r>
  <r>
    <x v="72"/>
    <x v="37"/>
    <x v="37"/>
    <s v="HSX"/>
    <s v="3570"/>
    <n v="0.65723063114042612"/>
    <n v="0.71446126228085227"/>
    <n v="0.6"/>
    <n v="33969757200"/>
    <n v="26.95"/>
    <n v="9"/>
  </r>
  <r>
    <x v="72"/>
    <x v="70"/>
    <x v="70"/>
    <s v="HSX"/>
    <s v="8350"/>
    <n v="0.65297156794988498"/>
    <n v="0.85594313589977"/>
    <n v="0.45"/>
    <n v="16296154800"/>
    <n v="13.9"/>
    <n v="10"/>
  </r>
  <r>
    <x v="72"/>
    <x v="126"/>
    <x v="126"/>
    <s v="UPCOM"/>
    <s v="8350"/>
    <n v="0.65148538300532999"/>
    <n v="0.85297076601066002"/>
    <n v="0.45"/>
    <n v="2157892600"/>
    <n v="41"/>
    <n v="11"/>
  </r>
  <r>
    <x v="72"/>
    <x v="99"/>
    <x v="99"/>
    <s v="HSX"/>
    <s v="5750"/>
    <n v="0.63482470687024206"/>
    <n v="0.8696494137404841"/>
    <n v="0.4"/>
    <n v="117308054100"/>
    <n v="38.950000000000003"/>
    <n v="12"/>
  </r>
  <r>
    <x v="72"/>
    <x v="138"/>
    <x v="138"/>
    <s v="HSX"/>
    <s v="8630"/>
    <n v="0.63260656661246462"/>
    <n v="0.61521313322492921"/>
    <n v="0.65"/>
    <n v="2787313420"/>
    <n v="4.4000000000000004"/>
    <n v="13"/>
  </r>
  <r>
    <x v="72"/>
    <x v="30"/>
    <x v="30"/>
    <s v="HSX"/>
    <s v="8630"/>
    <n v="0.63140026516114567"/>
    <n v="0.91280053032229136"/>
    <n v="0.35"/>
    <n v="101192048580"/>
    <n v="15.5"/>
    <n v="14"/>
  </r>
  <r>
    <x v="72"/>
    <x v="66"/>
    <x v="66"/>
    <s v="HSX"/>
    <s v="8630"/>
    <n v="0.63021635246823338"/>
    <n v="0.76043270493646664"/>
    <n v="0.5"/>
    <n v="4644903900"/>
    <n v="9.3000000000000007"/>
    <n v="15"/>
  </r>
  <r>
    <x v="72"/>
    <x v="132"/>
    <x v="132"/>
    <s v="HNX"/>
    <s v="1350"/>
    <n v="0.62956092920643991"/>
    <n v="0.90912185841287985"/>
    <n v="0.35"/>
    <n v="23389798200"/>
    <n v="23.3"/>
    <n v="16"/>
  </r>
  <r>
    <x v="72"/>
    <x v="86"/>
    <x v="86"/>
    <s v="HNX"/>
    <s v="8780"/>
    <n v="0.62328640188717011"/>
    <n v="0.94657280377434017"/>
    <n v="0.3"/>
    <n v="46242715200"/>
    <n v="27.8"/>
    <n v="17"/>
  </r>
  <r>
    <x v="72"/>
    <x v="27"/>
    <x v="27"/>
    <s v="HSX"/>
    <s v="3570"/>
    <n v="0.62125654768155547"/>
    <n v="0.84251309536311081"/>
    <n v="0.4"/>
    <n v="35040933200"/>
    <n v="19"/>
    <n v="18"/>
  </r>
  <r>
    <x v="72"/>
    <x v="56"/>
    <x v="56"/>
    <s v="HSX"/>
    <s v="8350"/>
    <n v="0.61955619859414757"/>
    <n v="0.88911239718829504"/>
    <n v="0.35"/>
    <n v="653408332000"/>
    <n v="46"/>
    <n v="19"/>
  </r>
  <r>
    <x v="72"/>
    <x v="146"/>
    <x v="146"/>
    <s v="HSX"/>
    <s v="2770"/>
    <n v="0.61943228842298359"/>
    <n v="0.68886457684596714"/>
    <n v="0.55000000000000004"/>
    <n v="2882472800"/>
    <n v="15.6"/>
    <n v="20"/>
  </r>
  <r>
    <x v="73"/>
    <x v="67"/>
    <x v="67"/>
    <s v="HSX"/>
    <s v="2730"/>
    <n v="0.85316872093702922"/>
    <n v="0.80633744187405842"/>
    <n v="0.9"/>
    <n v="392015069200"/>
    <n v="34.9"/>
    <n v="1"/>
  </r>
  <r>
    <x v="73"/>
    <x v="126"/>
    <x v="126"/>
    <s v="UPCOM"/>
    <s v="8350"/>
    <n v="0.78382916602162078"/>
    <n v="0.9676583320432417"/>
    <n v="0.6"/>
    <n v="2254814200"/>
    <n v="43.5"/>
    <n v="2"/>
  </r>
  <r>
    <x v="73"/>
    <x v="116"/>
    <x v="116"/>
    <s v="HSX"/>
    <s v="8630"/>
    <n v="0.78229931185992752"/>
    <n v="0.96459862371985494"/>
    <n v="0.6"/>
    <n v="326414381800"/>
    <n v="15.6"/>
    <n v="3"/>
  </r>
  <r>
    <x v="73"/>
    <x v="56"/>
    <x v="56"/>
    <s v="HSX"/>
    <s v="8350"/>
    <n v="0.72846900493508449"/>
    <n v="0.90693800987016893"/>
    <n v="0.55000000000000004"/>
    <n v="599055052000"/>
    <n v="47.2"/>
    <n v="4"/>
  </r>
  <r>
    <x v="73"/>
    <x v="148"/>
    <x v="148"/>
    <s v="HSX"/>
    <s v="8630"/>
    <n v="0.72199358565153982"/>
    <n v="0.94398717130307952"/>
    <n v="0.5"/>
    <n v="2392227040"/>
    <n v="2.8"/>
    <n v="5"/>
  </r>
  <r>
    <x v="73"/>
    <x v="151"/>
    <x v="151"/>
    <s v="HSX"/>
    <s v="2350"/>
    <n v="0.71237576069576014"/>
    <n v="0.52475152139152026"/>
    <n v="0.9"/>
    <n v="2945699920"/>
    <n v="5.2"/>
    <n v="6"/>
  </r>
  <r>
    <x v="73"/>
    <x v="146"/>
    <x v="146"/>
    <s v="HSX"/>
    <s v="2770"/>
    <n v="0.67069468927152853"/>
    <n v="0.64138937854305711"/>
    <n v="0.7"/>
    <n v="2751452700"/>
    <n v="15.5"/>
    <n v="7"/>
  </r>
  <r>
    <x v="73"/>
    <x v="99"/>
    <x v="99"/>
    <s v="HSX"/>
    <s v="5750"/>
    <n v="0.66052046887818161"/>
    <n v="0.77104093775636329"/>
    <n v="0.55000000000000004"/>
    <n v="118063216800"/>
    <n v="38.549999999999997"/>
    <n v="8"/>
  </r>
  <r>
    <x v="73"/>
    <x v="138"/>
    <x v="138"/>
    <s v="HSX"/>
    <s v="8630"/>
    <n v="0.64368956581755232"/>
    <n v="0.73737913163510449"/>
    <n v="0.55000000000000004"/>
    <n v="2809874800"/>
    <n v="4.59"/>
    <n v="9"/>
  </r>
  <r>
    <x v="73"/>
    <x v="140"/>
    <x v="140"/>
    <s v="UPCOM"/>
    <s v="2350"/>
    <n v="0.63639357960256959"/>
    <n v="0.97278715920513914"/>
    <n v="0.3"/>
    <n v="5896407000"/>
    <n v="9.3000000000000007"/>
    <n v="10"/>
  </r>
  <r>
    <x v="73"/>
    <x v="113"/>
    <x v="113"/>
    <s v="HSX"/>
    <s v="8350"/>
    <n v="0.624033375890235"/>
    <n v="0.94806675178046995"/>
    <n v="0.3"/>
    <n v="8670450600"/>
    <n v="17.3"/>
    <n v="11"/>
  </r>
  <r>
    <x v="73"/>
    <x v="27"/>
    <x v="27"/>
    <s v="HSX"/>
    <s v="3570"/>
    <n v="0.60855118623381654"/>
    <n v="0.81710237246763306"/>
    <n v="0.4"/>
    <n v="34175771200"/>
    <n v="19"/>
    <n v="12"/>
  </r>
  <r>
    <x v="73"/>
    <x v="154"/>
    <x v="154"/>
    <s v="HSX"/>
    <s v="4570"/>
    <n v="0.602963784423592"/>
    <n v="0.85592756884718413"/>
    <n v="0.35"/>
    <n v="17663878200"/>
    <n v="28"/>
    <n v="13"/>
  </r>
  <r>
    <x v="73"/>
    <x v="86"/>
    <x v="86"/>
    <s v="HNX"/>
    <s v="8780"/>
    <n v="0.60013174702603977"/>
    <n v="0.95026349405207955"/>
    <n v="0.25"/>
    <n v="47544238800"/>
    <n v="27.7"/>
    <n v="14"/>
  </r>
  <r>
    <x v="73"/>
    <x v="37"/>
    <x v="37"/>
    <s v="HSX"/>
    <s v="3570"/>
    <n v="0.59973962460272945"/>
    <n v="0.6994792492054589"/>
    <n v="0.5"/>
    <n v="33413243800"/>
    <n v="26.65"/>
    <n v="15"/>
  </r>
  <r>
    <x v="73"/>
    <x v="30"/>
    <x v="30"/>
    <s v="HSX"/>
    <s v="8630"/>
    <n v="0.59600101090782731"/>
    <n v="0.89200202181565469"/>
    <n v="0.3"/>
    <n v="102222741980"/>
    <n v="15.25"/>
    <n v="16"/>
  </r>
  <r>
    <x v="73"/>
    <x v="155"/>
    <x v="155"/>
    <s v="HSX"/>
    <s v="0570"/>
    <n v="0.58585549839375817"/>
    <n v="0.67171099678751633"/>
    <n v="0.5"/>
    <n v="134238442800"/>
    <n v="21.35"/>
    <n v="17"/>
  </r>
  <r>
    <x v="73"/>
    <x v="49"/>
    <x v="49"/>
    <s v="HSX"/>
    <s v="8780"/>
    <n v="0.57690034954447977"/>
    <n v="0.65380069908895944"/>
    <n v="0.5"/>
    <n v="351052542300"/>
    <n v="16.5"/>
    <n v="18"/>
  </r>
  <r>
    <x v="73"/>
    <x v="108"/>
    <x v="108"/>
    <s v="UPCOM"/>
    <s v="1350"/>
    <n v="0.57522289662416337"/>
    <n v="0.95044579324832668"/>
    <n v="0.2"/>
    <n v="64423956600"/>
    <n v="28.5"/>
    <n v="19"/>
  </r>
  <r>
    <x v="73"/>
    <x v="157"/>
    <x v="157"/>
    <s v="HSX"/>
    <s v="5370"/>
    <n v="0.57118487858523914"/>
    <n v="0.84236975717047835"/>
    <n v="0.3"/>
    <n v="69418304300"/>
    <n v="41"/>
    <n v="20"/>
  </r>
  <r>
    <x v="74"/>
    <x v="67"/>
    <x v="67"/>
    <s v="HSX"/>
    <s v="2730"/>
    <n v="0.84400777454573972"/>
    <n v="0.83801554909147946"/>
    <n v="0.85"/>
    <n v="388863458800"/>
    <n v="35"/>
    <n v="1"/>
  </r>
  <r>
    <x v="74"/>
    <x v="126"/>
    <x v="126"/>
    <s v="UPCOM"/>
    <s v="8350"/>
    <n v="0.75591314000099707"/>
    <n v="0.96182628000199422"/>
    <n v="0.55000000000000004"/>
    <n v="2271619000"/>
    <n v="43.8"/>
    <n v="2"/>
  </r>
  <r>
    <x v="74"/>
    <x v="116"/>
    <x v="116"/>
    <s v="HSX"/>
    <s v="8630"/>
    <n v="0.75026901434913706"/>
    <n v="0.95053802869827408"/>
    <n v="0.55000000000000004"/>
    <n v="328613058300"/>
    <n v="15.55"/>
    <n v="3"/>
  </r>
  <r>
    <x v="74"/>
    <x v="148"/>
    <x v="148"/>
    <s v="HSX"/>
    <s v="8630"/>
    <n v="0.74058091952172989"/>
    <n v="0.98116183904345977"/>
    <n v="0.5"/>
    <n v="2524741040"/>
    <n v="2.95"/>
    <n v="4"/>
  </r>
  <r>
    <x v="74"/>
    <x v="56"/>
    <x v="56"/>
    <s v="HSX"/>
    <s v="8350"/>
    <n v="0.71869638702936567"/>
    <n v="0.88739277405873129"/>
    <n v="0.55000000000000004"/>
    <n v="578202251100"/>
    <n v="47.15"/>
    <n v="5"/>
  </r>
  <r>
    <x v="74"/>
    <x v="33"/>
    <x v="33"/>
    <s v="HSX"/>
    <s v="8630"/>
    <n v="0.71333941736934026"/>
    <n v="0.97667883473868056"/>
    <n v="0.45"/>
    <n v="5025057040"/>
    <n v="2.64"/>
    <n v="6"/>
  </r>
  <r>
    <x v="74"/>
    <x v="138"/>
    <x v="138"/>
    <s v="HSX"/>
    <s v="8630"/>
    <n v="0.69829848988820453"/>
    <n v="0.7965969797764092"/>
    <n v="0.6"/>
    <n v="2849013540"/>
    <n v="4.72"/>
    <n v="7"/>
  </r>
  <r>
    <x v="74"/>
    <x v="86"/>
    <x v="86"/>
    <s v="HNX"/>
    <s v="8780"/>
    <n v="0.67406508220805539"/>
    <n v="0.94813016441611064"/>
    <n v="0.4"/>
    <n v="48439863600"/>
    <n v="28.5"/>
    <n v="8"/>
  </r>
  <r>
    <x v="74"/>
    <x v="132"/>
    <x v="132"/>
    <s v="HNX"/>
    <s v="1350"/>
    <n v="0.66718109152590399"/>
    <n v="0.78436218305180794"/>
    <n v="0.55000000000000004"/>
    <n v="23852459400"/>
    <n v="22.6"/>
    <n v="9"/>
  </r>
  <r>
    <x v="74"/>
    <x v="22"/>
    <x v="22"/>
    <s v="HSX"/>
    <s v="8630"/>
    <n v="0.65125215932485192"/>
    <n v="0.85250431864970377"/>
    <n v="0.45"/>
    <n v="27023554880"/>
    <n v="7.2"/>
    <n v="10"/>
  </r>
  <r>
    <x v="74"/>
    <x v="151"/>
    <x v="151"/>
    <s v="HSX"/>
    <s v="2350"/>
    <n v="0.64079948287732291"/>
    <n v="0.48159896575464572"/>
    <n v="0.8"/>
    <n v="2976882360"/>
    <n v="5.14"/>
    <n v="11"/>
  </r>
  <r>
    <x v="74"/>
    <x v="146"/>
    <x v="146"/>
    <s v="HSX"/>
    <s v="2770"/>
    <n v="0.64058481703718351"/>
    <n v="0.63116963407436688"/>
    <n v="0.65"/>
    <n v="2573954300"/>
    <n v="15.45"/>
    <n v="12"/>
  </r>
  <r>
    <x v="74"/>
    <x v="140"/>
    <x v="140"/>
    <s v="UPCOM"/>
    <s v="2350"/>
    <n v="0.63296076520819411"/>
    <n v="0.96592153041638817"/>
    <n v="0.3"/>
    <n v="5948465000"/>
    <n v="9.4"/>
    <n v="13"/>
  </r>
  <r>
    <x v="74"/>
    <x v="108"/>
    <x v="108"/>
    <s v="UPCOM"/>
    <s v="1350"/>
    <n v="0.61830513841372281"/>
    <n v="0.93661027682744558"/>
    <n v="0.3"/>
    <n v="64769159800"/>
    <n v="28.3"/>
    <n v="14"/>
  </r>
  <r>
    <x v="74"/>
    <x v="113"/>
    <x v="113"/>
    <s v="HSX"/>
    <s v="8350"/>
    <n v="0.61293900380074973"/>
    <n v="0.92587800760149941"/>
    <n v="0.3"/>
    <n v="8828832000"/>
    <n v="17.100000000000001"/>
    <n v="15"/>
  </r>
  <r>
    <x v="74"/>
    <x v="157"/>
    <x v="157"/>
    <s v="HSX"/>
    <s v="5370"/>
    <n v="0.60634565289224884"/>
    <n v="0.9626913057844978"/>
    <n v="0.25"/>
    <n v="72955545400"/>
    <n v="43.85"/>
    <n v="16"/>
  </r>
  <r>
    <x v="74"/>
    <x v="155"/>
    <x v="155"/>
    <s v="HSX"/>
    <s v="0570"/>
    <n v="0.60394000724184538"/>
    <n v="0.65788001448369071"/>
    <n v="0.55000000000000004"/>
    <n v="133879888800"/>
    <n v="21.3"/>
    <n v="17"/>
  </r>
  <r>
    <x v="74"/>
    <x v="27"/>
    <x v="27"/>
    <s v="HSX"/>
    <s v="3570"/>
    <n v="0.57800940254147481"/>
    <n v="0.80601880508294976"/>
    <n v="0.35"/>
    <n v="33776701800"/>
    <n v="19.100000000000001"/>
    <n v="18"/>
  </r>
  <r>
    <x v="74"/>
    <x v="158"/>
    <x v="158"/>
    <s v="HNX"/>
    <s v="0570"/>
    <n v="0.55515970879731835"/>
    <n v="0.96031941759463668"/>
    <n v="0.15"/>
    <n v="10872080400"/>
    <n v="12.4"/>
    <n v="19"/>
  </r>
  <r>
    <x v="74"/>
    <x v="30"/>
    <x v="30"/>
    <s v="HSX"/>
    <s v="8630"/>
    <n v="0.54850959443583758"/>
    <n v="0.84701918887167504"/>
    <n v="0.25"/>
    <n v="100678945180"/>
    <n v="15.05"/>
    <n v="20"/>
  </r>
  <r>
    <x v="75"/>
    <x v="67"/>
    <x v="67"/>
    <s v="HSX"/>
    <s v="2730"/>
    <n v="0.83030231099887897"/>
    <n v="0.81060462199775807"/>
    <n v="0.85"/>
    <n v="391059796900"/>
    <n v="35.1"/>
    <n v="1"/>
  </r>
  <r>
    <x v="75"/>
    <x v="146"/>
    <x v="146"/>
    <s v="HSX"/>
    <s v="2770"/>
    <n v="0.75792504977334529"/>
    <n v="0.81585009954669063"/>
    <n v="0.7"/>
    <n v="2674445700"/>
    <n v="15.7"/>
    <n v="2"/>
  </r>
  <r>
    <x v="75"/>
    <x v="126"/>
    <x v="126"/>
    <s v="UPCOM"/>
    <s v="8350"/>
    <n v="0.7536650658258498"/>
    <n v="0.95733013165169956"/>
    <n v="0.55000000000000004"/>
    <n v="2266305200"/>
    <n v="43.7"/>
    <n v="3"/>
  </r>
  <r>
    <x v="75"/>
    <x v="148"/>
    <x v="148"/>
    <s v="HSX"/>
    <s v="8630"/>
    <n v="0.72635069219180237"/>
    <n v="0.95270138438360485"/>
    <n v="0.5"/>
    <n v="2568110080"/>
    <n v="2.86"/>
    <n v="4"/>
  </r>
  <r>
    <x v="75"/>
    <x v="116"/>
    <x v="116"/>
    <s v="HSX"/>
    <s v="8630"/>
    <n v="0.72513386149143955"/>
    <n v="0.9502677229828792"/>
    <n v="0.5"/>
    <n v="334636907740"/>
    <n v="15.45"/>
    <n v="5"/>
  </r>
  <r>
    <x v="75"/>
    <x v="33"/>
    <x v="33"/>
    <s v="HSX"/>
    <s v="8630"/>
    <n v="0.70252520359804771"/>
    <n v="0.95505040719609535"/>
    <n v="0.45"/>
    <n v="5174606060"/>
    <n v="2.57"/>
    <n v="6"/>
  </r>
  <r>
    <x v="75"/>
    <x v="140"/>
    <x v="140"/>
    <s v="UPCOM"/>
    <s v="2350"/>
    <n v="0.68275490695834573"/>
    <n v="0.96550981391669144"/>
    <n v="0.4"/>
    <n v="6020272000"/>
    <n v="9.4"/>
    <n v="7"/>
  </r>
  <r>
    <x v="75"/>
    <x v="22"/>
    <x v="22"/>
    <s v="HSX"/>
    <s v="8630"/>
    <n v="0.67758378760559035"/>
    <n v="0.75516757521118072"/>
    <n v="0.6"/>
    <n v="27177757020"/>
    <n v="7.12"/>
    <n v="8"/>
  </r>
  <r>
    <x v="75"/>
    <x v="138"/>
    <x v="138"/>
    <s v="HSX"/>
    <s v="8630"/>
    <n v="0.66750054854133944"/>
    <n v="0.7350010970826788"/>
    <n v="0.6"/>
    <n v="2880248580"/>
    <n v="4.51"/>
    <n v="9"/>
  </r>
  <r>
    <x v="75"/>
    <x v="45"/>
    <x v="45"/>
    <s v="HSX"/>
    <s v="2730"/>
    <n v="0.65869295350763046"/>
    <n v="0.76738590701526099"/>
    <n v="0.55000000000000004"/>
    <n v="102036228400"/>
    <n v="98.5"/>
    <n v="10"/>
  </r>
  <r>
    <x v="75"/>
    <x v="132"/>
    <x v="132"/>
    <s v="HNX"/>
    <s v="1350"/>
    <n v="0.65841315259471089"/>
    <n v="0.76682630518942174"/>
    <n v="0.55000000000000004"/>
    <n v="24152584400"/>
    <n v="22.6"/>
    <n v="11"/>
  </r>
  <r>
    <x v="75"/>
    <x v="86"/>
    <x v="86"/>
    <s v="HNX"/>
    <s v="8780"/>
    <n v="0.65353154351097498"/>
    <n v="0.95706308702194998"/>
    <n v="0.35"/>
    <n v="50697414600"/>
    <n v="29.5"/>
    <n v="12"/>
  </r>
  <r>
    <x v="75"/>
    <x v="27"/>
    <x v="27"/>
    <s v="HSX"/>
    <s v="3570"/>
    <n v="0.62692430922596587"/>
    <n v="0.80384861845193178"/>
    <n v="0.45"/>
    <n v="33283601600"/>
    <n v="19"/>
    <n v="13"/>
  </r>
  <r>
    <x v="75"/>
    <x v="70"/>
    <x v="70"/>
    <s v="HSX"/>
    <s v="8350"/>
    <n v="0.62129450291792376"/>
    <n v="0.94258900583584759"/>
    <n v="0.3"/>
    <n v="16091095000"/>
    <n v="14.7"/>
    <n v="14"/>
  </r>
  <r>
    <x v="75"/>
    <x v="56"/>
    <x v="56"/>
    <s v="HSX"/>
    <s v="8350"/>
    <n v="0.60993363561357905"/>
    <n v="0.86986727122715812"/>
    <n v="0.35"/>
    <n v="553318557900"/>
    <n v="46.6"/>
    <n v="15"/>
  </r>
  <r>
    <x v="75"/>
    <x v="113"/>
    <x v="113"/>
    <s v="HSX"/>
    <s v="8350"/>
    <n v="0.59883455057426294"/>
    <n v="0.94766910114852598"/>
    <n v="0.25"/>
    <n v="9104735600"/>
    <n v="17.5"/>
    <n v="16"/>
  </r>
  <r>
    <x v="75"/>
    <x v="157"/>
    <x v="157"/>
    <s v="HSX"/>
    <s v="5370"/>
    <n v="0.59627522902431029"/>
    <n v="0.94255045804862048"/>
    <n v="0.25"/>
    <n v="74922608600"/>
    <n v="44.5"/>
    <n v="17"/>
  </r>
  <r>
    <x v="75"/>
    <x v="108"/>
    <x v="108"/>
    <s v="UPCOM"/>
    <s v="1350"/>
    <n v="0.59187250396472202"/>
    <n v="0.8837450079294441"/>
    <n v="0.3"/>
    <n v="64137187800"/>
    <n v="27.8"/>
    <n v="18"/>
  </r>
  <r>
    <x v="75"/>
    <x v="159"/>
    <x v="159"/>
    <s v="HNX"/>
    <s v="2350"/>
    <n v="0.58557673099145169"/>
    <n v="0.67115346198290338"/>
    <n v="0.5"/>
    <n v="13548678400"/>
    <n v="6.1"/>
    <n v="19"/>
  </r>
  <r>
    <x v="75"/>
    <x v="71"/>
    <x v="71"/>
    <s v="HSX"/>
    <s v="8780"/>
    <n v="0.57834806748842205"/>
    <n v="0.556696134976844"/>
    <n v="0.6"/>
    <n v="10095204980"/>
    <n v="12.1"/>
    <n v="20"/>
  </r>
  <r>
    <x v="76"/>
    <x v="126"/>
    <x v="126"/>
    <s v="UPCOM"/>
    <s v="8350"/>
    <n v="0.71790114842557073"/>
    <n v="0.88580229685114142"/>
    <n v="0.55000000000000004"/>
    <n v="2266137600"/>
    <n v="43.6"/>
    <n v="1"/>
  </r>
  <r>
    <x v="76"/>
    <x v="67"/>
    <x v="67"/>
    <s v="HSX"/>
    <s v="2730"/>
    <n v="0.69798081014920554"/>
    <n v="0.84596162029841115"/>
    <n v="0.55000000000000004"/>
    <n v="394351241800"/>
    <n v="35.9"/>
    <n v="2"/>
  </r>
  <r>
    <x v="76"/>
    <x v="33"/>
    <x v="33"/>
    <s v="HSX"/>
    <s v="8630"/>
    <n v="0.67230584120075954"/>
    <n v="0.89461168240151911"/>
    <n v="0.45"/>
    <n v="5282823060"/>
    <n v="2.4500000000000002"/>
    <n v="3"/>
  </r>
  <r>
    <x v="76"/>
    <x v="155"/>
    <x v="155"/>
    <s v="HSX"/>
    <s v="0570"/>
    <n v="0.67220871707429208"/>
    <n v="0.74441743414858408"/>
    <n v="0.6"/>
    <n v="139359017100"/>
    <n v="21.7"/>
    <n v="4"/>
  </r>
  <r>
    <x v="76"/>
    <x v="22"/>
    <x v="22"/>
    <s v="HSX"/>
    <s v="8630"/>
    <n v="0.65576389954738823"/>
    <n v="0.71152779909477659"/>
    <n v="0.6"/>
    <n v="26902282380"/>
    <n v="7.05"/>
    <n v="5"/>
  </r>
  <r>
    <x v="76"/>
    <x v="86"/>
    <x v="86"/>
    <s v="HNX"/>
    <s v="8780"/>
    <n v="0.64824038880381685"/>
    <n v="0.94648077760763372"/>
    <n v="0.35"/>
    <n v="53078263800"/>
    <n v="28.6"/>
    <n v="6"/>
  </r>
  <r>
    <x v="76"/>
    <x v="158"/>
    <x v="158"/>
    <s v="HNX"/>
    <s v="0570"/>
    <n v="0.64165534734227059"/>
    <n v="0.98331069468454113"/>
    <n v="0.3"/>
    <n v="12500435800"/>
    <n v="13.3"/>
    <n v="7"/>
  </r>
  <r>
    <x v="76"/>
    <x v="108"/>
    <x v="108"/>
    <s v="UPCOM"/>
    <s v="1350"/>
    <n v="0.63563794387580086"/>
    <n v="0.87127588775160181"/>
    <n v="0.4"/>
    <n v="64652573200"/>
    <n v="27.8"/>
    <n v="8"/>
  </r>
  <r>
    <x v="76"/>
    <x v="52"/>
    <x v="52"/>
    <s v="HSX"/>
    <s v="2350"/>
    <n v="0.62799197278305596"/>
    <n v="0.95598394556611188"/>
    <n v="0.3"/>
    <n v="38822480700"/>
    <n v="25.1"/>
    <n v="9"/>
  </r>
  <r>
    <x v="76"/>
    <x v="27"/>
    <x v="27"/>
    <s v="HSX"/>
    <s v="3570"/>
    <n v="0.62787185057324346"/>
    <n v="0.80574370114648697"/>
    <n v="0.45"/>
    <n v="33093169000"/>
    <n v="19.100000000000001"/>
    <n v="10"/>
  </r>
  <r>
    <x v="76"/>
    <x v="56"/>
    <x v="56"/>
    <s v="HSX"/>
    <s v="8350"/>
    <n v="0.619068704946103"/>
    <n v="0.83813740989220586"/>
    <n v="0.4"/>
    <n v="539001503900"/>
    <n v="46.45"/>
    <n v="11"/>
  </r>
  <r>
    <x v="76"/>
    <x v="148"/>
    <x v="148"/>
    <s v="HSX"/>
    <s v="8630"/>
    <n v="0.61240336786966787"/>
    <n v="0.92480673573933569"/>
    <n v="0.3"/>
    <n v="2632097080"/>
    <n v="2.75"/>
    <n v="12"/>
  </r>
  <r>
    <x v="76"/>
    <x v="140"/>
    <x v="140"/>
    <s v="UPCOM"/>
    <s v="2350"/>
    <n v="0.60806939058307652"/>
    <n v="0.96613878116615304"/>
    <n v="0.25"/>
    <n v="6273166600"/>
    <n v="9.1"/>
    <n v="13"/>
  </r>
  <r>
    <x v="76"/>
    <x v="45"/>
    <x v="45"/>
    <s v="HSX"/>
    <s v="2730"/>
    <n v="0.59029253002607662"/>
    <n v="0.83058506005215316"/>
    <n v="0.35"/>
    <n v="104676565200"/>
    <n v="99.8"/>
    <n v="14"/>
  </r>
  <r>
    <x v="76"/>
    <x v="160"/>
    <x v="160"/>
    <s v="HSX"/>
    <s v="8630"/>
    <n v="0.58161764457187981"/>
    <n v="0.86323528914375958"/>
    <n v="0.3"/>
    <n v="49935678200"/>
    <n v="6.33"/>
    <n v="15"/>
  </r>
  <r>
    <x v="76"/>
    <x v="138"/>
    <x v="138"/>
    <s v="HSX"/>
    <s v="8630"/>
    <n v="0.57443788361712933"/>
    <n v="0.54887576723425857"/>
    <n v="0.6"/>
    <n v="2892763140"/>
    <n v="4.3899999999999997"/>
    <n v="16"/>
  </r>
  <r>
    <x v="76"/>
    <x v="159"/>
    <x v="159"/>
    <s v="HNX"/>
    <s v="2350"/>
    <n v="0.56599822796555488"/>
    <n v="0.53199645593110978"/>
    <n v="0.6"/>
    <n v="13680212400"/>
    <n v="6"/>
    <n v="17"/>
  </r>
  <r>
    <x v="76"/>
    <x v="17"/>
    <x v="17"/>
    <s v="HSX"/>
    <s v="1350"/>
    <n v="0.56586844464135111"/>
    <n v="0.88173688928270222"/>
    <n v="0.25"/>
    <n v="38214739300"/>
    <n v="59.1"/>
    <n v="18"/>
  </r>
  <r>
    <x v="76"/>
    <x v="161"/>
    <x v="161"/>
    <s v="UPCOM"/>
    <s v="6530"/>
    <n v="0.55721828676769636"/>
    <n v="0.31443657353539273"/>
    <n v="0.8"/>
    <n v="38709522400"/>
    <n v="71"/>
    <n v="19"/>
  </r>
  <r>
    <x v="76"/>
    <x v="157"/>
    <x v="157"/>
    <s v="HSX"/>
    <s v="5370"/>
    <n v="0.55678292458096967"/>
    <n v="0.91356584916193939"/>
    <n v="0.2"/>
    <n v="76504434100"/>
    <n v="43"/>
    <n v="20"/>
  </r>
  <r>
    <x v="77"/>
    <x v="126"/>
    <x v="126"/>
    <s v="UPCOM"/>
    <s v="8350"/>
    <n v="0.75729179876915254"/>
    <n v="0.96458359753830514"/>
    <n v="0.55000000000000004"/>
    <n v="2245010400"/>
    <n v="47"/>
    <n v="1"/>
  </r>
  <r>
    <x v="77"/>
    <x v="108"/>
    <x v="108"/>
    <s v="UPCOM"/>
    <s v="1350"/>
    <n v="0.71510724120363134"/>
    <n v="0.88021448240726263"/>
    <n v="0.55000000000000004"/>
    <n v="66368869600"/>
    <n v="27.4"/>
    <n v="2"/>
  </r>
  <r>
    <x v="77"/>
    <x v="22"/>
    <x v="22"/>
    <s v="HSX"/>
    <s v="8630"/>
    <n v="0.67250303934373035"/>
    <n v="0.7450060786874606"/>
    <n v="0.6"/>
    <n v="27352529740"/>
    <n v="7.16"/>
    <n v="3"/>
  </r>
  <r>
    <x v="77"/>
    <x v="27"/>
    <x v="27"/>
    <s v="HSX"/>
    <s v="3570"/>
    <n v="0.65056100092583924"/>
    <n v="0.80112200185167848"/>
    <n v="0.5"/>
    <n v="30829808800"/>
    <n v="19.100000000000001"/>
    <n v="4"/>
  </r>
  <r>
    <x v="77"/>
    <x v="89"/>
    <x v="89"/>
    <s v="HSX"/>
    <s v="8630"/>
    <n v="0.64074787571431846"/>
    <n v="0.8814957514286369"/>
    <n v="0.4"/>
    <n v="539038363800"/>
    <n v="77.3"/>
    <n v="5"/>
  </r>
  <r>
    <x v="77"/>
    <x v="162"/>
    <x v="162"/>
    <s v="HSX"/>
    <s v="8350"/>
    <n v="0.63678483839496258"/>
    <n v="0.87356967678992514"/>
    <n v="0.4"/>
    <n v="590544631400"/>
    <n v="34"/>
    <n v="6"/>
  </r>
  <r>
    <x v="77"/>
    <x v="140"/>
    <x v="140"/>
    <s v="UPCOM"/>
    <s v="2350"/>
    <n v="0.62824436493400493"/>
    <n v="0.95648872986800981"/>
    <n v="0.3"/>
    <n v="6432529000"/>
    <n v="9.1999999999999993"/>
    <n v="7"/>
  </r>
  <r>
    <x v="77"/>
    <x v="86"/>
    <x v="86"/>
    <s v="HNX"/>
    <s v="8780"/>
    <n v="0.62356517665880618"/>
    <n v="0.94713035331761231"/>
    <n v="0.3"/>
    <n v="53069308800"/>
    <n v="29.3"/>
    <n v="8"/>
  </r>
  <r>
    <x v="77"/>
    <x v="163"/>
    <x v="163"/>
    <s v="HSX"/>
    <s v="7570"/>
    <n v="0.60981788473938847"/>
    <n v="0.56963576947877703"/>
    <n v="0.65"/>
    <n v="2256774900"/>
    <n v="29.15"/>
    <n v="9"/>
  </r>
  <r>
    <x v="77"/>
    <x v="148"/>
    <x v="148"/>
    <s v="HSX"/>
    <s v="8630"/>
    <n v="0.60909783506458992"/>
    <n v="0.91819567012917991"/>
    <n v="0.3"/>
    <n v="2574009040"/>
    <n v="2.79"/>
    <n v="10"/>
  </r>
  <r>
    <x v="77"/>
    <x v="56"/>
    <x v="56"/>
    <s v="HSX"/>
    <s v="8350"/>
    <n v="0.60238964741112666"/>
    <n v="0.85477929482225334"/>
    <n v="0.35"/>
    <n v="548613673100"/>
    <n v="46.5"/>
    <n v="11"/>
  </r>
  <r>
    <x v="77"/>
    <x v="64"/>
    <x v="64"/>
    <s v="HSX"/>
    <s v="8630"/>
    <n v="0.60006701686111952"/>
    <n v="0.95013403372223915"/>
    <n v="0.25"/>
    <n v="22949504720"/>
    <n v="9"/>
    <n v="12"/>
  </r>
  <r>
    <x v="77"/>
    <x v="164"/>
    <x v="164"/>
    <s v="HSX"/>
    <s v="7530"/>
    <n v="0.59794696879259623"/>
    <n v="0.74589393758519251"/>
    <n v="0.45"/>
    <n v="13255655800"/>
    <n v="19.45"/>
    <n v="13"/>
  </r>
  <r>
    <x v="77"/>
    <x v="67"/>
    <x v="67"/>
    <s v="HSX"/>
    <s v="2730"/>
    <n v="0.58924313709446019"/>
    <n v="0.92848627418892027"/>
    <n v="0.25"/>
    <n v="414307946200"/>
    <n v="37.25"/>
    <n v="14"/>
  </r>
  <r>
    <x v="77"/>
    <x v="157"/>
    <x v="157"/>
    <s v="HSX"/>
    <s v="5370"/>
    <n v="0.58566726535440461"/>
    <n v="0.87133453070880929"/>
    <n v="0.3"/>
    <n v="78434243100"/>
    <n v="43"/>
    <n v="15"/>
  </r>
  <r>
    <x v="77"/>
    <x v="161"/>
    <x v="161"/>
    <s v="UPCOM"/>
    <s v="6530"/>
    <n v="0.58183396916608199"/>
    <n v="0.31366793833216389"/>
    <n v="0.85"/>
    <n v="38912381600"/>
    <n v="72"/>
    <n v="16"/>
  </r>
  <r>
    <x v="77"/>
    <x v="33"/>
    <x v="33"/>
    <s v="HSX"/>
    <s v="8630"/>
    <n v="0.57998601867526478"/>
    <n v="0.90997203735052945"/>
    <n v="0.25"/>
    <n v="5396298820"/>
    <n v="2.54"/>
    <n v="17"/>
  </r>
  <r>
    <x v="77"/>
    <x v="146"/>
    <x v="146"/>
    <s v="HSX"/>
    <s v="2770"/>
    <n v="0.55738423269125037"/>
    <n v="0.56476846538250081"/>
    <n v="0.55000000000000004"/>
    <n v="2674902500"/>
    <n v="15.55"/>
    <n v="18"/>
  </r>
  <r>
    <x v="77"/>
    <x v="71"/>
    <x v="71"/>
    <s v="HSX"/>
    <s v="8780"/>
    <n v="0.55733686698734997"/>
    <n v="0.71467373397470002"/>
    <n v="0.4"/>
    <n v="10473408220"/>
    <n v="12.1"/>
    <n v="19"/>
  </r>
  <r>
    <x v="77"/>
    <x v="158"/>
    <x v="158"/>
    <s v="HNX"/>
    <s v="0570"/>
    <n v="0.54418532949866383"/>
    <n v="0.93837065899732774"/>
    <n v="0.15"/>
    <n v="14123679200"/>
    <n v="12.1"/>
    <n v="20"/>
  </r>
  <r>
    <x v="78"/>
    <x v="126"/>
    <x v="126"/>
    <s v="UPCOM"/>
    <s v="8350"/>
    <n v="0.80198100263808603"/>
    <n v="0.95396200527617192"/>
    <n v="0.65"/>
    <n v="2214175800"/>
    <n v="46.5"/>
    <n v="1"/>
  </r>
  <r>
    <x v="78"/>
    <x v="22"/>
    <x v="22"/>
    <s v="HSX"/>
    <s v="8630"/>
    <n v="0.70215087566573575"/>
    <n v="0.80430175133147153"/>
    <n v="0.6"/>
    <n v="27531429940"/>
    <n v="7.26"/>
    <n v="2"/>
  </r>
  <r>
    <x v="78"/>
    <x v="108"/>
    <x v="108"/>
    <s v="UPCOM"/>
    <s v="1350"/>
    <n v="0.69825840123699556"/>
    <n v="0.84651680247399108"/>
    <n v="0.55000000000000004"/>
    <n v="65875930400"/>
    <n v="27.6"/>
    <n v="3"/>
  </r>
  <r>
    <x v="78"/>
    <x v="86"/>
    <x v="86"/>
    <s v="HNX"/>
    <s v="8780"/>
    <n v="0.68958041089556166"/>
    <n v="0.92916082179112336"/>
    <n v="0.45"/>
    <n v="55166813400"/>
    <n v="28.3"/>
    <n v="4"/>
  </r>
  <r>
    <x v="78"/>
    <x v="27"/>
    <x v="27"/>
    <s v="HSX"/>
    <s v="3570"/>
    <n v="0.67008091364126399"/>
    <n v="0.79016182728252804"/>
    <n v="0.55000000000000004"/>
    <n v="30123490500"/>
    <n v="19.100000000000001"/>
    <n v="5"/>
  </r>
  <r>
    <x v="78"/>
    <x v="56"/>
    <x v="56"/>
    <s v="HSX"/>
    <s v="8350"/>
    <n v="0.65048689638642787"/>
    <n v="0.85097379277285579"/>
    <n v="0.45"/>
    <n v="520113829500"/>
    <n v="46.8"/>
    <n v="6"/>
  </r>
  <r>
    <x v="78"/>
    <x v="165"/>
    <x v="165"/>
    <s v="HSX"/>
    <s v="8630"/>
    <n v="0.63660349088662316"/>
    <n v="0.67320698177324645"/>
    <n v="0.6"/>
    <n v="7879600700"/>
    <n v="32.85"/>
    <n v="7"/>
  </r>
  <r>
    <x v="78"/>
    <x v="62"/>
    <x v="62"/>
    <s v="HSX"/>
    <s v="1350"/>
    <n v="0.63421191038110303"/>
    <n v="0.61842382076220614"/>
    <n v="0.65"/>
    <n v="118544094300"/>
    <n v="30.8"/>
    <n v="8"/>
  </r>
  <r>
    <x v="78"/>
    <x v="49"/>
    <x v="49"/>
    <s v="HSX"/>
    <s v="8780"/>
    <n v="0.63304057945753511"/>
    <n v="0.71608115891507029"/>
    <n v="0.55000000000000004"/>
    <n v="356107623700"/>
    <n v="16.95"/>
    <n v="9"/>
  </r>
  <r>
    <x v="78"/>
    <x v="148"/>
    <x v="148"/>
    <s v="HSX"/>
    <s v="8630"/>
    <n v="0.62018682411813164"/>
    <n v="0.89037364823626342"/>
    <n v="0.35"/>
    <n v="2492695860"/>
    <n v="2.76"/>
    <n v="10"/>
  </r>
  <r>
    <x v="78"/>
    <x v="166"/>
    <x v="166"/>
    <s v="HNX"/>
    <s v="0570"/>
    <n v="0.6157804525066759"/>
    <n v="0.63156090501335171"/>
    <n v="0.6"/>
    <n v="190191295600"/>
    <n v="32.5"/>
    <n v="11"/>
  </r>
  <r>
    <x v="78"/>
    <x v="158"/>
    <x v="158"/>
    <s v="HNX"/>
    <s v="0570"/>
    <n v="0.61045406369484523"/>
    <n v="0.82090812738969043"/>
    <n v="0.4"/>
    <n v="14507906000"/>
    <n v="11.7"/>
    <n v="12"/>
  </r>
  <r>
    <x v="78"/>
    <x v="140"/>
    <x v="140"/>
    <s v="UPCOM"/>
    <s v="2350"/>
    <n v="0.59806787998266264"/>
    <n v="0.94613575996532528"/>
    <n v="0.25"/>
    <n v="6604558200"/>
    <n v="9.3000000000000007"/>
    <n v="13"/>
  </r>
  <r>
    <x v="78"/>
    <x v="32"/>
    <x v="32"/>
    <s v="UPCOM"/>
    <s v="1350"/>
    <n v="0.59773753216554093"/>
    <n v="0.64547506433108182"/>
    <n v="0.55000000000000004"/>
    <n v="15236394600"/>
    <n v="13"/>
    <n v="14"/>
  </r>
  <r>
    <x v="78"/>
    <x v="161"/>
    <x v="161"/>
    <s v="UPCOM"/>
    <s v="6530"/>
    <n v="0.59164373366596279"/>
    <n v="0.3332874673319256"/>
    <n v="0.85"/>
    <n v="37836796800"/>
    <n v="71.900000000000006"/>
    <n v="15"/>
  </r>
  <r>
    <x v="78"/>
    <x v="138"/>
    <x v="138"/>
    <s v="HSX"/>
    <s v="8630"/>
    <n v="0.59032425381583697"/>
    <n v="0.48064850763167399"/>
    <n v="0.7"/>
    <n v="2890692360"/>
    <n v="4.3600000000000003"/>
    <n v="16"/>
  </r>
  <r>
    <x v="78"/>
    <x v="64"/>
    <x v="64"/>
    <s v="HSX"/>
    <s v="8630"/>
    <n v="0.58904562824397322"/>
    <n v="0.97809125648794637"/>
    <n v="0.2"/>
    <n v="24170013500"/>
    <n v="9.35"/>
    <n v="17"/>
  </r>
  <r>
    <x v="78"/>
    <x v="70"/>
    <x v="70"/>
    <s v="HSX"/>
    <s v="8350"/>
    <n v="0.58748479985499502"/>
    <n v="0.92496959970999004"/>
    <n v="0.25"/>
    <n v="17374717000"/>
    <n v="14.7"/>
    <n v="18"/>
  </r>
  <r>
    <x v="78"/>
    <x v="157"/>
    <x v="157"/>
    <s v="HSX"/>
    <s v="5370"/>
    <n v="0.58080104157424883"/>
    <n v="0.91160208314849778"/>
    <n v="0.25"/>
    <n v="78672069300"/>
    <n v="43.9"/>
    <n v="19"/>
  </r>
  <r>
    <x v="78"/>
    <x v="89"/>
    <x v="89"/>
    <s v="HSX"/>
    <s v="8630"/>
    <n v="0.57762745811350225"/>
    <n v="0.85525491622700456"/>
    <n v="0.3"/>
    <n v="530978400400"/>
    <n v="77.900000000000006"/>
    <n v="20"/>
  </r>
  <r>
    <x v="79"/>
    <x v="126"/>
    <x v="126"/>
    <s v="UPCOM"/>
    <s v="8350"/>
    <n v="0.86894754891562986"/>
    <n v="0.98789509783125973"/>
    <n v="0.75"/>
    <n v="2362271400"/>
    <n v="49.7"/>
    <n v="1"/>
  </r>
  <r>
    <x v="79"/>
    <x v="33"/>
    <x v="33"/>
    <s v="HSX"/>
    <s v="8630"/>
    <n v="0.7108907416842194"/>
    <n v="0.97178148336843873"/>
    <n v="0.45"/>
    <n v="5860972440"/>
    <n v="2.67"/>
    <n v="2"/>
  </r>
  <r>
    <x v="79"/>
    <x v="22"/>
    <x v="22"/>
    <s v="HSX"/>
    <s v="8630"/>
    <n v="0.70532803342669426"/>
    <n v="0.76065606685338849"/>
    <n v="0.65"/>
    <n v="27669733880"/>
    <n v="7.25"/>
    <n v="3"/>
  </r>
  <r>
    <x v="79"/>
    <x v="108"/>
    <x v="108"/>
    <s v="UPCOM"/>
    <s v="1350"/>
    <n v="0.69153239974984548"/>
    <n v="0.83306479949969103"/>
    <n v="0.55000000000000004"/>
    <n v="65645742000"/>
    <n v="27.7"/>
    <n v="4"/>
  </r>
  <r>
    <x v="79"/>
    <x v="86"/>
    <x v="86"/>
    <s v="HNX"/>
    <s v="8780"/>
    <n v="0.68394953619009158"/>
    <n v="0.817899072380183"/>
    <n v="0.55000000000000004"/>
    <n v="56054449800"/>
    <n v="26.5"/>
    <n v="5"/>
  </r>
  <r>
    <x v="79"/>
    <x v="148"/>
    <x v="148"/>
    <s v="HSX"/>
    <s v="8630"/>
    <n v="0.67164684799326047"/>
    <n v="0.89329369598652086"/>
    <n v="0.45"/>
    <n v="2439098060"/>
    <n v="2.78"/>
    <n v="6"/>
  </r>
  <r>
    <x v="79"/>
    <x v="27"/>
    <x v="27"/>
    <s v="HSX"/>
    <s v="3570"/>
    <n v="0.65442136477950652"/>
    <n v="0.80884272955901315"/>
    <n v="0.5"/>
    <n v="29706334900"/>
    <n v="19.149999999999999"/>
    <n v="7"/>
  </r>
  <r>
    <x v="79"/>
    <x v="157"/>
    <x v="157"/>
    <s v="HSX"/>
    <s v="5370"/>
    <n v="0.62526073615805289"/>
    <n v="0.95052147231610584"/>
    <n v="0.3"/>
    <n v="80972529300"/>
    <n v="46"/>
    <n v="8"/>
  </r>
  <r>
    <x v="79"/>
    <x v="167"/>
    <x v="167"/>
    <s v="HSX"/>
    <s v="3570"/>
    <n v="0.62301899434354979"/>
    <n v="0.6460379886870995"/>
    <n v="0.6"/>
    <n v="71457194300"/>
    <n v="58.5"/>
    <n v="9"/>
  </r>
  <r>
    <x v="79"/>
    <x v="140"/>
    <x v="140"/>
    <s v="UPCOM"/>
    <s v="2350"/>
    <n v="0.60916524830696595"/>
    <n v="0.91833049661393185"/>
    <n v="0.3"/>
    <n v="6693565200"/>
    <n v="9.3000000000000007"/>
    <n v="10"/>
  </r>
  <r>
    <x v="79"/>
    <x v="56"/>
    <x v="56"/>
    <s v="HSX"/>
    <s v="8350"/>
    <n v="0.60353479906198471"/>
    <n v="0.85706959812396943"/>
    <n v="0.35"/>
    <n v="519354341100"/>
    <n v="46.8"/>
    <n v="11"/>
  </r>
  <r>
    <x v="79"/>
    <x v="49"/>
    <x v="49"/>
    <s v="HSX"/>
    <s v="8780"/>
    <n v="0.59588909849000982"/>
    <n v="0.74177819698001968"/>
    <n v="0.45"/>
    <n v="356158179300"/>
    <n v="17.149999999999999"/>
    <n v="12"/>
  </r>
  <r>
    <x v="79"/>
    <x v="67"/>
    <x v="67"/>
    <s v="HSX"/>
    <s v="2730"/>
    <n v="0.59164458939931452"/>
    <n v="0.883289178798629"/>
    <n v="0.3"/>
    <n v="420019811600"/>
    <n v="37.5"/>
    <n v="13"/>
  </r>
  <r>
    <x v="79"/>
    <x v="168"/>
    <x v="168"/>
    <s v="HSX"/>
    <s v="3570"/>
    <n v="0.59152576279546809"/>
    <n v="0.88305152559093614"/>
    <n v="0.3"/>
    <n v="26790093000"/>
    <n v="18.850000000000001"/>
    <n v="14"/>
  </r>
  <r>
    <x v="79"/>
    <x v="161"/>
    <x v="161"/>
    <s v="UPCOM"/>
    <s v="6530"/>
    <n v="0.58796948800841697"/>
    <n v="0.32593897601683403"/>
    <n v="0.85"/>
    <n v="37660486400"/>
    <n v="72.099999999999994"/>
    <n v="15"/>
  </r>
  <r>
    <x v="79"/>
    <x v="166"/>
    <x v="166"/>
    <s v="HNX"/>
    <s v="0570"/>
    <n v="0.57954126761707214"/>
    <n v="0.60908253523414413"/>
    <n v="0.55000000000000004"/>
    <n v="187939919200"/>
    <n v="32.6"/>
    <n v="16"/>
  </r>
  <r>
    <x v="79"/>
    <x v="169"/>
    <x v="169"/>
    <s v="HSX"/>
    <s v="8630"/>
    <n v="0.57073472601150699"/>
    <n v="0.74146945202301395"/>
    <n v="0.4"/>
    <n v="81638021700"/>
    <n v="37.85"/>
    <n v="17"/>
  </r>
  <r>
    <x v="79"/>
    <x v="113"/>
    <x v="113"/>
    <s v="HSX"/>
    <s v="8350"/>
    <n v="0.55401099241610718"/>
    <n v="0.85802198483221426"/>
    <n v="0.25"/>
    <n v="10072766000"/>
    <n v="18"/>
    <n v="18"/>
  </r>
  <r>
    <x v="79"/>
    <x v="138"/>
    <x v="138"/>
    <s v="HSX"/>
    <s v="8630"/>
    <n v="0.55376397648218667"/>
    <n v="0.45752795296437337"/>
    <n v="0.65"/>
    <n v="2889592220"/>
    <n v="4.2699999999999996"/>
    <n v="19"/>
  </r>
  <r>
    <x v="79"/>
    <x v="158"/>
    <x v="158"/>
    <s v="HNX"/>
    <s v="0570"/>
    <n v="0.54898549857660028"/>
    <n v="0.74797099715320048"/>
    <n v="0.35"/>
    <n v="14665403600"/>
    <n v="11.6"/>
    <n v="20"/>
  </r>
  <r>
    <x v="80"/>
    <x v="126"/>
    <x v="126"/>
    <s v="UPCOM"/>
    <s v="8350"/>
    <n v="0.88846661183987807"/>
    <n v="0.9769332236797561"/>
    <n v="0.8"/>
    <n v="2363462600"/>
    <n v="50"/>
    <n v="1"/>
  </r>
  <r>
    <x v="80"/>
    <x v="33"/>
    <x v="33"/>
    <s v="HSX"/>
    <s v="8630"/>
    <n v="0.86655206096881443"/>
    <n v="0.98310412193762897"/>
    <n v="0.75"/>
    <n v="6106547340"/>
    <n v="2.85"/>
    <n v="2"/>
  </r>
  <r>
    <x v="80"/>
    <x v="148"/>
    <x v="148"/>
    <s v="HSX"/>
    <s v="8630"/>
    <n v="0.75655584072409154"/>
    <n v="0.91311168144818322"/>
    <n v="0.6"/>
    <n v="2406680060"/>
    <n v="2.82"/>
    <n v="3"/>
  </r>
  <r>
    <x v="80"/>
    <x v="22"/>
    <x v="22"/>
    <s v="HSX"/>
    <s v="8630"/>
    <n v="0.70778211028325544"/>
    <n v="0.76556422056651086"/>
    <n v="0.65"/>
    <n v="28216331160"/>
    <n v="7.22"/>
    <n v="4"/>
  </r>
  <r>
    <x v="80"/>
    <x v="71"/>
    <x v="71"/>
    <s v="HSX"/>
    <s v="8780"/>
    <n v="0.67783146608308453"/>
    <n v="0.55566293216616902"/>
    <n v="0.8"/>
    <n v="10531809100"/>
    <n v="12"/>
    <n v="5"/>
  </r>
  <r>
    <x v="80"/>
    <x v="27"/>
    <x v="27"/>
    <s v="HSX"/>
    <s v="3570"/>
    <n v="0.65089012306529681"/>
    <n v="0.85178024613059367"/>
    <n v="0.45"/>
    <n v="29035738900"/>
    <n v="19.399999999999999"/>
    <n v="6"/>
  </r>
  <r>
    <x v="80"/>
    <x v="49"/>
    <x v="49"/>
    <s v="HSX"/>
    <s v="8780"/>
    <n v="0.65050500165091996"/>
    <n v="0.75101000330183987"/>
    <n v="0.55000000000000004"/>
    <n v="355374605700"/>
    <n v="17.2"/>
    <n v="7"/>
  </r>
  <r>
    <x v="80"/>
    <x v="86"/>
    <x v="86"/>
    <s v="HNX"/>
    <s v="8780"/>
    <n v="0.64970330005350929"/>
    <n v="0.74940660010701854"/>
    <n v="0.55000000000000004"/>
    <n v="57044107000"/>
    <n v="25.9"/>
    <n v="8"/>
  </r>
  <r>
    <x v="80"/>
    <x v="108"/>
    <x v="108"/>
    <s v="UPCOM"/>
    <s v="1350"/>
    <n v="0.64409309044474006"/>
    <n v="0.83818618088948005"/>
    <n v="0.45"/>
    <n v="65424355600"/>
    <n v="27.7"/>
    <n v="9"/>
  </r>
  <r>
    <x v="80"/>
    <x v="140"/>
    <x v="140"/>
    <s v="UPCOM"/>
    <s v="2350"/>
    <n v="0.64343356554455022"/>
    <n v="0.88686713108910054"/>
    <n v="0.4"/>
    <n v="6899456800"/>
    <n v="8.9"/>
    <n v="10"/>
  </r>
  <r>
    <x v="80"/>
    <x v="168"/>
    <x v="168"/>
    <s v="HSX"/>
    <s v="3570"/>
    <n v="0.61796530791763049"/>
    <n v="0.93593061583526105"/>
    <n v="0.3"/>
    <n v="28652291400"/>
    <n v="19.8"/>
    <n v="11"/>
  </r>
  <r>
    <x v="80"/>
    <x v="67"/>
    <x v="67"/>
    <s v="HSX"/>
    <s v="2730"/>
    <n v="0.60986000756020686"/>
    <n v="0.86972001512041375"/>
    <n v="0.35"/>
    <n v="419020070300"/>
    <n v="37.299999999999997"/>
    <n v="12"/>
  </r>
  <r>
    <x v="80"/>
    <x v="162"/>
    <x v="162"/>
    <s v="HSX"/>
    <s v="8350"/>
    <n v="0.6060577553959402"/>
    <n v="0.81211551079188038"/>
    <n v="0.4"/>
    <n v="567588627800"/>
    <n v="33.950000000000003"/>
    <n v="13"/>
  </r>
  <r>
    <x v="80"/>
    <x v="166"/>
    <x v="166"/>
    <s v="HNX"/>
    <s v="0570"/>
    <n v="0.59924175238515187"/>
    <n v="0.59848350477030365"/>
    <n v="0.6"/>
    <n v="189294115200"/>
    <n v="32.1"/>
    <n v="14"/>
  </r>
  <r>
    <x v="80"/>
    <x v="158"/>
    <x v="158"/>
    <s v="HNX"/>
    <s v="0570"/>
    <n v="0.59412811313068847"/>
    <n v="0.73825622626137688"/>
    <n v="0.45"/>
    <n v="15027822600"/>
    <n v="11.5"/>
    <n v="15"/>
  </r>
  <r>
    <x v="80"/>
    <x v="70"/>
    <x v="70"/>
    <s v="HSX"/>
    <s v="8350"/>
    <n v="0.58804344668312813"/>
    <n v="0.92608689336625616"/>
    <n v="0.25"/>
    <n v="17988661400"/>
    <n v="15.2"/>
    <n v="16"/>
  </r>
  <r>
    <x v="80"/>
    <x v="157"/>
    <x v="157"/>
    <s v="HSX"/>
    <s v="5370"/>
    <n v="0.58076442745169077"/>
    <n v="0.91152885490338154"/>
    <n v="0.25"/>
    <n v="82203690100"/>
    <n v="44.8"/>
    <n v="17"/>
  </r>
  <r>
    <x v="80"/>
    <x v="170"/>
    <x v="170"/>
    <s v="HSX"/>
    <s v="3570"/>
    <n v="0.57437365306809873"/>
    <n v="0.9487473061361974"/>
    <n v="0.2"/>
    <n v="365388306800"/>
    <n v="76.8"/>
    <n v="18"/>
  </r>
  <r>
    <x v="80"/>
    <x v="59"/>
    <x v="59"/>
    <s v="HSX"/>
    <s v="7530"/>
    <n v="0.57326750894240353"/>
    <n v="0.59653501788480701"/>
    <n v="0.55000000000000004"/>
    <n v="40750747000"/>
    <n v="16.25"/>
    <n v="19"/>
  </r>
  <r>
    <x v="80"/>
    <x v="130"/>
    <x v="130"/>
    <s v="HSX"/>
    <s v="8990"/>
    <n v="0.56680111949705714"/>
    <n v="0.68360223899411432"/>
    <n v="0.45"/>
    <n v="8356146700"/>
    <n v="25.72"/>
    <n v="20"/>
  </r>
  <r>
    <x v="81"/>
    <x v="33"/>
    <x v="33"/>
    <s v="HSX"/>
    <s v="8630"/>
    <n v="0.94467734136083747"/>
    <n v="0.98935468272167493"/>
    <n v="0.9"/>
    <n v="6418584220"/>
    <n v="3.04"/>
    <n v="1"/>
  </r>
  <r>
    <x v="81"/>
    <x v="126"/>
    <x v="126"/>
    <s v="UPCOM"/>
    <s v="8350"/>
    <n v="0.89374856070115238"/>
    <n v="0.98749712140230472"/>
    <n v="0.8"/>
    <n v="2360739400"/>
    <n v="53.6"/>
    <n v="2"/>
  </r>
  <r>
    <x v="81"/>
    <x v="108"/>
    <x v="108"/>
    <s v="UPCOM"/>
    <s v="1350"/>
    <n v="0.70546847537663626"/>
    <n v="0.81093695075327255"/>
    <n v="0.6"/>
    <n v="65417981600"/>
    <n v="27.7"/>
    <n v="3"/>
  </r>
  <r>
    <x v="81"/>
    <x v="162"/>
    <x v="162"/>
    <s v="HSX"/>
    <s v="8350"/>
    <n v="0.68713961080176666"/>
    <n v="0.8242792216035334"/>
    <n v="0.55000000000000004"/>
    <n v="567739164200"/>
    <n v="34.200000000000003"/>
    <n v="4"/>
  </r>
  <r>
    <x v="81"/>
    <x v="71"/>
    <x v="71"/>
    <s v="HSX"/>
    <s v="8780"/>
    <n v="0.6731272454896926"/>
    <n v="0.6962544909793853"/>
    <n v="0.65"/>
    <n v="10968964100"/>
    <n v="12"/>
    <n v="5"/>
  </r>
  <r>
    <x v="81"/>
    <x v="148"/>
    <x v="148"/>
    <s v="HSX"/>
    <s v="8630"/>
    <n v="0.67070241118068608"/>
    <n v="0.89140482236137208"/>
    <n v="0.45"/>
    <n v="2427526360"/>
    <n v="2.81"/>
    <n v="6"/>
  </r>
  <r>
    <x v="81"/>
    <x v="130"/>
    <x v="130"/>
    <s v="HSX"/>
    <s v="8990"/>
    <n v="0.6542656719178318"/>
    <n v="0.80853134383566361"/>
    <n v="0.5"/>
    <n v="8483221660"/>
    <n v="25.86"/>
    <n v="7"/>
  </r>
  <r>
    <x v="81"/>
    <x v="37"/>
    <x v="37"/>
    <s v="HSX"/>
    <s v="3570"/>
    <n v="0.6337170077293135"/>
    <n v="0.66743401545862702"/>
    <n v="0.6"/>
    <n v="29963646100"/>
    <n v="27.8"/>
    <n v="8"/>
  </r>
  <r>
    <x v="81"/>
    <x v="67"/>
    <x v="67"/>
    <s v="HSX"/>
    <s v="2730"/>
    <n v="0.62837632842586055"/>
    <n v="0.85675265685172108"/>
    <n v="0.4"/>
    <n v="417199182900"/>
    <n v="37.4"/>
    <n v="9"/>
  </r>
  <r>
    <x v="81"/>
    <x v="135"/>
    <x v="135"/>
    <s v="HSX"/>
    <s v="8630"/>
    <n v="0.62464688180035455"/>
    <n v="0.89929376360070912"/>
    <n v="0.35"/>
    <n v="2215931000"/>
    <n v="28"/>
    <n v="10"/>
  </r>
  <r>
    <x v="81"/>
    <x v="27"/>
    <x v="27"/>
    <s v="HSX"/>
    <s v="3570"/>
    <n v="0.60888012248904255"/>
    <n v="0.86776024497808524"/>
    <n v="0.35"/>
    <n v="29320779400"/>
    <n v="19.75"/>
    <n v="11"/>
  </r>
  <r>
    <x v="81"/>
    <x v="32"/>
    <x v="32"/>
    <s v="UPCOM"/>
    <s v="1350"/>
    <n v="0.59843941518520871"/>
    <n v="0.64687883037041738"/>
    <n v="0.55000000000000004"/>
    <n v="15213732600"/>
    <n v="13.2"/>
    <n v="12"/>
  </r>
  <r>
    <x v="81"/>
    <x v="138"/>
    <x v="138"/>
    <s v="HSX"/>
    <s v="8630"/>
    <n v="0.5973376938920103"/>
    <n v="0.64467538778402056"/>
    <n v="0.55000000000000004"/>
    <n v="2892096580"/>
    <n v="4.4800000000000004"/>
    <n v="13"/>
  </r>
  <r>
    <x v="81"/>
    <x v="170"/>
    <x v="170"/>
    <s v="HSX"/>
    <s v="3570"/>
    <n v="0.58662219403262816"/>
    <n v="0.92324438806525633"/>
    <n v="0.25"/>
    <n v="371021795600"/>
    <n v="76.8"/>
    <n v="14"/>
  </r>
  <r>
    <x v="81"/>
    <x v="49"/>
    <x v="49"/>
    <s v="HSX"/>
    <s v="8780"/>
    <n v="0.58061230536584418"/>
    <n v="0.7112246107316883"/>
    <n v="0.45"/>
    <n v="356315680100"/>
    <n v="17.2"/>
    <n v="15"/>
  </r>
  <r>
    <x v="81"/>
    <x v="157"/>
    <x v="157"/>
    <s v="HSX"/>
    <s v="5370"/>
    <n v="0.57549129037824365"/>
    <n v="0.90098258075648741"/>
    <n v="0.25"/>
    <n v="84796600500"/>
    <n v="44"/>
    <n v="16"/>
  </r>
  <r>
    <x v="81"/>
    <x v="146"/>
    <x v="146"/>
    <s v="HSX"/>
    <s v="2770"/>
    <n v="0.56792644285481708"/>
    <n v="0.48585288570963409"/>
    <n v="0.65"/>
    <n v="2570500600"/>
    <n v="15.45"/>
    <n v="17"/>
  </r>
  <r>
    <x v="81"/>
    <x v="62"/>
    <x v="62"/>
    <s v="HSX"/>
    <s v="1350"/>
    <n v="0.56727508729094989"/>
    <n v="0.4845501745818997"/>
    <n v="0.65"/>
    <n v="113919664800"/>
    <n v="30.3"/>
    <n v="18"/>
  </r>
  <r>
    <x v="81"/>
    <x v="166"/>
    <x v="166"/>
    <s v="HNX"/>
    <s v="0570"/>
    <n v="0.56296509519039373"/>
    <n v="0.62593019038078734"/>
    <n v="0.5"/>
    <n v="194090786000"/>
    <n v="32.9"/>
    <n v="19"/>
  </r>
  <r>
    <x v="81"/>
    <x v="40"/>
    <x v="40"/>
    <s v="HSX"/>
    <s v="4530"/>
    <n v="0.5468082445890895"/>
    <n v="0.74361648917817902"/>
    <n v="0.35"/>
    <n v="2705713260"/>
    <n v="5.32"/>
    <n v="20"/>
  </r>
  <r>
    <x v="82"/>
    <x v="126"/>
    <x v="126"/>
    <s v="UPCOM"/>
    <s v="8350"/>
    <n v="0.89386412779407787"/>
    <n v="0.98772825558815569"/>
    <n v="0.8"/>
    <n v="2370381400"/>
    <n v="52.5"/>
    <n v="1"/>
  </r>
  <r>
    <x v="82"/>
    <x v="33"/>
    <x v="33"/>
    <s v="HSX"/>
    <s v="8630"/>
    <n v="0.81745529645521087"/>
    <n v="0.98491059291042171"/>
    <n v="0.65"/>
    <n v="6605302860"/>
    <n v="3.25"/>
    <n v="2"/>
  </r>
  <r>
    <x v="82"/>
    <x v="67"/>
    <x v="67"/>
    <s v="HSX"/>
    <s v="2730"/>
    <n v="0.7706248513991103"/>
    <n v="0.84124970279822064"/>
    <n v="0.7"/>
    <n v="415569864300"/>
    <n v="37"/>
    <n v="3"/>
  </r>
  <r>
    <x v="82"/>
    <x v="108"/>
    <x v="108"/>
    <s v="UPCOM"/>
    <s v="1350"/>
    <n v="0.74959481088315383"/>
    <n v="0.79918962176630759"/>
    <n v="0.7"/>
    <n v="65590974600"/>
    <n v="27.5"/>
    <n v="4"/>
  </r>
  <r>
    <x v="82"/>
    <x v="162"/>
    <x v="162"/>
    <s v="HSX"/>
    <s v="8350"/>
    <n v="0.68512069209150295"/>
    <n v="0.82024138418300585"/>
    <n v="0.55000000000000004"/>
    <n v="568955563400"/>
    <n v="34.4"/>
    <n v="5"/>
  </r>
  <r>
    <x v="82"/>
    <x v="167"/>
    <x v="167"/>
    <s v="HSX"/>
    <s v="3570"/>
    <n v="0.6722905169032658"/>
    <n v="0.64458103380653176"/>
    <n v="0.7"/>
    <n v="74306071800"/>
    <n v="58.9"/>
    <n v="6"/>
  </r>
  <r>
    <x v="82"/>
    <x v="170"/>
    <x v="170"/>
    <s v="HSX"/>
    <s v="3570"/>
    <n v="0.63456894634628547"/>
    <n v="0.86913789269257091"/>
    <n v="0.4"/>
    <n v="375576199600"/>
    <n v="75.2"/>
    <n v="7"/>
  </r>
  <r>
    <x v="82"/>
    <x v="165"/>
    <x v="165"/>
    <s v="HSX"/>
    <s v="8630"/>
    <n v="0.62205223330169679"/>
    <n v="0.69410446660339353"/>
    <n v="0.55000000000000004"/>
    <n v="7311664500"/>
    <n v="33.299999999999997"/>
    <n v="8"/>
  </r>
  <r>
    <x v="82"/>
    <x v="62"/>
    <x v="62"/>
    <s v="HSX"/>
    <s v="1350"/>
    <n v="0.62008050794993796"/>
    <n v="0.69016101589987588"/>
    <n v="0.55000000000000004"/>
    <n v="114861386200"/>
    <n v="31.15"/>
    <n v="9"/>
  </r>
  <r>
    <x v="82"/>
    <x v="30"/>
    <x v="30"/>
    <s v="HSX"/>
    <s v="8630"/>
    <n v="0.61245656876343735"/>
    <n v="0.67491313752687454"/>
    <n v="0.55000000000000004"/>
    <n v="102776262600"/>
    <n v="14.8"/>
    <n v="10"/>
  </r>
  <r>
    <x v="82"/>
    <x v="27"/>
    <x v="27"/>
    <s v="HSX"/>
    <s v="3570"/>
    <n v="0.61125280773985669"/>
    <n v="0.82250561547971335"/>
    <n v="0.4"/>
    <n v="29362368800"/>
    <n v="19.7"/>
    <n v="11"/>
  </r>
  <r>
    <x v="82"/>
    <x v="148"/>
    <x v="148"/>
    <s v="HSX"/>
    <s v="8630"/>
    <n v="0.60948596392013399"/>
    <n v="0.81897192784026807"/>
    <n v="0.4"/>
    <n v="2471409640"/>
    <n v="2.7"/>
    <n v="12"/>
  </r>
  <r>
    <x v="82"/>
    <x v="171"/>
    <x v="171"/>
    <s v="HNX"/>
    <s v="8780"/>
    <n v="0.60843188201633869"/>
    <n v="0.8668637640326774"/>
    <n v="0.35"/>
    <n v="3640943000"/>
    <n v="6.7"/>
    <n v="13"/>
  </r>
  <r>
    <x v="82"/>
    <x v="172"/>
    <x v="172"/>
    <s v="HNX"/>
    <s v="3760"/>
    <n v="0.59329120227616405"/>
    <n v="0.83658240455232813"/>
    <n v="0.35"/>
    <n v="22574024800"/>
    <n v="21.5"/>
    <n v="14"/>
  </r>
  <r>
    <x v="82"/>
    <x v="135"/>
    <x v="135"/>
    <s v="HSX"/>
    <s v="8630"/>
    <n v="0.58292238143070718"/>
    <n v="0.86584476286141432"/>
    <n v="0.3"/>
    <n v="2451580000"/>
    <n v="27.6"/>
    <n v="15"/>
  </r>
  <r>
    <x v="82"/>
    <x v="99"/>
    <x v="99"/>
    <s v="HSX"/>
    <s v="5750"/>
    <n v="0.57524134376683655"/>
    <n v="0.75048268753367309"/>
    <n v="0.4"/>
    <n v="106635381400"/>
    <n v="38.9"/>
    <n v="16"/>
  </r>
  <r>
    <x v="82"/>
    <x v="32"/>
    <x v="32"/>
    <s v="UPCOM"/>
    <s v="1350"/>
    <n v="0.57252011849657491"/>
    <n v="0.59504023699314967"/>
    <n v="0.55000000000000004"/>
    <n v="15396450200"/>
    <n v="13.1"/>
    <n v="17"/>
  </r>
  <r>
    <x v="82"/>
    <x v="161"/>
    <x v="161"/>
    <s v="UPCOM"/>
    <s v="6530"/>
    <n v="0.56497625807105512"/>
    <n v="0.42995251614211027"/>
    <n v="0.7"/>
    <n v="38958162200"/>
    <n v="73.2"/>
    <n v="18"/>
  </r>
  <r>
    <x v="82"/>
    <x v="138"/>
    <x v="138"/>
    <s v="HSX"/>
    <s v="8630"/>
    <n v="0.549132411004007"/>
    <n v="0.49826482200801409"/>
    <n v="0.6"/>
    <n v="2872618420"/>
    <n v="4.3600000000000003"/>
    <n v="19"/>
  </r>
  <r>
    <x v="82"/>
    <x v="157"/>
    <x v="157"/>
    <s v="HSX"/>
    <s v="5370"/>
    <n v="0.54137654518392675"/>
    <n v="0.83275309036785361"/>
    <n v="0.25"/>
    <n v="85426562900"/>
    <n v="43.8"/>
    <n v="20"/>
  </r>
  <r>
    <x v="83"/>
    <x v="126"/>
    <x v="126"/>
    <s v="UPCOM"/>
    <s v="8350"/>
    <n v="0.89065983373067292"/>
    <n v="0.9813196674613458"/>
    <n v="0.8"/>
    <n v="2333020800"/>
    <n v="53.5"/>
    <n v="1"/>
  </r>
  <r>
    <x v="83"/>
    <x v="148"/>
    <x v="148"/>
    <s v="HSX"/>
    <s v="8630"/>
    <n v="0.74015104321562841"/>
    <n v="0.83030208643125691"/>
    <n v="0.65"/>
    <n v="2485673960"/>
    <n v="2.8"/>
    <n v="2"/>
  </r>
  <r>
    <x v="83"/>
    <x v="33"/>
    <x v="33"/>
    <s v="HSX"/>
    <s v="8630"/>
    <n v="0.6930680567855888"/>
    <n v="0.98613611357117759"/>
    <n v="0.4"/>
    <n v="6796395560"/>
    <n v="3.47"/>
    <n v="3"/>
  </r>
  <r>
    <x v="83"/>
    <x v="161"/>
    <x v="161"/>
    <s v="UPCOM"/>
    <s v="6530"/>
    <n v="0.64907559993917818"/>
    <n v="0.4481511998783565"/>
    <n v="0.85"/>
    <n v="39143287400"/>
    <n v="73.5"/>
    <n v="4"/>
  </r>
  <r>
    <x v="83"/>
    <x v="170"/>
    <x v="170"/>
    <s v="HSX"/>
    <s v="3570"/>
    <n v="0.64575628300800569"/>
    <n v="0.84151256601601132"/>
    <n v="0.45"/>
    <n v="378565451600"/>
    <n v="75.2"/>
    <n v="5"/>
  </r>
  <r>
    <x v="83"/>
    <x v="108"/>
    <x v="108"/>
    <s v="UPCOM"/>
    <s v="1350"/>
    <n v="0.63162161050848487"/>
    <n v="0.81324322101696978"/>
    <n v="0.45"/>
    <n v="65998945400"/>
    <n v="27.7"/>
    <n v="6"/>
  </r>
  <r>
    <x v="83"/>
    <x v="172"/>
    <x v="172"/>
    <s v="HNX"/>
    <s v="3760"/>
    <n v="0.63107192666584933"/>
    <n v="0.91214385333169867"/>
    <n v="0.35"/>
    <n v="24138943400"/>
    <n v="22.4"/>
    <n v="7"/>
  </r>
  <r>
    <x v="83"/>
    <x v="62"/>
    <x v="62"/>
    <s v="HSX"/>
    <s v="1350"/>
    <n v="0.62934936582515466"/>
    <n v="0.65869873165030934"/>
    <n v="0.6"/>
    <n v="116062157700"/>
    <n v="31.25"/>
    <n v="8"/>
  </r>
  <r>
    <x v="83"/>
    <x v="27"/>
    <x v="27"/>
    <s v="HSX"/>
    <s v="3570"/>
    <n v="0.6096742263363617"/>
    <n v="0.81934845267272349"/>
    <n v="0.4"/>
    <n v="28338605900"/>
    <n v="19.8"/>
    <n v="9"/>
  </r>
  <r>
    <x v="83"/>
    <x v="135"/>
    <x v="135"/>
    <s v="HSX"/>
    <s v="8630"/>
    <n v="0.6052756086275175"/>
    <n v="0.86055121725503492"/>
    <n v="0.35"/>
    <n v="2551892000"/>
    <n v="27.2"/>
    <n v="10"/>
  </r>
  <r>
    <x v="83"/>
    <x v="64"/>
    <x v="64"/>
    <s v="HSX"/>
    <s v="8630"/>
    <n v="0.59977138107226424"/>
    <n v="0.8495427621445284"/>
    <n v="0.35"/>
    <n v="26834482020"/>
    <n v="8.9600000000000009"/>
    <n v="11"/>
  </r>
  <r>
    <x v="83"/>
    <x v="43"/>
    <x v="43"/>
    <s v="HSX"/>
    <s v="8630"/>
    <n v="0.59440946666678718"/>
    <n v="0.78881893333357445"/>
    <n v="0.4"/>
    <n v="34101815000"/>
    <n v="68.2"/>
    <n v="12"/>
  </r>
  <r>
    <x v="83"/>
    <x v="130"/>
    <x v="130"/>
    <s v="HSX"/>
    <s v="8990"/>
    <n v="0.58051819294246632"/>
    <n v="0.71103638588493256"/>
    <n v="0.45"/>
    <n v="8219413080"/>
    <n v="25.81"/>
    <n v="13"/>
  </r>
  <r>
    <x v="83"/>
    <x v="56"/>
    <x v="56"/>
    <s v="HSX"/>
    <s v="8350"/>
    <n v="0.57954515802028617"/>
    <n v="0.8590903160405724"/>
    <n v="0.3"/>
    <n v="503163352500"/>
    <n v="47.55"/>
    <n v="14"/>
  </r>
  <r>
    <x v="83"/>
    <x v="66"/>
    <x v="66"/>
    <s v="HSX"/>
    <s v="8630"/>
    <n v="0.57195276763845571"/>
    <n v="0.64390553527691141"/>
    <n v="0.5"/>
    <n v="4124128760"/>
    <n v="9"/>
    <n v="15"/>
  </r>
  <r>
    <x v="83"/>
    <x v="67"/>
    <x v="67"/>
    <s v="HSX"/>
    <s v="2730"/>
    <n v="0.57110816406896714"/>
    <n v="0.89221632813793428"/>
    <n v="0.25"/>
    <n v="412864041100"/>
    <n v="38.1"/>
    <n v="16"/>
  </r>
  <r>
    <x v="83"/>
    <x v="165"/>
    <x v="165"/>
    <s v="HSX"/>
    <s v="8630"/>
    <n v="0.57039834528142797"/>
    <n v="0.69079669056285598"/>
    <n v="0.45"/>
    <n v="7321423500"/>
    <n v="33.9"/>
    <n v="17"/>
  </r>
  <r>
    <x v="83"/>
    <x v="138"/>
    <x v="138"/>
    <s v="HSX"/>
    <s v="8630"/>
    <n v="0.5701614690375334"/>
    <n v="0.49032293807506688"/>
    <n v="0.65"/>
    <n v="2770399780"/>
    <n v="4.3"/>
    <n v="18"/>
  </r>
  <r>
    <x v="83"/>
    <x v="168"/>
    <x v="168"/>
    <s v="HSX"/>
    <s v="3570"/>
    <n v="0.56761953793650088"/>
    <n v="0.98523907587300186"/>
    <n v="0.15"/>
    <n v="38240957600"/>
    <n v="23.6"/>
    <n v="19"/>
  </r>
  <r>
    <x v="83"/>
    <x v="162"/>
    <x v="162"/>
    <s v="HSX"/>
    <s v="8350"/>
    <n v="0.5599833709454064"/>
    <n v="0.8699667418908128"/>
    <n v="0.25"/>
    <n v="572038413400"/>
    <n v="35"/>
    <n v="20"/>
  </r>
  <r>
    <x v="84"/>
    <x v="126"/>
    <x v="126"/>
    <s v="UPCOM"/>
    <s v="8350"/>
    <n v="0.8824538142236007"/>
    <n v="0.96490762844720124"/>
    <n v="0.8"/>
    <n v="2325383800"/>
    <n v="52.5"/>
    <n v="1"/>
  </r>
  <r>
    <x v="84"/>
    <x v="148"/>
    <x v="148"/>
    <s v="HSX"/>
    <s v="8630"/>
    <n v="0.78846336356059954"/>
    <n v="0.87692672712119912"/>
    <n v="0.7"/>
    <n v="2573275240"/>
    <n v="2.84"/>
    <n v="2"/>
  </r>
  <r>
    <x v="84"/>
    <x v="33"/>
    <x v="33"/>
    <s v="HSX"/>
    <s v="8630"/>
    <n v="0.72056592844459855"/>
    <n v="0.99113185688919703"/>
    <n v="0.45"/>
    <n v="8810571100"/>
    <n v="3.47"/>
    <n v="3"/>
  </r>
  <r>
    <x v="84"/>
    <x v="27"/>
    <x v="27"/>
    <s v="HSX"/>
    <s v="3570"/>
    <n v="0.68753649814986995"/>
    <n v="0.77507299629974002"/>
    <n v="0.6"/>
    <n v="28371465000"/>
    <n v="19.75"/>
    <n v="4"/>
  </r>
  <r>
    <x v="84"/>
    <x v="64"/>
    <x v="64"/>
    <s v="HSX"/>
    <s v="8630"/>
    <n v="0.67350759832662732"/>
    <n v="0.89701519665325458"/>
    <n v="0.45"/>
    <n v="27870139620"/>
    <n v="9.2200000000000006"/>
    <n v="5"/>
  </r>
  <r>
    <x v="84"/>
    <x v="37"/>
    <x v="37"/>
    <s v="HSX"/>
    <s v="3570"/>
    <n v="0.65033478314880311"/>
    <n v="0.80066956629760622"/>
    <n v="0.5"/>
    <n v="34607893700"/>
    <n v="28.55"/>
    <n v="6"/>
  </r>
  <r>
    <x v="84"/>
    <x v="133"/>
    <x v="133"/>
    <s v="HSX"/>
    <s v="2770"/>
    <n v="0.64688368633627302"/>
    <n v="0.74376737267254589"/>
    <n v="0.55000000000000004"/>
    <n v="149212400200"/>
    <n v="60.5"/>
    <n v="7"/>
  </r>
  <r>
    <x v="84"/>
    <x v="135"/>
    <x v="135"/>
    <s v="HSX"/>
    <s v="8630"/>
    <n v="0.63093194638865358"/>
    <n v="0.86186389277730724"/>
    <n v="0.4"/>
    <n v="2727491600"/>
    <n v="27.6"/>
    <n v="8"/>
  </r>
  <r>
    <x v="84"/>
    <x v="108"/>
    <x v="108"/>
    <s v="UPCOM"/>
    <s v="1350"/>
    <n v="0.6124001143826614"/>
    <n v="0.87480022876532293"/>
    <n v="0.35"/>
    <n v="65246208800"/>
    <n v="28.1"/>
    <n v="9"/>
  </r>
  <r>
    <x v="84"/>
    <x v="162"/>
    <x v="162"/>
    <s v="HSX"/>
    <s v="8350"/>
    <n v="0.61008714166757827"/>
    <n v="0.87017428333515656"/>
    <n v="0.35"/>
    <n v="581283920500"/>
    <n v="34.85"/>
    <n v="10"/>
  </r>
  <r>
    <x v="84"/>
    <x v="146"/>
    <x v="146"/>
    <s v="HSX"/>
    <s v="2770"/>
    <n v="0.60278063970974716"/>
    <n v="0.75556127941949436"/>
    <n v="0.45"/>
    <n v="2623037500"/>
    <n v="15.95"/>
    <n v="11"/>
  </r>
  <r>
    <x v="84"/>
    <x v="172"/>
    <x v="172"/>
    <s v="HNX"/>
    <s v="3760"/>
    <n v="0.60093521356658952"/>
    <n v="0.85187042713317906"/>
    <n v="0.35"/>
    <n v="26761889400"/>
    <n v="21.4"/>
    <n v="12"/>
  </r>
  <r>
    <x v="84"/>
    <x v="166"/>
    <x v="166"/>
    <s v="HNX"/>
    <s v="0570"/>
    <n v="0.58841967622284264"/>
    <n v="0.42683935244568533"/>
    <n v="0.75"/>
    <n v="195552935400"/>
    <n v="32.1"/>
    <n v="13"/>
  </r>
  <r>
    <x v="84"/>
    <x v="30"/>
    <x v="30"/>
    <s v="HSX"/>
    <s v="8630"/>
    <n v="0.58774175386222138"/>
    <n v="0.77548350772444274"/>
    <n v="0.4"/>
    <n v="103210723500"/>
    <n v="15.2"/>
    <n v="14"/>
  </r>
  <r>
    <x v="84"/>
    <x v="51"/>
    <x v="51"/>
    <s v="HSX"/>
    <s v="2350"/>
    <n v="0.58589206335357391"/>
    <n v="0.72178412670714787"/>
    <n v="0.45"/>
    <n v="4494191960"/>
    <n v="10.4"/>
    <n v="15"/>
  </r>
  <r>
    <x v="84"/>
    <x v="173"/>
    <x v="173"/>
    <s v="UPCOM"/>
    <s v="3570"/>
    <n v="0.57937088639537593"/>
    <n v="0.9587417727907519"/>
    <n v="0.2"/>
    <n v="3459078200"/>
    <n v="14.1"/>
    <n v="16"/>
  </r>
  <r>
    <x v="84"/>
    <x v="144"/>
    <x v="144"/>
    <s v="HSX"/>
    <s v="8630"/>
    <n v="0.56788085863802706"/>
    <n v="0.63576171727605402"/>
    <n v="0.5"/>
    <n v="2290387420"/>
    <n v="8.48"/>
    <n v="17"/>
  </r>
  <r>
    <x v="84"/>
    <x v="153"/>
    <x v="153"/>
    <s v="HSX"/>
    <s v="8350"/>
    <n v="0.56552001159970322"/>
    <n v="0.63104002319940644"/>
    <n v="0.5"/>
    <n v="134636924700"/>
    <n v="10.8"/>
    <n v="18"/>
  </r>
  <r>
    <x v="84"/>
    <x v="168"/>
    <x v="168"/>
    <s v="HSX"/>
    <s v="3570"/>
    <n v="0.56521965643974137"/>
    <n v="0.98043931287948272"/>
    <n v="0.15"/>
    <n v="41069784800"/>
    <n v="22.6"/>
    <n v="19"/>
  </r>
  <r>
    <x v="84"/>
    <x v="174"/>
    <x v="174"/>
    <s v="HSX"/>
    <s v="1350"/>
    <n v="0.56406762439759917"/>
    <n v="0.77813524879519835"/>
    <n v="0.35"/>
    <n v="179459380800"/>
    <n v="103"/>
    <n v="20"/>
  </r>
  <r>
    <x v="85"/>
    <x v="126"/>
    <x v="126"/>
    <s v="UPCOM"/>
    <s v="8350"/>
    <n v="0.8893928574168628"/>
    <n v="0.97878571483372545"/>
    <n v="0.8"/>
    <n v="2314180200"/>
    <n v="51"/>
    <n v="1"/>
  </r>
  <r>
    <x v="85"/>
    <x v="33"/>
    <x v="33"/>
    <s v="HSX"/>
    <s v="8630"/>
    <n v="0.72146375287337228"/>
    <n v="0.9929275057467446"/>
    <n v="0.45"/>
    <n v="9963567740"/>
    <n v="3.71"/>
    <n v="2"/>
  </r>
  <r>
    <x v="85"/>
    <x v="148"/>
    <x v="148"/>
    <s v="HSX"/>
    <s v="8630"/>
    <n v="0.71090995461118955"/>
    <n v="0.77181990922237909"/>
    <n v="0.65"/>
    <n v="2563078420"/>
    <n v="2.88"/>
    <n v="3"/>
  </r>
  <r>
    <x v="85"/>
    <x v="69"/>
    <x v="69"/>
    <s v="HSX"/>
    <s v="8630"/>
    <n v="0.69346297308052707"/>
    <n v="0.93692594616105418"/>
    <n v="0.45"/>
    <n v="4500609580"/>
    <n v="2.63"/>
    <n v="4"/>
  </r>
  <r>
    <x v="85"/>
    <x v="30"/>
    <x v="30"/>
    <s v="HSX"/>
    <s v="8630"/>
    <n v="0.66743127392889989"/>
    <n v="0.88486254785779983"/>
    <n v="0.45"/>
    <n v="104864518500"/>
    <n v="15.75"/>
    <n v="5"/>
  </r>
  <r>
    <x v="85"/>
    <x v="135"/>
    <x v="135"/>
    <s v="HSX"/>
    <s v="8630"/>
    <n v="0.65566689711696957"/>
    <n v="0.91133379423393912"/>
    <n v="0.4"/>
    <n v="3062578800"/>
    <n v="27.9"/>
    <n v="6"/>
  </r>
  <r>
    <x v="85"/>
    <x v="70"/>
    <x v="70"/>
    <s v="HSX"/>
    <s v="8350"/>
    <n v="0.6542087065461949"/>
    <n v="0.85841741309238984"/>
    <n v="0.45"/>
    <n v="18041509000"/>
    <n v="15"/>
    <n v="7"/>
  </r>
  <r>
    <x v="85"/>
    <x v="175"/>
    <x v="175"/>
    <s v="HSX"/>
    <s v="3720"/>
    <n v="0.65024888650361645"/>
    <n v="0.80049777300723279"/>
    <n v="0.5"/>
    <n v="2085310000"/>
    <n v="2.93"/>
    <n v="8"/>
  </r>
  <r>
    <x v="85"/>
    <x v="138"/>
    <x v="138"/>
    <s v="HSX"/>
    <s v="8630"/>
    <n v="0.64840366332909216"/>
    <n v="0.74680732665818439"/>
    <n v="0.55000000000000004"/>
    <n v="2676060560"/>
    <n v="4.4000000000000004"/>
    <n v="9"/>
  </r>
  <r>
    <x v="85"/>
    <x v="53"/>
    <x v="53"/>
    <s v="UPCOM"/>
    <s v="2770"/>
    <n v="0.64072197830646649"/>
    <n v="0.48144395661293288"/>
    <n v="0.8"/>
    <n v="4323463400"/>
    <n v="27.4"/>
    <n v="10"/>
  </r>
  <r>
    <x v="85"/>
    <x v="27"/>
    <x v="27"/>
    <s v="HSX"/>
    <s v="3570"/>
    <n v="0.62081578410928728"/>
    <n v="0.74163156821857457"/>
    <n v="0.5"/>
    <n v="27736177000"/>
    <n v="19.75"/>
    <n v="11"/>
  </r>
  <r>
    <x v="85"/>
    <x v="37"/>
    <x v="37"/>
    <s v="HSX"/>
    <s v="3570"/>
    <n v="0.6203181237452875"/>
    <n v="0.74063624749057488"/>
    <n v="0.5"/>
    <n v="35128689200"/>
    <n v="28.25"/>
    <n v="12"/>
  </r>
  <r>
    <x v="85"/>
    <x v="176"/>
    <x v="176"/>
    <s v="HNX"/>
    <s v="8350"/>
    <n v="0.61352491751492499"/>
    <n v="0.97704983502984999"/>
    <n v="0.25"/>
    <n v="7034943000"/>
    <n v="14"/>
    <n v="13"/>
  </r>
  <r>
    <x v="85"/>
    <x v="168"/>
    <x v="168"/>
    <s v="HSX"/>
    <s v="3570"/>
    <n v="0.58630235136985132"/>
    <n v="0.97260470273970268"/>
    <n v="0.2"/>
    <n v="42454069800"/>
    <n v="23.9"/>
    <n v="14"/>
  </r>
  <r>
    <x v="85"/>
    <x v="170"/>
    <x v="170"/>
    <s v="HSX"/>
    <s v="3570"/>
    <n v="0.5797253902724494"/>
    <n v="0.80945078054489883"/>
    <n v="0.35"/>
    <n v="378875293800"/>
    <n v="74.599999999999994"/>
    <n v="15"/>
  </r>
  <r>
    <x v="85"/>
    <x v="28"/>
    <x v="28"/>
    <s v="UPCOM"/>
    <s v="2770"/>
    <n v="0.57803579463283183"/>
    <n v="0.85607158926566362"/>
    <n v="0.3"/>
    <n v="7823324200"/>
    <n v="165"/>
    <n v="16"/>
  </r>
  <r>
    <x v="85"/>
    <x v="173"/>
    <x v="173"/>
    <s v="UPCOM"/>
    <s v="3570"/>
    <n v="0.57446791801250119"/>
    <n v="0.94893583602500231"/>
    <n v="0.2"/>
    <n v="3609036200"/>
    <n v="14.1"/>
    <n v="17"/>
  </r>
  <r>
    <x v="85"/>
    <x v="60"/>
    <x v="60"/>
    <s v="HSX"/>
    <s v="8780"/>
    <n v="0.56889951131487737"/>
    <n v="0.8377990226297547"/>
    <n v="0.3"/>
    <n v="568175956600"/>
    <n v="14.55"/>
    <n v="18"/>
  </r>
  <r>
    <x v="85"/>
    <x v="13"/>
    <x v="13"/>
    <s v="HSX"/>
    <s v="3570"/>
    <n v="0.56370311552812824"/>
    <n v="0.87740623105625648"/>
    <n v="0.25"/>
    <n v="268800960700"/>
    <n v="34.6"/>
    <n v="19"/>
  </r>
  <r>
    <x v="85"/>
    <x v="142"/>
    <x v="142"/>
    <s v="UPCOM"/>
    <s v="2350"/>
    <n v="0.5610005276520027"/>
    <n v="0.52200105530400553"/>
    <n v="0.6"/>
    <n v="8604920000"/>
    <n v="8.1999999999999993"/>
    <n v="20"/>
  </r>
  <r>
    <x v="86"/>
    <x v="126"/>
    <x v="126"/>
    <s v="UPCOM"/>
    <s v="8350"/>
    <n v="0.87707559702215798"/>
    <n v="0.95415119404431603"/>
    <n v="0.8"/>
    <n v="2297524200"/>
    <n v="51"/>
    <n v="1"/>
  </r>
  <r>
    <x v="86"/>
    <x v="53"/>
    <x v="53"/>
    <s v="UPCOM"/>
    <s v="2770"/>
    <n v="0.73674953528364306"/>
    <n v="0.573499070567286"/>
    <n v="0.9"/>
    <n v="4370307000"/>
    <n v="27.3"/>
    <n v="2"/>
  </r>
  <r>
    <x v="86"/>
    <x v="175"/>
    <x v="175"/>
    <s v="HSX"/>
    <s v="3720"/>
    <n v="0.70122868569319741"/>
    <n v="0.85245737138639477"/>
    <n v="0.55000000000000004"/>
    <n v="2393462800"/>
    <n v="3"/>
    <n v="3"/>
  </r>
  <r>
    <x v="86"/>
    <x v="176"/>
    <x v="176"/>
    <s v="HNX"/>
    <s v="8350"/>
    <n v="0.6961478235849512"/>
    <n v="0.99229564716990248"/>
    <n v="0.4"/>
    <n v="7748686000"/>
    <n v="15.4"/>
    <n v="4"/>
  </r>
  <r>
    <x v="86"/>
    <x v="39"/>
    <x v="39"/>
    <s v="HSX"/>
    <s v="8630"/>
    <n v="0.69494094248688021"/>
    <n v="0.93988188497376046"/>
    <n v="0.45"/>
    <n v="160800777600"/>
    <n v="22.35"/>
    <n v="5"/>
  </r>
  <r>
    <x v="86"/>
    <x v="138"/>
    <x v="138"/>
    <s v="HSX"/>
    <s v="8630"/>
    <n v="0.66958300731205433"/>
    <n v="0.6391660146241086"/>
    <n v="0.7"/>
    <n v="2647524080"/>
    <n v="4.3499999999999996"/>
    <n v="6"/>
  </r>
  <r>
    <x v="86"/>
    <x v="148"/>
    <x v="148"/>
    <s v="HSX"/>
    <s v="8630"/>
    <n v="0.65757011666108545"/>
    <n v="0.71514023332217103"/>
    <n v="0.6"/>
    <n v="2589794780"/>
    <n v="2.87"/>
    <n v="7"/>
  </r>
  <r>
    <x v="86"/>
    <x v="133"/>
    <x v="133"/>
    <s v="HSX"/>
    <s v="2770"/>
    <n v="0.64631691608494335"/>
    <n v="0.69263383216988672"/>
    <n v="0.6"/>
    <n v="148435865000"/>
    <n v="60.4"/>
    <n v="8"/>
  </r>
  <r>
    <x v="86"/>
    <x v="70"/>
    <x v="70"/>
    <s v="HSX"/>
    <s v="8350"/>
    <n v="0.64014581474570431"/>
    <n v="0.8802916294914086"/>
    <n v="0.4"/>
    <n v="18161189400"/>
    <n v="15.1"/>
    <n v="9"/>
  </r>
  <r>
    <x v="86"/>
    <x v="135"/>
    <x v="135"/>
    <s v="HSX"/>
    <s v="8630"/>
    <n v="0.63844233082740187"/>
    <n v="0.72688466165480381"/>
    <n v="0.55000000000000004"/>
    <n v="3143515800"/>
    <n v="26.4"/>
    <n v="10"/>
  </r>
  <r>
    <x v="86"/>
    <x v="30"/>
    <x v="30"/>
    <s v="HSX"/>
    <s v="8630"/>
    <n v="0.63647703169061254"/>
    <n v="0.87295406338122505"/>
    <n v="0.4"/>
    <n v="106138603300"/>
    <n v="16.399999999999999"/>
    <n v="11"/>
  </r>
  <r>
    <x v="86"/>
    <x v="153"/>
    <x v="153"/>
    <s v="HSX"/>
    <s v="8350"/>
    <n v="0.62197948814840065"/>
    <n v="0.64395897629680143"/>
    <n v="0.6"/>
    <n v="134700736060"/>
    <n v="10.9"/>
    <n v="12"/>
  </r>
  <r>
    <x v="86"/>
    <x v="13"/>
    <x v="13"/>
    <s v="HSX"/>
    <s v="3570"/>
    <n v="0.61816336696426133"/>
    <n v="0.88632673392852268"/>
    <n v="0.35"/>
    <n v="269304848700"/>
    <n v="34.75"/>
    <n v="13"/>
  </r>
  <r>
    <x v="86"/>
    <x v="69"/>
    <x v="69"/>
    <s v="HSX"/>
    <s v="8630"/>
    <n v="0.61314842086222532"/>
    <n v="0.97629684172445064"/>
    <n v="0.25"/>
    <n v="5337569960"/>
    <n v="2.81"/>
    <n v="14"/>
  </r>
  <r>
    <x v="86"/>
    <x v="177"/>
    <x v="177"/>
    <s v="HNX"/>
    <s v="2350"/>
    <n v="0.60770815174573622"/>
    <n v="0.91541630349147241"/>
    <n v="0.3"/>
    <n v="2520415600"/>
    <n v="3.5"/>
    <n v="15"/>
  </r>
  <r>
    <x v="86"/>
    <x v="49"/>
    <x v="49"/>
    <s v="HSX"/>
    <s v="8780"/>
    <n v="0.60708629252651725"/>
    <n v="0.71417258505303438"/>
    <n v="0.5"/>
    <n v="351213187600"/>
    <n v="17.45"/>
    <n v="16"/>
  </r>
  <r>
    <x v="86"/>
    <x v="60"/>
    <x v="60"/>
    <s v="HSX"/>
    <s v="8780"/>
    <n v="0.59691746157748105"/>
    <n v="0.89383492315496205"/>
    <n v="0.3"/>
    <n v="583140756800"/>
    <n v="14.85"/>
    <n v="17"/>
  </r>
  <r>
    <x v="86"/>
    <x v="61"/>
    <x v="61"/>
    <s v="HSX"/>
    <s v="8630"/>
    <n v="0.59681756257993768"/>
    <n v="0.69363512515987524"/>
    <n v="0.5"/>
    <n v="440926205400"/>
    <n v="93"/>
    <n v="18"/>
  </r>
  <r>
    <x v="86"/>
    <x v="22"/>
    <x v="22"/>
    <s v="HSX"/>
    <s v="8630"/>
    <n v="0.59653273965737585"/>
    <n v="0.74306547931475164"/>
    <n v="0.45"/>
    <n v="31105250760"/>
    <n v="7.5"/>
    <n v="19"/>
  </r>
  <r>
    <x v="86"/>
    <x v="170"/>
    <x v="170"/>
    <s v="HSX"/>
    <s v="3570"/>
    <n v="0.59280871837264326"/>
    <n v="0.83561743674528655"/>
    <n v="0.35"/>
    <n v="381351908200"/>
    <n v="74.8"/>
    <n v="20"/>
  </r>
  <r>
    <x v="87"/>
    <x v="126"/>
    <x v="126"/>
    <s v="UPCOM"/>
    <s v="8350"/>
    <n v="0.85736023318260113"/>
    <n v="0.96472046636520215"/>
    <n v="0.75"/>
    <n v="2067820200"/>
    <n v="51"/>
    <n v="1"/>
  </r>
  <r>
    <x v="87"/>
    <x v="39"/>
    <x v="39"/>
    <s v="HSX"/>
    <s v="8630"/>
    <n v="0.77120147930794825"/>
    <n v="0.94240295861589662"/>
    <n v="0.6"/>
    <n v="162622783800"/>
    <n v="23"/>
    <n v="2"/>
  </r>
  <r>
    <x v="87"/>
    <x v="153"/>
    <x v="153"/>
    <s v="HSX"/>
    <s v="8350"/>
    <n v="0.72891702650078338"/>
    <n v="0.75783405300156681"/>
    <n v="0.7"/>
    <n v="138379200860"/>
    <n v="11.2"/>
    <n v="3"/>
  </r>
  <r>
    <x v="87"/>
    <x v="165"/>
    <x v="165"/>
    <s v="HSX"/>
    <s v="8630"/>
    <n v="0.71820146966879272"/>
    <n v="0.6364029393375854"/>
    <n v="0.8"/>
    <n v="7387529800"/>
    <n v="33.450000000000003"/>
    <n v="4"/>
  </r>
  <r>
    <x v="87"/>
    <x v="138"/>
    <x v="138"/>
    <s v="HSX"/>
    <s v="8630"/>
    <n v="0.6774536270105469"/>
    <n v="0.65490725402109384"/>
    <n v="0.7"/>
    <n v="2654950500"/>
    <n v="4.34"/>
    <n v="5"/>
  </r>
  <r>
    <x v="87"/>
    <x v="176"/>
    <x v="176"/>
    <s v="HNX"/>
    <s v="8350"/>
    <n v="0.66731669595839704"/>
    <n v="0.98463339191679411"/>
    <n v="0.35"/>
    <n v="8009513600"/>
    <n v="15.4"/>
    <n v="6"/>
  </r>
  <r>
    <x v="87"/>
    <x v="69"/>
    <x v="69"/>
    <s v="HSX"/>
    <s v="8630"/>
    <n v="0.65472588322591352"/>
    <n v="0.95945176645182717"/>
    <n v="0.35"/>
    <n v="5748277880"/>
    <n v="2.77"/>
    <n v="7"/>
  </r>
  <r>
    <x v="87"/>
    <x v="58"/>
    <x v="58"/>
    <s v="UPCOM"/>
    <s v="2350"/>
    <n v="0.64656598516279273"/>
    <n v="0.84313197032558551"/>
    <n v="0.45"/>
    <n v="10579128200"/>
    <n v="7.3"/>
    <n v="8"/>
  </r>
  <r>
    <x v="87"/>
    <x v="148"/>
    <x v="148"/>
    <s v="HSX"/>
    <s v="8630"/>
    <n v="0.64274866945597009"/>
    <n v="0.88549733891194027"/>
    <n v="0.4"/>
    <n v="2663950840"/>
    <n v="3.07"/>
    <n v="9"/>
  </r>
  <r>
    <x v="87"/>
    <x v="133"/>
    <x v="133"/>
    <s v="HSX"/>
    <s v="2770"/>
    <n v="0.62996427210454842"/>
    <n v="0.80992854420909677"/>
    <n v="0.45"/>
    <n v="150470130000"/>
    <n v="62.1"/>
    <n v="10"/>
  </r>
  <r>
    <x v="87"/>
    <x v="49"/>
    <x v="49"/>
    <s v="HSX"/>
    <s v="8780"/>
    <n v="0.61458428505600016"/>
    <n v="0.77916857011200025"/>
    <n v="0.45"/>
    <n v="357397814400"/>
    <n v="17.8"/>
    <n v="11"/>
  </r>
  <r>
    <x v="87"/>
    <x v="87"/>
    <x v="87"/>
    <s v="HSX"/>
    <s v="2350"/>
    <n v="0.60657987990286011"/>
    <n v="0.81315975980572031"/>
    <n v="0.4"/>
    <n v="8661427400"/>
    <n v="10.5"/>
    <n v="12"/>
  </r>
  <r>
    <x v="87"/>
    <x v="33"/>
    <x v="33"/>
    <s v="HSX"/>
    <s v="8630"/>
    <n v="0.59665357453785761"/>
    <n v="0.99330714907571527"/>
    <n v="0.2"/>
    <n v="12175887200"/>
    <n v="4.2300000000000004"/>
    <n v="13"/>
  </r>
  <r>
    <x v="87"/>
    <x v="44"/>
    <x v="44"/>
    <s v="HSX"/>
    <s v="8780"/>
    <n v="0.59441273406006367"/>
    <n v="0.53882546812012733"/>
    <n v="0.65"/>
    <n v="270524075100"/>
    <n v="37.549999999999997"/>
    <n v="14"/>
  </r>
  <r>
    <x v="87"/>
    <x v="61"/>
    <x v="61"/>
    <s v="HSX"/>
    <s v="8630"/>
    <n v="0.58778997507557518"/>
    <n v="0.67557995015115035"/>
    <n v="0.5"/>
    <n v="432629998200"/>
    <n v="93.3"/>
    <n v="15"/>
  </r>
  <r>
    <x v="87"/>
    <x v="13"/>
    <x v="13"/>
    <s v="HSX"/>
    <s v="3570"/>
    <n v="0.58755627263524135"/>
    <n v="0.87511254527048266"/>
    <n v="0.3"/>
    <n v="270759105900"/>
    <n v="34.75"/>
    <n v="16"/>
  </r>
  <r>
    <x v="87"/>
    <x v="108"/>
    <x v="108"/>
    <s v="UPCOM"/>
    <s v="1350"/>
    <n v="0.58675875958275292"/>
    <n v="0.8735175191655058"/>
    <n v="0.3"/>
    <n v="64023992200"/>
    <n v="28.7"/>
    <n v="17"/>
  </r>
  <r>
    <x v="87"/>
    <x v="28"/>
    <x v="28"/>
    <s v="UPCOM"/>
    <s v="2770"/>
    <n v="0.58273479835939923"/>
    <n v="0.86546959671879842"/>
    <n v="0.3"/>
    <n v="7804141800"/>
    <n v="165"/>
    <n v="18"/>
  </r>
  <r>
    <x v="87"/>
    <x v="178"/>
    <x v="178"/>
    <s v="HSX"/>
    <s v="8780"/>
    <n v="0.58102138728031028"/>
    <n v="0.51204277456062064"/>
    <n v="0.65"/>
    <n v="148377337900"/>
    <n v="40"/>
    <n v="19"/>
  </r>
  <r>
    <x v="87"/>
    <x v="179"/>
    <x v="179"/>
    <s v="HNX"/>
    <s v="8780"/>
    <n v="0.57928013967843928"/>
    <n v="0.65856027935687844"/>
    <n v="0.5"/>
    <n v="208289561800"/>
    <n v="14.2"/>
    <n v="20"/>
  </r>
  <r>
    <x v="88"/>
    <x v="148"/>
    <x v="148"/>
    <s v="HSX"/>
    <s v="8630"/>
    <n v="0.82582634374686026"/>
    <n v="0.95165268749372067"/>
    <n v="0.7"/>
    <n v="2692279900"/>
    <n v="3.28"/>
    <n v="1"/>
  </r>
  <r>
    <x v="88"/>
    <x v="39"/>
    <x v="39"/>
    <s v="HSX"/>
    <s v="8630"/>
    <n v="0.81213283701345307"/>
    <n v="0.92426567402690607"/>
    <n v="0.7"/>
    <n v="164526814200"/>
    <n v="23.05"/>
    <n v="2"/>
  </r>
  <r>
    <x v="88"/>
    <x v="138"/>
    <x v="138"/>
    <s v="HSX"/>
    <s v="8630"/>
    <n v="0.75827441160914844"/>
    <n v="0.66654882321829678"/>
    <n v="0.85"/>
    <n v="2585658060"/>
    <n v="4.3499999999999996"/>
    <n v="3"/>
  </r>
  <r>
    <x v="88"/>
    <x v="178"/>
    <x v="178"/>
    <s v="HSX"/>
    <s v="8780"/>
    <n v="0.6912696186144941"/>
    <n v="0.58253923722898815"/>
    <n v="0.8"/>
    <n v="152879213000"/>
    <n v="40.5"/>
    <n v="4"/>
  </r>
  <r>
    <x v="88"/>
    <x v="108"/>
    <x v="108"/>
    <s v="UPCOM"/>
    <s v="1350"/>
    <n v="0.68774547702001576"/>
    <n v="0.82549095404003137"/>
    <n v="0.55000000000000004"/>
    <n v="63817479600"/>
    <n v="28.5"/>
    <n v="5"/>
  </r>
  <r>
    <x v="88"/>
    <x v="61"/>
    <x v="61"/>
    <s v="HSX"/>
    <s v="8630"/>
    <n v="0.67685104537634522"/>
    <n v="0.75370209075269057"/>
    <n v="0.6"/>
    <n v="419070678200"/>
    <n v="95"/>
    <n v="6"/>
  </r>
  <r>
    <x v="88"/>
    <x v="175"/>
    <x v="175"/>
    <s v="HSX"/>
    <s v="3720"/>
    <n v="0.67009890852295517"/>
    <n v="0.84019781704591034"/>
    <n v="0.5"/>
    <n v="2692464880"/>
    <n v="3.03"/>
    <n v="7"/>
  </r>
  <r>
    <x v="88"/>
    <x v="176"/>
    <x v="176"/>
    <s v="HNX"/>
    <s v="8350"/>
    <n v="0.6659053222617175"/>
    <n v="0.98181064452343492"/>
    <n v="0.35"/>
    <n v="8206839600"/>
    <n v="15.5"/>
    <n v="8"/>
  </r>
  <r>
    <x v="88"/>
    <x v="180"/>
    <x v="180"/>
    <s v="HSX"/>
    <s v="8780"/>
    <n v="0.65273073585713481"/>
    <n v="0.90546147171426972"/>
    <n v="0.4"/>
    <n v="606183287900"/>
    <n v="28.55"/>
    <n v="9"/>
  </r>
  <r>
    <x v="88"/>
    <x v="171"/>
    <x v="171"/>
    <s v="HNX"/>
    <s v="8780"/>
    <n v="0.64997801362022645"/>
    <n v="0.94995602724045292"/>
    <n v="0.35"/>
    <n v="4459373600"/>
    <n v="7.2"/>
    <n v="10"/>
  </r>
  <r>
    <x v="88"/>
    <x v="162"/>
    <x v="162"/>
    <s v="HSX"/>
    <s v="8350"/>
    <n v="0.64213822468281656"/>
    <n v="0.83427644936563305"/>
    <n v="0.45"/>
    <n v="590767874700"/>
    <n v="34.9"/>
    <n v="11"/>
  </r>
  <r>
    <x v="88"/>
    <x v="153"/>
    <x v="153"/>
    <s v="HSX"/>
    <s v="8350"/>
    <n v="0.62368608760849709"/>
    <n v="0.64737217521699431"/>
    <n v="0.6"/>
    <n v="141226272700"/>
    <n v="11.1"/>
    <n v="12"/>
  </r>
  <r>
    <x v="88"/>
    <x v="51"/>
    <x v="51"/>
    <s v="HSX"/>
    <s v="2350"/>
    <n v="0.62177315761183527"/>
    <n v="0.69354631522367038"/>
    <n v="0.55000000000000004"/>
    <n v="4817409800"/>
    <n v="10.4"/>
    <n v="13"/>
  </r>
  <r>
    <x v="88"/>
    <x v="177"/>
    <x v="177"/>
    <s v="HNX"/>
    <s v="2350"/>
    <n v="0.62126736723028786"/>
    <n v="0.89253473446057574"/>
    <n v="0.35"/>
    <n v="2748306800"/>
    <n v="3.5"/>
    <n v="14"/>
  </r>
  <r>
    <x v="88"/>
    <x v="30"/>
    <x v="30"/>
    <s v="HSX"/>
    <s v="8630"/>
    <n v="0.61727259625959929"/>
    <n v="0.83454519251919856"/>
    <n v="0.4"/>
    <n v="108590309200"/>
    <n v="16.149999999999999"/>
    <n v="15"/>
  </r>
  <r>
    <x v="88"/>
    <x v="60"/>
    <x v="60"/>
    <s v="HSX"/>
    <s v="8780"/>
    <n v="0.61075851761578615"/>
    <n v="0.92151703523157236"/>
    <n v="0.3"/>
    <n v="602595825300"/>
    <n v="15.55"/>
    <n v="16"/>
  </r>
  <r>
    <x v="88"/>
    <x v="49"/>
    <x v="49"/>
    <s v="HSX"/>
    <s v="8780"/>
    <n v="0.61019518657599769"/>
    <n v="0.82039037315199537"/>
    <n v="0.4"/>
    <n v="368216273100"/>
    <n v="18.05"/>
    <n v="17"/>
  </r>
  <r>
    <x v="88"/>
    <x v="69"/>
    <x v="69"/>
    <s v="HSX"/>
    <s v="8630"/>
    <n v="0.60356167622553447"/>
    <n v="0.95712335245106883"/>
    <n v="0.25"/>
    <n v="6112673480"/>
    <n v="2.8"/>
    <n v="18"/>
  </r>
  <r>
    <x v="88"/>
    <x v="170"/>
    <x v="170"/>
    <s v="HSX"/>
    <s v="3570"/>
    <n v="0.58711010489731863"/>
    <n v="0.82422020979463739"/>
    <n v="0.35"/>
    <n v="384029040200"/>
    <n v="75.8"/>
    <n v="19"/>
  </r>
  <r>
    <x v="88"/>
    <x v="52"/>
    <x v="52"/>
    <s v="HSX"/>
    <s v="2350"/>
    <n v="0.58328093303336637"/>
    <n v="0.71656186606673267"/>
    <n v="0.45"/>
    <n v="44448874600"/>
    <n v="24.65"/>
    <n v="20"/>
  </r>
  <r>
    <x v="89"/>
    <x v="39"/>
    <x v="39"/>
    <s v="HSX"/>
    <s v="8630"/>
    <n v="0.78084730244211253"/>
    <n v="0.91169460488422494"/>
    <n v="0.65"/>
    <n v="164919143200"/>
    <n v="23.3"/>
    <n v="1"/>
  </r>
  <r>
    <x v="89"/>
    <x v="162"/>
    <x v="162"/>
    <s v="HSX"/>
    <s v="8350"/>
    <n v="0.76822732343218847"/>
    <n v="0.73645464686437689"/>
    <n v="0.8"/>
    <n v="595026683500"/>
    <n v="34.799999999999997"/>
    <n v="2"/>
  </r>
  <r>
    <x v="89"/>
    <x v="61"/>
    <x v="61"/>
    <s v="HSX"/>
    <s v="8630"/>
    <n v="0.74276208390587284"/>
    <n v="0.93552416781174574"/>
    <n v="0.55000000000000004"/>
    <n v="423885027000"/>
    <n v="101.6"/>
    <n v="3"/>
  </r>
  <r>
    <x v="89"/>
    <x v="108"/>
    <x v="108"/>
    <s v="UPCOM"/>
    <s v="1350"/>
    <n v="0.73370349704362581"/>
    <n v="0.81740699408725148"/>
    <n v="0.65"/>
    <n v="64550136400"/>
    <n v="28.3"/>
    <n v="4"/>
  </r>
  <r>
    <x v="89"/>
    <x v="138"/>
    <x v="138"/>
    <s v="HSX"/>
    <s v="8630"/>
    <n v="0.73119876037228204"/>
    <n v="0.66239752074456415"/>
    <n v="0.8"/>
    <n v="2562558960"/>
    <n v="4.4000000000000004"/>
    <n v="5"/>
  </r>
  <r>
    <x v="89"/>
    <x v="148"/>
    <x v="148"/>
    <s v="HSX"/>
    <s v="8630"/>
    <n v="0.71628793403433566"/>
    <n v="0.98257586806867137"/>
    <n v="0.45"/>
    <n v="2794498220"/>
    <n v="3.5"/>
    <n v="6"/>
  </r>
  <r>
    <x v="89"/>
    <x v="157"/>
    <x v="157"/>
    <s v="HSX"/>
    <s v="5370"/>
    <n v="0.66649742412805679"/>
    <n v="0.68299484825611345"/>
    <n v="0.65"/>
    <n v="100392558500"/>
    <n v="44.7"/>
    <n v="7"/>
  </r>
  <r>
    <x v="89"/>
    <x v="176"/>
    <x v="176"/>
    <s v="HNX"/>
    <s v="8350"/>
    <n v="0.66570885899231924"/>
    <n v="0.98141771798463839"/>
    <n v="0.35"/>
    <n v="8402719000"/>
    <n v="15.7"/>
    <n v="8"/>
  </r>
  <r>
    <x v="89"/>
    <x v="170"/>
    <x v="170"/>
    <s v="HSX"/>
    <s v="3570"/>
    <n v="0.65968692618583835"/>
    <n v="0.86937385237167664"/>
    <n v="0.45"/>
    <n v="397678312400"/>
    <n v="76.900000000000006"/>
    <n v="9"/>
  </r>
  <r>
    <x v="89"/>
    <x v="180"/>
    <x v="180"/>
    <s v="HSX"/>
    <s v="8780"/>
    <n v="0.6499782860909068"/>
    <n v="0.89995657218181357"/>
    <n v="0.4"/>
    <n v="630597173400"/>
    <n v="28.95"/>
    <n v="10"/>
  </r>
  <r>
    <x v="89"/>
    <x v="89"/>
    <x v="89"/>
    <s v="HSX"/>
    <s v="8630"/>
    <n v="0.64917527379390183"/>
    <n v="0.94835054758780379"/>
    <n v="0.35"/>
    <n v="461124815800"/>
    <n v="86"/>
    <n v="11"/>
  </r>
  <r>
    <x v="89"/>
    <x v="175"/>
    <x v="175"/>
    <s v="HSX"/>
    <s v="3720"/>
    <n v="0.63244789220128705"/>
    <n v="0.81489578440257415"/>
    <n v="0.45"/>
    <n v="2781291760"/>
    <n v="3.02"/>
    <n v="12"/>
  </r>
  <r>
    <x v="89"/>
    <x v="178"/>
    <x v="178"/>
    <s v="HSX"/>
    <s v="8780"/>
    <n v="0.62044676105970187"/>
    <n v="0.44089352211940358"/>
    <n v="0.8"/>
    <n v="154349286500"/>
    <n v="40.049999999999997"/>
    <n v="13"/>
  </r>
  <r>
    <x v="89"/>
    <x v="53"/>
    <x v="53"/>
    <s v="UPCOM"/>
    <s v="2770"/>
    <n v="0.6151210735868814"/>
    <n v="0.58024214717376277"/>
    <n v="0.65"/>
    <n v="4550774000"/>
    <n v="27.9"/>
    <n v="14"/>
  </r>
  <r>
    <x v="89"/>
    <x v="69"/>
    <x v="69"/>
    <s v="HSX"/>
    <s v="8630"/>
    <n v="0.6064172780156234"/>
    <n v="0.96283455603124668"/>
    <n v="0.25"/>
    <n v="6346924540"/>
    <n v="2.83"/>
    <n v="15"/>
  </r>
  <r>
    <x v="89"/>
    <x v="67"/>
    <x v="67"/>
    <s v="HSX"/>
    <s v="2730"/>
    <n v="0.58648492927424289"/>
    <n v="0.87296985854848586"/>
    <n v="0.3"/>
    <n v="431963049800"/>
    <n v="39.799999999999997"/>
    <n v="16"/>
  </r>
  <r>
    <x v="89"/>
    <x v="30"/>
    <x v="30"/>
    <s v="HSX"/>
    <s v="8630"/>
    <n v="0.58030568278592887"/>
    <n v="0.81061136557185776"/>
    <n v="0.35"/>
    <n v="109177053300"/>
    <n v="16.350000000000001"/>
    <n v="17"/>
  </r>
  <r>
    <x v="89"/>
    <x v="49"/>
    <x v="49"/>
    <s v="HSX"/>
    <s v="8780"/>
    <n v="0.5789812395966627"/>
    <n v="0.6579624791933254"/>
    <n v="0.5"/>
    <n v="373258476300"/>
    <n v="17.8"/>
    <n v="18"/>
  </r>
  <r>
    <x v="89"/>
    <x v="58"/>
    <x v="58"/>
    <s v="UPCOM"/>
    <s v="2350"/>
    <n v="0.57146043955660153"/>
    <n v="0.74292087911320304"/>
    <n v="0.4"/>
    <n v="11440856800"/>
    <n v="7.1"/>
    <n v="19"/>
  </r>
  <r>
    <x v="89"/>
    <x v="60"/>
    <x v="60"/>
    <s v="HSX"/>
    <s v="8780"/>
    <n v="0.56520766116411014"/>
    <n v="0.88041532232822028"/>
    <n v="0.25"/>
    <n v="612485097800"/>
    <n v="15.6"/>
    <n v="20"/>
  </r>
  <r>
    <x v="90"/>
    <x v="61"/>
    <x v="61"/>
    <s v="HSX"/>
    <s v="8630"/>
    <n v="0.82663880686826841"/>
    <n v="0.95327761373653697"/>
    <n v="0.7"/>
    <n v="416035875000"/>
    <n v="108"/>
    <n v="1"/>
  </r>
  <r>
    <x v="90"/>
    <x v="89"/>
    <x v="89"/>
    <s v="HSX"/>
    <s v="8630"/>
    <n v="0.79993763973169596"/>
    <n v="0.94987527946339179"/>
    <n v="0.65"/>
    <n v="464693110400"/>
    <n v="87.9"/>
    <n v="2"/>
  </r>
  <r>
    <x v="90"/>
    <x v="148"/>
    <x v="148"/>
    <s v="HSX"/>
    <s v="8630"/>
    <n v="0.77025207204119539"/>
    <n v="0.99050414408239074"/>
    <n v="0.55000000000000004"/>
    <n v="3404144180"/>
    <n v="3.74"/>
    <n v="3"/>
  </r>
  <r>
    <x v="90"/>
    <x v="180"/>
    <x v="180"/>
    <s v="HSX"/>
    <s v="8780"/>
    <n v="0.74963282615435356"/>
    <n v="0.94926565230870708"/>
    <n v="0.55000000000000004"/>
    <n v="663427253900"/>
    <n v="29.65"/>
    <n v="4"/>
  </r>
  <r>
    <x v="90"/>
    <x v="87"/>
    <x v="87"/>
    <s v="HSX"/>
    <s v="2350"/>
    <n v="0.74874842470470282"/>
    <n v="0.84749684940940562"/>
    <n v="0.65"/>
    <n v="9158049940"/>
    <n v="10.75"/>
    <n v="5"/>
  </r>
  <r>
    <x v="90"/>
    <x v="39"/>
    <x v="39"/>
    <s v="HSX"/>
    <s v="8630"/>
    <n v="0.70364387653438243"/>
    <n v="0.9572877530687649"/>
    <n v="0.45"/>
    <n v="167724304100"/>
    <n v="23.85"/>
    <n v="6"/>
  </r>
  <r>
    <x v="90"/>
    <x v="162"/>
    <x v="162"/>
    <s v="HSX"/>
    <s v="8350"/>
    <n v="0.69865452298909858"/>
    <n v="0.74730904597819725"/>
    <n v="0.65"/>
    <n v="598483919600"/>
    <n v="34.950000000000003"/>
    <n v="7"/>
  </r>
  <r>
    <x v="90"/>
    <x v="138"/>
    <x v="138"/>
    <s v="HSX"/>
    <s v="8630"/>
    <n v="0.68735353471888549"/>
    <n v="0.87470706943777088"/>
    <n v="0.5"/>
    <n v="2603341720"/>
    <n v="4.7"/>
    <n v="8"/>
  </r>
  <r>
    <x v="90"/>
    <x v="178"/>
    <x v="178"/>
    <s v="HSX"/>
    <s v="8780"/>
    <n v="0.65888331058086314"/>
    <n v="0.66776662116172625"/>
    <n v="0.65"/>
    <n v="161646087700"/>
    <n v="40.9"/>
    <n v="9"/>
  </r>
  <r>
    <x v="90"/>
    <x v="181"/>
    <x v="181"/>
    <s v="UPCOM"/>
    <s v="8630"/>
    <n v="0.6446335713130138"/>
    <n v="0.7892671426260276"/>
    <n v="0.5"/>
    <n v="2282216000"/>
    <n v="20"/>
    <n v="10"/>
  </r>
  <r>
    <x v="90"/>
    <x v="179"/>
    <x v="179"/>
    <s v="HNX"/>
    <s v="8780"/>
    <n v="0.64161847116413218"/>
    <n v="0.73323694232826442"/>
    <n v="0.55000000000000004"/>
    <n v="232729214400"/>
    <n v="14.6"/>
    <n v="11"/>
  </r>
  <r>
    <x v="90"/>
    <x v="108"/>
    <x v="108"/>
    <s v="UPCOM"/>
    <s v="1350"/>
    <n v="0.64122094310796895"/>
    <n v="0.73244188621593775"/>
    <n v="0.55000000000000004"/>
    <n v="64792996000"/>
    <n v="27.9"/>
    <n v="12"/>
  </r>
  <r>
    <x v="90"/>
    <x v="170"/>
    <x v="170"/>
    <s v="HSX"/>
    <s v="3570"/>
    <n v="0.63163258961658653"/>
    <n v="0.81326517923317299"/>
    <n v="0.45"/>
    <n v="405535513400"/>
    <n v="76.5"/>
    <n v="13"/>
  </r>
  <r>
    <x v="90"/>
    <x v="124"/>
    <x v="124"/>
    <s v="HNX"/>
    <s v="8630"/>
    <n v="0.62679162637459385"/>
    <n v="0.80358325274918774"/>
    <n v="0.45"/>
    <n v="5794860600"/>
    <n v="7.7"/>
    <n v="14"/>
  </r>
  <r>
    <x v="90"/>
    <x v="73"/>
    <x v="73"/>
    <s v="HSX"/>
    <s v="8630"/>
    <n v="0.62571237002330715"/>
    <n v="0.90142474004661421"/>
    <n v="0.35"/>
    <n v="26192669020"/>
    <n v="3.74"/>
    <n v="15"/>
  </r>
  <r>
    <x v="90"/>
    <x v="182"/>
    <x v="182"/>
    <s v="HNX"/>
    <s v="8630"/>
    <n v="0.62002588944514636"/>
    <n v="0.94005177889029268"/>
    <n v="0.3"/>
    <n v="2095206400"/>
    <n v="11"/>
    <n v="16"/>
  </r>
  <r>
    <x v="90"/>
    <x v="22"/>
    <x v="22"/>
    <s v="HSX"/>
    <s v="8630"/>
    <n v="0.61824529905558079"/>
    <n v="0.73649059811116158"/>
    <n v="0.5"/>
    <n v="33539581280"/>
    <n v="7.6"/>
    <n v="17"/>
  </r>
  <r>
    <x v="90"/>
    <x v="157"/>
    <x v="157"/>
    <s v="HSX"/>
    <s v="5370"/>
    <n v="0.60162904965463992"/>
    <n v="0.55325809930927994"/>
    <n v="0.65"/>
    <n v="102410575800"/>
    <n v="44"/>
    <n v="18"/>
  </r>
  <r>
    <x v="90"/>
    <x v="153"/>
    <x v="153"/>
    <s v="HSX"/>
    <s v="8350"/>
    <n v="0.60111651753526352"/>
    <n v="0.60223303507052717"/>
    <n v="0.6"/>
    <n v="143811550180"/>
    <n v="11.1"/>
    <n v="19"/>
  </r>
  <r>
    <x v="90"/>
    <x v="67"/>
    <x v="67"/>
    <s v="HSX"/>
    <s v="2730"/>
    <n v="0.60069081826937254"/>
    <n v="0.90138163653874515"/>
    <n v="0.3"/>
    <n v="440362734800"/>
    <n v="40"/>
    <n v="20"/>
  </r>
  <r>
    <x v="91"/>
    <x v="89"/>
    <x v="89"/>
    <s v="HSX"/>
    <s v="8630"/>
    <n v="0.85404504646096591"/>
    <n v="0.95809009292193181"/>
    <n v="0.75"/>
    <n v="467531954600"/>
    <n v="88.8"/>
    <n v="1"/>
  </r>
  <r>
    <x v="91"/>
    <x v="180"/>
    <x v="180"/>
    <s v="HSX"/>
    <s v="8780"/>
    <n v="0.81510541898389199"/>
    <n v="0.93021083796778392"/>
    <n v="0.7"/>
    <n v="689741881400"/>
    <n v="29.75"/>
    <n v="2"/>
  </r>
  <r>
    <x v="91"/>
    <x v="171"/>
    <x v="171"/>
    <s v="HNX"/>
    <s v="8780"/>
    <n v="0.76708173909613286"/>
    <n v="0.98416347819226579"/>
    <n v="0.55000000000000004"/>
    <n v="5087578800"/>
    <n v="7.8"/>
    <n v="3"/>
  </r>
  <r>
    <x v="91"/>
    <x v="153"/>
    <x v="153"/>
    <s v="HSX"/>
    <s v="8350"/>
    <n v="0.72680206908667411"/>
    <n v="0.80360413817334808"/>
    <n v="0.65"/>
    <n v="147752711980"/>
    <n v="11.6"/>
    <n v="4"/>
  </r>
  <r>
    <x v="91"/>
    <x v="162"/>
    <x v="162"/>
    <s v="HSX"/>
    <s v="8350"/>
    <n v="0.71175049110744637"/>
    <n v="0.72350098221489267"/>
    <n v="0.7"/>
    <n v="606417054800"/>
    <n v="35.1"/>
    <n v="5"/>
  </r>
  <r>
    <x v="91"/>
    <x v="131"/>
    <x v="131"/>
    <s v="HSX"/>
    <s v="2770"/>
    <n v="0.71157903532528488"/>
    <n v="0.92315807065056987"/>
    <n v="0.5"/>
    <n v="3287359780"/>
    <n v="2.63"/>
    <n v="6"/>
  </r>
  <r>
    <x v="91"/>
    <x v="151"/>
    <x v="151"/>
    <s v="HSX"/>
    <s v="2350"/>
    <n v="0.70336498441638307"/>
    <n v="0.90672996883276613"/>
    <n v="0.5"/>
    <n v="3640597120"/>
    <n v="5.73"/>
    <n v="7"/>
  </r>
  <r>
    <x v="91"/>
    <x v="87"/>
    <x v="87"/>
    <s v="HSX"/>
    <s v="2350"/>
    <n v="0.70157290613487522"/>
    <n v="0.90314581226975033"/>
    <n v="0.5"/>
    <n v="9558056140"/>
    <n v="10.95"/>
    <n v="8"/>
  </r>
  <r>
    <x v="91"/>
    <x v="124"/>
    <x v="124"/>
    <s v="HNX"/>
    <s v="8630"/>
    <n v="0.69437919890389233"/>
    <n v="0.93875839780778469"/>
    <n v="0.45"/>
    <n v="6149711000"/>
    <n v="8.4"/>
    <n v="9"/>
  </r>
  <r>
    <x v="91"/>
    <x v="148"/>
    <x v="148"/>
    <s v="HSX"/>
    <s v="8630"/>
    <n v="0.69077148027254398"/>
    <n v="0.98154296054508783"/>
    <n v="0.4"/>
    <n v="3752966920"/>
    <n v="3.53"/>
    <n v="10"/>
  </r>
  <r>
    <x v="91"/>
    <x v="39"/>
    <x v="39"/>
    <s v="HSX"/>
    <s v="8630"/>
    <n v="0.68568132517153424"/>
    <n v="0.97136265034306846"/>
    <n v="0.4"/>
    <n v="170146816400"/>
    <n v="24.85"/>
    <n v="11"/>
  </r>
  <r>
    <x v="91"/>
    <x v="108"/>
    <x v="108"/>
    <s v="UPCOM"/>
    <s v="1350"/>
    <n v="0.68218406253883634"/>
    <n v="0.61436812507767269"/>
    <n v="0.75"/>
    <n v="63918387600"/>
    <n v="27.8"/>
    <n v="12"/>
  </r>
  <r>
    <x v="91"/>
    <x v="67"/>
    <x v="67"/>
    <s v="HSX"/>
    <s v="2730"/>
    <n v="0.68034856495927076"/>
    <n v="0.86069712991854153"/>
    <n v="0.5"/>
    <n v="437890427900"/>
    <n v="39.700000000000003"/>
    <n v="13"/>
  </r>
  <r>
    <x v="91"/>
    <x v="28"/>
    <x v="28"/>
    <s v="UPCOM"/>
    <s v="2770"/>
    <n v="0.65366160870470158"/>
    <n v="0.70732321740940307"/>
    <n v="0.6"/>
    <n v="7475103400"/>
    <n v="165"/>
    <n v="14"/>
  </r>
  <r>
    <x v="91"/>
    <x v="182"/>
    <x v="182"/>
    <s v="HNX"/>
    <s v="8630"/>
    <n v="0.64667534701768958"/>
    <n v="0.94335069403537919"/>
    <n v="0.35"/>
    <n v="2259235800"/>
    <n v="11.1"/>
    <n v="15"/>
  </r>
  <r>
    <x v="91"/>
    <x v="183"/>
    <x v="183"/>
    <s v="HNX"/>
    <s v="1350"/>
    <n v="0.627384242638519"/>
    <n v="0.90476848527703813"/>
    <n v="0.35"/>
    <n v="2042652600"/>
    <n v="19.899999999999999"/>
    <n v="16"/>
  </r>
  <r>
    <x v="91"/>
    <x v="51"/>
    <x v="51"/>
    <s v="HSX"/>
    <s v="2350"/>
    <n v="0.62713436334466444"/>
    <n v="0.70426872668932894"/>
    <n v="0.55000000000000004"/>
    <n v="5230552340"/>
    <n v="10.5"/>
    <n v="17"/>
  </r>
  <r>
    <x v="91"/>
    <x v="62"/>
    <x v="62"/>
    <s v="HSX"/>
    <s v="1350"/>
    <n v="0.62583268705335671"/>
    <n v="0.60166537410671339"/>
    <n v="0.65"/>
    <n v="124832172300"/>
    <n v="30.65"/>
    <n v="18"/>
  </r>
  <r>
    <x v="91"/>
    <x v="69"/>
    <x v="69"/>
    <s v="HSX"/>
    <s v="8630"/>
    <n v="0.62552124624943084"/>
    <n v="0.90104249249886181"/>
    <n v="0.35"/>
    <n v="7044559060"/>
    <n v="2.71"/>
    <n v="19"/>
  </r>
  <r>
    <x v="91"/>
    <x v="30"/>
    <x v="30"/>
    <s v="HSX"/>
    <s v="8630"/>
    <n v="0.62160935492527258"/>
    <n v="0.84321870985054526"/>
    <n v="0.4"/>
    <n v="112622423500"/>
    <n v="16.5"/>
    <n v="20"/>
  </r>
  <r>
    <x v="92"/>
    <x v="148"/>
    <x v="148"/>
    <s v="HSX"/>
    <s v="8630"/>
    <n v="0.91034192089026345"/>
    <n v="0.97068384178052691"/>
    <n v="0.85"/>
    <n v="3973924460"/>
    <n v="3.41"/>
    <n v="1"/>
  </r>
  <r>
    <x v="92"/>
    <x v="180"/>
    <x v="180"/>
    <s v="HSX"/>
    <s v="8780"/>
    <n v="0.85462021431436086"/>
    <n v="0.95924042862872161"/>
    <n v="0.75"/>
    <n v="720451907400"/>
    <n v="30.5"/>
    <n v="2"/>
  </r>
  <r>
    <x v="92"/>
    <x v="89"/>
    <x v="89"/>
    <s v="HSX"/>
    <s v="8630"/>
    <n v="0.81505363200925063"/>
    <n v="0.9301072640185013"/>
    <n v="0.7"/>
    <n v="468762454000"/>
    <n v="87.4"/>
    <n v="3"/>
  </r>
  <r>
    <x v="92"/>
    <x v="131"/>
    <x v="131"/>
    <s v="HSX"/>
    <s v="2770"/>
    <n v="0.81000361482289585"/>
    <n v="0.97000722964579167"/>
    <n v="0.65"/>
    <n v="3824505200"/>
    <n v="2.81"/>
    <n v="4"/>
  </r>
  <r>
    <x v="92"/>
    <x v="124"/>
    <x v="124"/>
    <s v="HNX"/>
    <s v="8630"/>
    <n v="0.78562698225201077"/>
    <n v="0.92125396450402153"/>
    <n v="0.65"/>
    <n v="6389746400"/>
    <n v="8.3000000000000007"/>
    <n v="5"/>
  </r>
  <r>
    <x v="92"/>
    <x v="28"/>
    <x v="28"/>
    <s v="UPCOM"/>
    <s v="2770"/>
    <n v="0.75959974494505156"/>
    <n v="0.71919948989010296"/>
    <n v="0.8"/>
    <n v="7513849000"/>
    <n v="161.9"/>
    <n v="6"/>
  </r>
  <r>
    <x v="92"/>
    <x v="39"/>
    <x v="39"/>
    <s v="HSX"/>
    <s v="8630"/>
    <n v="0.74482991787196851"/>
    <n v="0.93965983574393697"/>
    <n v="0.55000000000000004"/>
    <n v="172136437500"/>
    <n v="23.95"/>
    <n v="7"/>
  </r>
  <r>
    <x v="92"/>
    <x v="61"/>
    <x v="61"/>
    <s v="HSX"/>
    <s v="8630"/>
    <n v="0.72450964133764073"/>
    <n v="0.94901928267528146"/>
    <n v="0.5"/>
    <n v="421572479600"/>
    <n v="111.6"/>
    <n v="8"/>
  </r>
  <r>
    <x v="92"/>
    <x v="108"/>
    <x v="108"/>
    <s v="UPCOM"/>
    <s v="1350"/>
    <n v="0.7161757631215262"/>
    <n v="0.68235152624305229"/>
    <n v="0.75"/>
    <n v="63483798000"/>
    <n v="28.2"/>
    <n v="9"/>
  </r>
  <r>
    <x v="92"/>
    <x v="162"/>
    <x v="162"/>
    <s v="HSX"/>
    <s v="8350"/>
    <n v="0.69809345961483693"/>
    <n v="0.69618691922967391"/>
    <n v="0.7"/>
    <n v="605842339700"/>
    <n v="34.799999999999997"/>
    <n v="10"/>
  </r>
  <r>
    <x v="92"/>
    <x v="104"/>
    <x v="104"/>
    <s v="HSX"/>
    <s v="1750"/>
    <n v="0.6854474198754712"/>
    <n v="0.92089483975094244"/>
    <n v="0.45"/>
    <n v="6183981160"/>
    <n v="13.25"/>
    <n v="11"/>
  </r>
  <r>
    <x v="92"/>
    <x v="135"/>
    <x v="135"/>
    <s v="HSX"/>
    <s v="8630"/>
    <n v="0.68068189197756657"/>
    <n v="0.81136378395513298"/>
    <n v="0.55000000000000004"/>
    <n v="3990071200"/>
    <n v="27.3"/>
    <n v="12"/>
  </r>
  <r>
    <x v="92"/>
    <x v="179"/>
    <x v="179"/>
    <s v="HNX"/>
    <s v="8780"/>
    <n v="0.67908363034549835"/>
    <n v="0.80816726069099654"/>
    <n v="0.55000000000000004"/>
    <n v="250845277200"/>
    <n v="15"/>
    <n v="13"/>
  </r>
  <r>
    <x v="92"/>
    <x v="151"/>
    <x v="151"/>
    <s v="HSX"/>
    <s v="2350"/>
    <n v="0.67540566180578765"/>
    <n v="0.8508113236115753"/>
    <n v="0.5"/>
    <n v="3712521440"/>
    <n v="5.52"/>
    <n v="14"/>
  </r>
  <r>
    <x v="92"/>
    <x v="87"/>
    <x v="87"/>
    <s v="HSX"/>
    <s v="2350"/>
    <n v="0.66535571449089037"/>
    <n v="0.78071142898178059"/>
    <n v="0.55000000000000004"/>
    <n v="9805635020"/>
    <n v="10.6"/>
    <n v="15"/>
  </r>
  <r>
    <x v="92"/>
    <x v="184"/>
    <x v="184"/>
    <s v="HSX"/>
    <s v="8630"/>
    <n v="0.66516569769034284"/>
    <n v="0.93033139538068566"/>
    <n v="0.4"/>
    <n v="124988119500"/>
    <n v="29.65"/>
    <n v="16"/>
  </r>
  <r>
    <x v="92"/>
    <x v="175"/>
    <x v="175"/>
    <s v="HSX"/>
    <s v="3720"/>
    <n v="0.65566216514467812"/>
    <n v="0.81132433028935635"/>
    <n v="0.5"/>
    <n v="3081469080"/>
    <n v="3.03"/>
    <n v="17"/>
  </r>
  <r>
    <x v="92"/>
    <x v="66"/>
    <x v="66"/>
    <s v="HSX"/>
    <s v="8630"/>
    <n v="0.649397107495153"/>
    <n v="0.74879421499030585"/>
    <n v="0.55000000000000004"/>
    <n v="4156964300"/>
    <n v="9.7799999999999994"/>
    <n v="18"/>
  </r>
  <r>
    <x v="92"/>
    <x v="153"/>
    <x v="153"/>
    <s v="HSX"/>
    <s v="8350"/>
    <n v="0.64870212253202075"/>
    <n v="0.84740424506404144"/>
    <n v="0.45"/>
    <n v="151881466780"/>
    <n v="11.8"/>
    <n v="19"/>
  </r>
  <r>
    <x v="92"/>
    <x v="171"/>
    <x v="171"/>
    <s v="HNX"/>
    <s v="8780"/>
    <n v="0.64637290289073135"/>
    <n v="0.99274580578146265"/>
    <n v="0.3"/>
    <n v="5835930200"/>
    <n v="8.4"/>
    <n v="20"/>
  </r>
  <r>
    <x v="93"/>
    <x v="148"/>
    <x v="148"/>
    <s v="HSX"/>
    <s v="8630"/>
    <n v="0.885339627608414"/>
    <n v="0.97067925521682807"/>
    <n v="0.8"/>
    <n v="4108884660"/>
    <n v="3.49"/>
    <n v="1"/>
  </r>
  <r>
    <x v="93"/>
    <x v="89"/>
    <x v="89"/>
    <s v="HSX"/>
    <s v="8630"/>
    <n v="0.81089595464056341"/>
    <n v="0.92179190928112675"/>
    <n v="0.7"/>
    <n v="469842950000"/>
    <n v="88"/>
    <n v="2"/>
  </r>
  <r>
    <x v="93"/>
    <x v="180"/>
    <x v="180"/>
    <s v="HSX"/>
    <s v="8780"/>
    <n v="0.80783163316265583"/>
    <n v="0.96566326632531152"/>
    <n v="0.65"/>
    <n v="741594356200"/>
    <n v="31.6"/>
    <n v="3"/>
  </r>
  <r>
    <x v="93"/>
    <x v="179"/>
    <x v="179"/>
    <s v="HNX"/>
    <s v="8780"/>
    <n v="0.78847922025855477"/>
    <n v="0.92695844051710952"/>
    <n v="0.65"/>
    <n v="268282666200"/>
    <n v="16.2"/>
    <n v="4"/>
  </r>
  <r>
    <x v="93"/>
    <x v="131"/>
    <x v="131"/>
    <s v="HSX"/>
    <s v="2770"/>
    <n v="0.76429466020882453"/>
    <n v="0.9785893204176489"/>
    <n v="0.55000000000000004"/>
    <n v="4268150500"/>
    <n v="3"/>
    <n v="5"/>
  </r>
  <r>
    <x v="93"/>
    <x v="60"/>
    <x v="60"/>
    <s v="HSX"/>
    <s v="8780"/>
    <n v="0.76265934465396779"/>
    <n v="0.97531868930793564"/>
    <n v="0.55000000000000004"/>
    <n v="667153557300"/>
    <n v="17.100000000000001"/>
    <n v="6"/>
  </r>
  <r>
    <x v="93"/>
    <x v="108"/>
    <x v="108"/>
    <s v="UPCOM"/>
    <s v="1350"/>
    <n v="0.75846943634622221"/>
    <n v="0.86693887269244441"/>
    <n v="0.65"/>
    <n v="64398880400"/>
    <n v="29.5"/>
    <n v="7"/>
  </r>
  <r>
    <x v="93"/>
    <x v="171"/>
    <x v="171"/>
    <s v="HNX"/>
    <s v="8780"/>
    <n v="0.7468332717883106"/>
    <n v="0.9936665435766211"/>
    <n v="0.5"/>
    <n v="6407830200"/>
    <n v="9.1999999999999993"/>
    <n v="8"/>
  </r>
  <r>
    <x v="93"/>
    <x v="39"/>
    <x v="39"/>
    <s v="HSX"/>
    <s v="8630"/>
    <n v="0.73782919862890073"/>
    <n v="0.92565839725780141"/>
    <n v="0.55000000000000004"/>
    <n v="171322166700"/>
    <n v="24.15"/>
    <n v="9"/>
  </r>
  <r>
    <x v="93"/>
    <x v="104"/>
    <x v="104"/>
    <s v="HSX"/>
    <s v="1750"/>
    <n v="0.7234546914953871"/>
    <n v="0.94690938299077421"/>
    <n v="0.5"/>
    <n v="6390517860"/>
    <n v="13.35"/>
    <n v="10"/>
  </r>
  <r>
    <x v="93"/>
    <x v="135"/>
    <x v="135"/>
    <s v="HSX"/>
    <s v="8630"/>
    <n v="0.70706371938906809"/>
    <n v="0.76412743877813605"/>
    <n v="0.65"/>
    <n v="4195381600"/>
    <n v="27.4"/>
    <n v="11"/>
  </r>
  <r>
    <x v="93"/>
    <x v="162"/>
    <x v="162"/>
    <s v="HSX"/>
    <s v="8350"/>
    <n v="0.70027612104698878"/>
    <n v="0.70055224209397748"/>
    <n v="0.7"/>
    <n v="609028941200"/>
    <n v="35.25"/>
    <n v="12"/>
  </r>
  <r>
    <x v="93"/>
    <x v="19"/>
    <x v="19"/>
    <s v="HSX"/>
    <s v="8630"/>
    <n v="0.69493049570960985"/>
    <n v="0.38986099141921959"/>
    <n v="1"/>
    <n v="8971708000"/>
    <n v="165.7"/>
    <n v="13"/>
  </r>
  <r>
    <x v="93"/>
    <x v="87"/>
    <x v="87"/>
    <s v="HSX"/>
    <s v="2350"/>
    <n v="0.6934904922810381"/>
    <n v="0.68698098456207635"/>
    <n v="0.7"/>
    <n v="9823582460"/>
    <n v="10.75"/>
    <n v="14"/>
  </r>
  <r>
    <x v="93"/>
    <x v="153"/>
    <x v="153"/>
    <s v="HSX"/>
    <s v="8350"/>
    <n v="0.68431028477902434"/>
    <n v="0.76862056955804881"/>
    <n v="0.6"/>
    <n v="153302937180"/>
    <n v="11.9"/>
    <n v="15"/>
  </r>
  <r>
    <x v="93"/>
    <x v="113"/>
    <x v="113"/>
    <s v="HSX"/>
    <s v="8350"/>
    <n v="0.68087252275899413"/>
    <n v="0.96174504551798823"/>
    <n v="0.4"/>
    <n v="12195596400"/>
    <n v="20.3"/>
    <n v="16"/>
  </r>
  <r>
    <x v="93"/>
    <x v="184"/>
    <x v="184"/>
    <s v="HSX"/>
    <s v="8630"/>
    <n v="0.67554073604378428"/>
    <n v="0.9010814720875685"/>
    <n v="0.45"/>
    <n v="126412050900"/>
    <n v="29.75"/>
    <n v="17"/>
  </r>
  <r>
    <x v="93"/>
    <x v="51"/>
    <x v="51"/>
    <s v="HSX"/>
    <s v="2350"/>
    <n v="0.67028493196053773"/>
    <n v="0.79056986392107553"/>
    <n v="0.55000000000000004"/>
    <n v="5634301860"/>
    <n v="10.75"/>
    <n v="18"/>
  </r>
  <r>
    <x v="93"/>
    <x v="124"/>
    <x v="124"/>
    <s v="HNX"/>
    <s v="8630"/>
    <n v="0.65853844140852646"/>
    <n v="0.96707688281705306"/>
    <n v="0.35"/>
    <n v="6671807600"/>
    <n v="8.9"/>
    <n v="19"/>
  </r>
  <r>
    <x v="93"/>
    <x v="125"/>
    <x v="125"/>
    <s v="HNX"/>
    <s v="8630"/>
    <n v="0.6438708420156678"/>
    <n v="0.93774168403133562"/>
    <n v="0.35"/>
    <n v="6557146000"/>
    <n v="5.9"/>
    <n v="20"/>
  </r>
  <r>
    <x v="94"/>
    <x v="148"/>
    <x v="148"/>
    <s v="HSX"/>
    <s v="8630"/>
    <n v="0.93083906647383174"/>
    <n v="0.96167813294766358"/>
    <n v="0.9"/>
    <n v="4272177380"/>
    <n v="3.47"/>
    <n v="1"/>
  </r>
  <r>
    <x v="94"/>
    <x v="60"/>
    <x v="60"/>
    <s v="HSX"/>
    <s v="8780"/>
    <n v="0.8379706869832626"/>
    <n v="0.97594137396652514"/>
    <n v="0.7"/>
    <n v="678871072900"/>
    <n v="17.649999999999999"/>
    <n v="2"/>
  </r>
  <r>
    <x v="94"/>
    <x v="180"/>
    <x v="180"/>
    <s v="HSX"/>
    <s v="8780"/>
    <n v="0.83213885239249819"/>
    <n v="0.96427770478499641"/>
    <n v="0.7"/>
    <n v="764729569400"/>
    <n v="31.9"/>
    <n v="3"/>
  </r>
  <r>
    <x v="94"/>
    <x v="125"/>
    <x v="125"/>
    <s v="HNX"/>
    <s v="8630"/>
    <n v="0.81286887932989704"/>
    <n v="0.97573775865979417"/>
    <n v="0.65"/>
    <n v="7086561800"/>
    <n v="6.2"/>
    <n v="4"/>
  </r>
  <r>
    <x v="94"/>
    <x v="179"/>
    <x v="179"/>
    <s v="HNX"/>
    <s v="8780"/>
    <n v="0.7949552751003105"/>
    <n v="0.93991055020062098"/>
    <n v="0.65"/>
    <n v="280499755200"/>
    <n v="16.5"/>
    <n v="5"/>
  </r>
  <r>
    <x v="94"/>
    <x v="131"/>
    <x v="131"/>
    <s v="HSX"/>
    <s v="2770"/>
    <n v="0.78929466020882444"/>
    <n v="0.9785893204176489"/>
    <n v="0.6"/>
    <n v="4576004320"/>
    <n v="3.18"/>
    <n v="6"/>
  </r>
  <r>
    <x v="94"/>
    <x v="185"/>
    <x v="185"/>
    <s v="HSX"/>
    <s v="8630"/>
    <n v="0.77185634820394122"/>
    <n v="0.89371269640788242"/>
    <n v="0.65"/>
    <n v="223484345700"/>
    <n v="20.9"/>
    <n v="7"/>
  </r>
  <r>
    <x v="94"/>
    <x v="171"/>
    <x v="171"/>
    <s v="HNX"/>
    <s v="8780"/>
    <n v="0.74692369863582841"/>
    <n v="0.99384739727165683"/>
    <n v="0.5"/>
    <n v="7380518200"/>
    <n v="10"/>
    <n v="8"/>
  </r>
  <r>
    <x v="94"/>
    <x v="184"/>
    <x v="184"/>
    <s v="HSX"/>
    <s v="8630"/>
    <n v="0.73315145487230171"/>
    <n v="0.91630290974460349"/>
    <n v="0.55000000000000004"/>
    <n v="131052009500"/>
    <n v="30.4"/>
    <n v="9"/>
  </r>
  <r>
    <x v="94"/>
    <x v="124"/>
    <x v="124"/>
    <s v="HNX"/>
    <s v="8630"/>
    <n v="0.70836083386127702"/>
    <n v="0.96672166772255397"/>
    <n v="0.45"/>
    <n v="6900293600"/>
    <n v="9"/>
    <n v="10"/>
  </r>
  <r>
    <x v="94"/>
    <x v="108"/>
    <x v="108"/>
    <s v="UPCOM"/>
    <s v="1350"/>
    <n v="0.70683692054684522"/>
    <n v="0.86367384109369028"/>
    <n v="0.55000000000000004"/>
    <n v="64047750200"/>
    <n v="30.4"/>
    <n v="11"/>
  </r>
  <r>
    <x v="94"/>
    <x v="51"/>
    <x v="51"/>
    <s v="HSX"/>
    <s v="2350"/>
    <n v="0.6971711587777526"/>
    <n v="0.84434231755550515"/>
    <n v="0.55000000000000004"/>
    <n v="5991556660"/>
    <n v="11"/>
    <n v="12"/>
  </r>
  <r>
    <x v="94"/>
    <x v="153"/>
    <x v="153"/>
    <s v="HSX"/>
    <s v="8350"/>
    <n v="0.68625113081737754"/>
    <n v="0.77250226163475499"/>
    <n v="0.6"/>
    <n v="154370518280"/>
    <n v="11.9"/>
    <n v="13"/>
  </r>
  <r>
    <x v="94"/>
    <x v="19"/>
    <x v="19"/>
    <s v="HSX"/>
    <s v="8630"/>
    <n v="0.67666957384627002"/>
    <n v="0.35333914769254021"/>
    <n v="1"/>
    <n v="8769829600"/>
    <n v="165.8"/>
    <n v="14"/>
  </r>
  <r>
    <x v="94"/>
    <x v="135"/>
    <x v="135"/>
    <s v="HSX"/>
    <s v="8630"/>
    <n v="0.66765636700886466"/>
    <n v="0.83531273401772921"/>
    <n v="0.5"/>
    <n v="4507874000"/>
    <n v="27.9"/>
    <n v="15"/>
  </r>
  <r>
    <x v="94"/>
    <x v="45"/>
    <x v="45"/>
    <s v="HSX"/>
    <s v="2730"/>
    <n v="0.65869007935255253"/>
    <n v="0.96738015870510519"/>
    <n v="0.35"/>
    <n v="105098189600"/>
    <n v="121.2"/>
    <n v="16"/>
  </r>
  <r>
    <x v="94"/>
    <x v="136"/>
    <x v="136"/>
    <s v="HNX"/>
    <s v="8630"/>
    <n v="0.65672032482981657"/>
    <n v="0.96344064965963305"/>
    <n v="0.35"/>
    <n v="327662928200"/>
    <n v="21"/>
    <n v="17"/>
  </r>
  <r>
    <x v="94"/>
    <x v="40"/>
    <x v="40"/>
    <s v="HSX"/>
    <s v="4530"/>
    <n v="0.65254965633538231"/>
    <n v="0.95509931267076464"/>
    <n v="0.35"/>
    <n v="3565157140"/>
    <n v="6.3"/>
    <n v="18"/>
  </r>
  <r>
    <x v="94"/>
    <x v="73"/>
    <x v="73"/>
    <s v="HSX"/>
    <s v="8630"/>
    <n v="0.65013429641700604"/>
    <n v="0.90026859283401217"/>
    <n v="0.4"/>
    <n v="29188655760"/>
    <n v="3.77"/>
    <n v="19"/>
  </r>
  <r>
    <x v="94"/>
    <x v="175"/>
    <x v="175"/>
    <s v="HSX"/>
    <s v="3720"/>
    <n v="0.64852102551883561"/>
    <n v="0.7470420510376713"/>
    <n v="0.55000000000000004"/>
    <n v="3227622780"/>
    <n v="3.06"/>
    <n v="20"/>
  </r>
  <r>
    <x v="95"/>
    <x v="180"/>
    <x v="180"/>
    <s v="HSX"/>
    <s v="8780"/>
    <n v="0.82781074477807137"/>
    <n v="0.95562148955614268"/>
    <n v="0.7"/>
    <n v="782093812100"/>
    <n v="31.8"/>
    <n v="1"/>
  </r>
  <r>
    <x v="95"/>
    <x v="60"/>
    <x v="60"/>
    <s v="HSX"/>
    <s v="8780"/>
    <n v="0.81878155854311618"/>
    <n v="0.98756311708623223"/>
    <n v="0.65"/>
    <n v="693711114500"/>
    <n v="18.850000000000001"/>
    <n v="2"/>
  </r>
  <r>
    <x v="95"/>
    <x v="179"/>
    <x v="179"/>
    <s v="HNX"/>
    <s v="8780"/>
    <n v="0.81629431174562317"/>
    <n v="0.93258862349124627"/>
    <n v="0.7"/>
    <n v="291827353800"/>
    <n v="16.8"/>
    <n v="3"/>
  </r>
  <r>
    <x v="95"/>
    <x v="153"/>
    <x v="153"/>
    <s v="HSX"/>
    <s v="8350"/>
    <n v="0.7765963742210078"/>
    <n v="0.85319274844201576"/>
    <n v="0.7"/>
    <n v="158605843960"/>
    <n v="12.2"/>
    <n v="4"/>
  </r>
  <r>
    <x v="95"/>
    <x v="171"/>
    <x v="171"/>
    <s v="HNX"/>
    <s v="8780"/>
    <n v="0.77138959936020135"/>
    <n v="0.99277919872040266"/>
    <n v="0.55000000000000004"/>
    <n v="7972619600"/>
    <n v="9.6"/>
    <n v="5"/>
  </r>
  <r>
    <x v="95"/>
    <x v="89"/>
    <x v="89"/>
    <s v="HSX"/>
    <s v="8630"/>
    <n v="0.76135117585353473"/>
    <n v="0.97270235170706953"/>
    <n v="0.55000000000000004"/>
    <n v="477818805600"/>
    <n v="96"/>
    <n v="6"/>
  </r>
  <r>
    <x v="95"/>
    <x v="148"/>
    <x v="148"/>
    <s v="HSX"/>
    <s v="8630"/>
    <n v="0.74165372872703639"/>
    <n v="0.98330745745407278"/>
    <n v="0.5"/>
    <n v="4580947520"/>
    <n v="3.71"/>
    <n v="7"/>
  </r>
  <r>
    <x v="95"/>
    <x v="122"/>
    <x v="122"/>
    <s v="HNX"/>
    <s v="2350"/>
    <n v="0.72704590925749857"/>
    <n v="0.95409181851499714"/>
    <n v="0.5"/>
    <n v="8010739400"/>
    <n v="37"/>
    <n v="8"/>
  </r>
  <r>
    <x v="95"/>
    <x v="131"/>
    <x v="131"/>
    <s v="HSX"/>
    <s v="2770"/>
    <n v="0.71369691359015885"/>
    <n v="0.97739382718031775"/>
    <n v="0.45"/>
    <n v="4822381320"/>
    <n v="3.05"/>
    <n v="9"/>
  </r>
  <r>
    <x v="95"/>
    <x v="39"/>
    <x v="39"/>
    <s v="HSX"/>
    <s v="8630"/>
    <n v="0.7114698305982412"/>
    <n v="0.92293966119648241"/>
    <n v="0.5"/>
    <n v="169602530900"/>
    <n v="24.5"/>
    <n v="10"/>
  </r>
  <r>
    <x v="95"/>
    <x v="124"/>
    <x v="124"/>
    <s v="HNX"/>
    <s v="8630"/>
    <n v="0.70817138942462032"/>
    <n v="0.91634277884924065"/>
    <n v="0.5"/>
    <n v="7159042600"/>
    <n v="8.5"/>
    <n v="11"/>
  </r>
  <r>
    <x v="95"/>
    <x v="184"/>
    <x v="184"/>
    <s v="HSX"/>
    <s v="8630"/>
    <n v="0.69736628015114277"/>
    <n v="0.89473256030228554"/>
    <n v="0.5"/>
    <n v="134557407400"/>
    <n v="30"/>
    <n v="12"/>
  </r>
  <r>
    <x v="95"/>
    <x v="139"/>
    <x v="139"/>
    <s v="HNX"/>
    <s v="0570"/>
    <n v="0.69408774504325499"/>
    <n v="0.63817549008650987"/>
    <n v="0.75"/>
    <n v="5220249400"/>
    <n v="31.4"/>
    <n v="13"/>
  </r>
  <r>
    <x v="95"/>
    <x v="116"/>
    <x v="116"/>
    <s v="HSX"/>
    <s v="8630"/>
    <n v="0.69151381719617133"/>
    <n v="0.9330276343923426"/>
    <n v="0.45"/>
    <n v="382347385200"/>
    <n v="16.95"/>
    <n v="14"/>
  </r>
  <r>
    <x v="95"/>
    <x v="136"/>
    <x v="136"/>
    <s v="HNX"/>
    <s v="8630"/>
    <n v="0.68752767433369466"/>
    <n v="0.97505534866738941"/>
    <n v="0.4"/>
    <n v="340361123000"/>
    <n v="22.6"/>
    <n v="15"/>
  </r>
  <r>
    <x v="95"/>
    <x v="45"/>
    <x v="45"/>
    <s v="HSX"/>
    <s v="2730"/>
    <n v="0.68641566665843867"/>
    <n v="0.97283133331687732"/>
    <n v="0.4"/>
    <n v="107013573600"/>
    <n v="125.4"/>
    <n v="16"/>
  </r>
  <r>
    <x v="95"/>
    <x v="51"/>
    <x v="51"/>
    <s v="HSX"/>
    <s v="2350"/>
    <n v="0.68239533558390009"/>
    <n v="0.81479067116780013"/>
    <n v="0.55000000000000004"/>
    <n v="6232441920"/>
    <n v="11"/>
    <n v="17"/>
  </r>
  <r>
    <x v="95"/>
    <x v="125"/>
    <x v="125"/>
    <s v="HNX"/>
    <s v="8630"/>
    <n v="0.68187198189467846"/>
    <n v="0.96374396378935689"/>
    <n v="0.4"/>
    <n v="7443025800"/>
    <n v="6.1"/>
    <n v="18"/>
  </r>
  <r>
    <x v="95"/>
    <x v="113"/>
    <x v="113"/>
    <s v="HSX"/>
    <s v="8350"/>
    <n v="0.67039288550122422"/>
    <n v="0.94078577100244853"/>
    <n v="0.4"/>
    <n v="12845603600"/>
    <n v="20.7"/>
    <n v="19"/>
  </r>
  <r>
    <x v="95"/>
    <x v="177"/>
    <x v="177"/>
    <s v="HNX"/>
    <s v="2350"/>
    <n v="0.6576703964394125"/>
    <n v="0.96534079287882502"/>
    <n v="0.35"/>
    <n v="3783969000"/>
    <n v="3.9"/>
    <n v="20"/>
  </r>
  <r>
    <x v="96"/>
    <x v="60"/>
    <x v="60"/>
    <s v="HSX"/>
    <s v="8780"/>
    <n v="0.81870289398164542"/>
    <n v="0.9874057879632907"/>
    <n v="0.65"/>
    <n v="713706267900"/>
    <n v="19.3"/>
    <n v="1"/>
  </r>
  <r>
    <x v="96"/>
    <x v="180"/>
    <x v="180"/>
    <s v="HSX"/>
    <s v="8780"/>
    <n v="0.79975997161763579"/>
    <n v="0.94951994323527156"/>
    <n v="0.65"/>
    <n v="807309251200"/>
    <n v="31.35"/>
    <n v="2"/>
  </r>
  <r>
    <x v="96"/>
    <x v="184"/>
    <x v="184"/>
    <s v="HSX"/>
    <s v="8630"/>
    <n v="0.72938262824193734"/>
    <n v="0.90876525648387463"/>
    <n v="0.55000000000000004"/>
    <n v="138830315900"/>
    <n v="30.25"/>
    <n v="3"/>
  </r>
  <r>
    <x v="96"/>
    <x v="179"/>
    <x v="179"/>
    <s v="HNX"/>
    <s v="8780"/>
    <n v="0.72902566970052907"/>
    <n v="0.90805133940105809"/>
    <n v="0.55000000000000004"/>
    <n v="304206335400"/>
    <n v="16.399999999999999"/>
    <n v="4"/>
  </r>
  <r>
    <x v="96"/>
    <x v="181"/>
    <x v="181"/>
    <s v="UPCOM"/>
    <s v="8630"/>
    <n v="0.72862380435668639"/>
    <n v="0.95724760871337289"/>
    <n v="0.5"/>
    <n v="2601602800"/>
    <n v="23"/>
    <n v="5"/>
  </r>
  <r>
    <x v="96"/>
    <x v="136"/>
    <x v="136"/>
    <s v="HNX"/>
    <s v="8630"/>
    <n v="0.7274232013687707"/>
    <n v="0.95484640273754129"/>
    <n v="0.5"/>
    <n v="352043678000"/>
    <n v="21.9"/>
    <n v="6"/>
  </r>
  <r>
    <x v="96"/>
    <x v="39"/>
    <x v="39"/>
    <s v="HSX"/>
    <s v="8630"/>
    <n v="0.72254108327467237"/>
    <n v="0.8950821665493448"/>
    <n v="0.55000000000000004"/>
    <n v="168630899100"/>
    <n v="24.05"/>
    <n v="7"/>
  </r>
  <r>
    <x v="96"/>
    <x v="131"/>
    <x v="131"/>
    <s v="HSX"/>
    <s v="2770"/>
    <n v="0.70961095621226911"/>
    <n v="0.96922191242453815"/>
    <n v="0.45"/>
    <n v="5291429040"/>
    <n v="2.84"/>
    <n v="8"/>
  </r>
  <r>
    <x v="96"/>
    <x v="40"/>
    <x v="40"/>
    <s v="HSX"/>
    <s v="4530"/>
    <n v="0.70926603979215497"/>
    <n v="0.91853207958430994"/>
    <n v="0.5"/>
    <n v="3676342400"/>
    <n v="6.25"/>
    <n v="9"/>
  </r>
  <r>
    <x v="96"/>
    <x v="153"/>
    <x v="153"/>
    <s v="HSX"/>
    <s v="8350"/>
    <n v="0.70460486388007904"/>
    <n v="0.959209727760158"/>
    <n v="0.45"/>
    <n v="166572854200"/>
    <n v="12.85"/>
    <n v="10"/>
  </r>
  <r>
    <x v="96"/>
    <x v="177"/>
    <x v="177"/>
    <s v="HNX"/>
    <s v="2350"/>
    <n v="0.70034430432375239"/>
    <n v="0.95068860864750471"/>
    <n v="0.45"/>
    <n v="4008118600"/>
    <n v="3.9"/>
    <n v="11"/>
  </r>
  <r>
    <x v="96"/>
    <x v="135"/>
    <x v="135"/>
    <s v="HSX"/>
    <s v="8630"/>
    <n v="0.68679594770699604"/>
    <n v="0.87359189541399196"/>
    <n v="0.5"/>
    <n v="5080434800"/>
    <n v="28.7"/>
    <n v="12"/>
  </r>
  <r>
    <x v="96"/>
    <x v="175"/>
    <x v="175"/>
    <s v="HSX"/>
    <s v="3720"/>
    <n v="0.67534600647338383"/>
    <n v="0.85069201294676766"/>
    <n v="0.5"/>
    <n v="3512590980"/>
    <n v="3.11"/>
    <n v="13"/>
  </r>
  <r>
    <x v="96"/>
    <x v="148"/>
    <x v="148"/>
    <s v="HSX"/>
    <s v="8630"/>
    <n v="0.67063471139849617"/>
    <n v="0.99126942279699237"/>
    <n v="0.35"/>
    <n v="5049062320"/>
    <n v="3.95"/>
    <n v="14"/>
  </r>
  <r>
    <x v="96"/>
    <x v="89"/>
    <x v="89"/>
    <s v="HSX"/>
    <s v="8630"/>
    <n v="0.66884670186872075"/>
    <n v="0.93769340373744148"/>
    <n v="0.4"/>
    <n v="481074661800"/>
    <n v="92"/>
    <n v="15"/>
  </r>
  <r>
    <x v="96"/>
    <x v="122"/>
    <x v="122"/>
    <s v="HNX"/>
    <s v="2350"/>
    <n v="0.66520559576030314"/>
    <n v="0.88041119152060632"/>
    <n v="0.45"/>
    <n v="8388503000"/>
    <n v="35.1"/>
    <n v="16"/>
  </r>
  <r>
    <x v="96"/>
    <x v="44"/>
    <x v="44"/>
    <s v="HSX"/>
    <s v="8780"/>
    <n v="0.66335757072438106"/>
    <n v="0.67671514144876199"/>
    <n v="0.65"/>
    <n v="366972031900"/>
    <n v="40.65"/>
    <n v="17"/>
  </r>
  <r>
    <x v="96"/>
    <x v="113"/>
    <x v="113"/>
    <s v="HSX"/>
    <s v="8350"/>
    <n v="0.66139945065843797"/>
    <n v="0.92279890131687581"/>
    <n v="0.4"/>
    <n v="13269315600"/>
    <n v="20"/>
    <n v="18"/>
  </r>
  <r>
    <x v="96"/>
    <x v="108"/>
    <x v="108"/>
    <s v="UPCOM"/>
    <s v="1350"/>
    <n v="0.65937660630720329"/>
    <n v="0.76875321261440643"/>
    <n v="0.55000000000000004"/>
    <n v="64126782200"/>
    <n v="29.6"/>
    <n v="19"/>
  </r>
  <r>
    <x v="96"/>
    <x v="21"/>
    <x v="21"/>
    <s v="HSX"/>
    <s v="8630"/>
    <n v="0.65249452363902716"/>
    <n v="0.9049890472780544"/>
    <n v="0.4"/>
    <n v="18965918400"/>
    <n v="13.6"/>
    <n v="20"/>
  </r>
  <r>
    <x v="97"/>
    <x v="179"/>
    <x v="179"/>
    <s v="HNX"/>
    <s v="8780"/>
    <n v="0.83741449418216884"/>
    <n v="0.97482898836433762"/>
    <n v="0.7"/>
    <n v="316828100000"/>
    <n v="17.399999999999999"/>
    <n v="1"/>
  </r>
  <r>
    <x v="97"/>
    <x v="180"/>
    <x v="180"/>
    <s v="HSX"/>
    <s v="8780"/>
    <n v="0.8267523024073915"/>
    <n v="0.95350460481478294"/>
    <n v="0.7"/>
    <n v="834848266000"/>
    <n v="32"/>
    <n v="2"/>
  </r>
  <r>
    <x v="97"/>
    <x v="177"/>
    <x v="177"/>
    <s v="HNX"/>
    <s v="2350"/>
    <n v="0.80480086065139367"/>
    <n v="0.9596017213027872"/>
    <n v="0.65"/>
    <n v="4096561000"/>
    <n v="4"/>
    <n v="3"/>
  </r>
  <r>
    <x v="97"/>
    <x v="153"/>
    <x v="153"/>
    <s v="HSX"/>
    <s v="8350"/>
    <n v="0.75766075518017817"/>
    <n v="0.96532151036035618"/>
    <n v="0.55000000000000004"/>
    <n v="169667416000"/>
    <n v="13.3"/>
    <n v="4"/>
  </r>
  <r>
    <x v="97"/>
    <x v="113"/>
    <x v="113"/>
    <s v="HSX"/>
    <s v="8350"/>
    <n v="0.74578956333541735"/>
    <n v="0.89157912667083472"/>
    <n v="0.6"/>
    <n v="13401607800"/>
    <n v="20.3"/>
    <n v="5"/>
  </r>
  <r>
    <x v="97"/>
    <x v="60"/>
    <x v="60"/>
    <s v="HSX"/>
    <s v="8780"/>
    <n v="0.7437540924724817"/>
    <n v="0.98750818494496351"/>
    <n v="0.5"/>
    <n v="723655346800"/>
    <n v="20.65"/>
    <n v="6"/>
  </r>
  <r>
    <x v="97"/>
    <x v="184"/>
    <x v="184"/>
    <s v="HSX"/>
    <s v="8630"/>
    <n v="0.73251108689170907"/>
    <n v="0.9150221737834181"/>
    <n v="0.55000000000000004"/>
    <n v="142306819400"/>
    <n v="30.9"/>
    <n v="7"/>
  </r>
  <r>
    <x v="97"/>
    <x v="171"/>
    <x v="171"/>
    <s v="HNX"/>
    <s v="8780"/>
    <n v="0.71829850605835233"/>
    <n v="0.98659701211670459"/>
    <n v="0.45"/>
    <n v="8846825800"/>
    <n v="9"/>
    <n v="8"/>
  </r>
  <r>
    <x v="97"/>
    <x v="40"/>
    <x v="40"/>
    <s v="HSX"/>
    <s v="4530"/>
    <n v="0.71033634211194996"/>
    <n v="0.92067268422389981"/>
    <n v="0.5"/>
    <n v="3747577120"/>
    <n v="6.26"/>
    <n v="9"/>
  </r>
  <r>
    <x v="97"/>
    <x v="136"/>
    <x v="136"/>
    <s v="HNX"/>
    <s v="8630"/>
    <n v="0.70605649375150015"/>
    <n v="0.96211298750300034"/>
    <n v="0.45"/>
    <n v="361094763400"/>
    <n v="22.4"/>
    <n v="10"/>
  </r>
  <r>
    <x v="97"/>
    <x v="39"/>
    <x v="39"/>
    <s v="HSX"/>
    <s v="8630"/>
    <n v="0.70399804195640847"/>
    <n v="0.90799608391281705"/>
    <n v="0.5"/>
    <n v="168284516700"/>
    <n v="24.6"/>
    <n v="11"/>
  </r>
  <r>
    <x v="97"/>
    <x v="168"/>
    <x v="168"/>
    <s v="HSX"/>
    <s v="3570"/>
    <n v="0.69550099131826337"/>
    <n v="0.94100198263652679"/>
    <n v="0.45"/>
    <n v="63189866600"/>
    <n v="23.85"/>
    <n v="12"/>
  </r>
  <r>
    <x v="97"/>
    <x v="135"/>
    <x v="135"/>
    <s v="HSX"/>
    <s v="8630"/>
    <n v="0.68679594770699604"/>
    <n v="0.87359189541399196"/>
    <n v="0.5"/>
    <n v="5080434800"/>
    <n v="28.7"/>
    <n v="13"/>
  </r>
  <r>
    <x v="97"/>
    <x v="131"/>
    <x v="131"/>
    <s v="HSX"/>
    <s v="2770"/>
    <n v="0.67829080256070839"/>
    <n v="0.95658160512141666"/>
    <n v="0.4"/>
    <n v="5449969680"/>
    <n v="2.76"/>
    <n v="14"/>
  </r>
  <r>
    <x v="97"/>
    <x v="108"/>
    <x v="108"/>
    <s v="UPCOM"/>
    <s v="1350"/>
    <n v="0.67700725078401414"/>
    <n v="0.75401450156802829"/>
    <n v="0.6"/>
    <n v="64339022200"/>
    <n v="29.8"/>
    <n v="15"/>
  </r>
  <r>
    <x v="97"/>
    <x v="21"/>
    <x v="21"/>
    <s v="HSX"/>
    <s v="8630"/>
    <n v="0.67632886160794847"/>
    <n v="0.90265772321589688"/>
    <n v="0.45"/>
    <n v="19787215800"/>
    <n v="13.65"/>
    <n v="16"/>
  </r>
  <r>
    <x v="97"/>
    <x v="44"/>
    <x v="44"/>
    <s v="HSX"/>
    <s v="8780"/>
    <n v="0.67203195199097543"/>
    <n v="0.69406390398195084"/>
    <n v="0.65"/>
    <n v="375204963800"/>
    <n v="41.75"/>
    <n v="17"/>
  </r>
  <r>
    <x v="97"/>
    <x v="104"/>
    <x v="104"/>
    <s v="HSX"/>
    <s v="1750"/>
    <n v="0.66799498844135452"/>
    <n v="0.83598997688270915"/>
    <n v="0.5"/>
    <n v="5767615000"/>
    <n v="12.85"/>
    <n v="18"/>
  </r>
  <r>
    <x v="97"/>
    <x v="150"/>
    <x v="150"/>
    <s v="HSX"/>
    <s v="5370"/>
    <n v="0.66793779212430138"/>
    <n v="0.93587558424860273"/>
    <n v="0.4"/>
    <n v="30863062400"/>
    <n v="27.85"/>
    <n v="19"/>
  </r>
  <r>
    <x v="97"/>
    <x v="148"/>
    <x v="148"/>
    <s v="HSX"/>
    <s v="8630"/>
    <n v="0.66328047768909937"/>
    <n v="0.97656095537819876"/>
    <n v="0.35"/>
    <n v="5293063760"/>
    <n v="3.68"/>
    <n v="20"/>
  </r>
  <r>
    <x v="98"/>
    <x v="148"/>
    <x v="148"/>
    <s v="HSX"/>
    <s v="8630"/>
    <n v="0.85710118278960756"/>
    <n v="0.96420236557921513"/>
    <n v="0.75"/>
    <n v="5598613820"/>
    <n v="3.53"/>
    <n v="1"/>
  </r>
  <r>
    <x v="98"/>
    <x v="179"/>
    <x v="179"/>
    <s v="HNX"/>
    <s v="8780"/>
    <n v="0.81494067496177391"/>
    <n v="0.97988134992354781"/>
    <n v="0.65"/>
    <n v="324496866000"/>
    <n v="17.8"/>
    <n v="2"/>
  </r>
  <r>
    <x v="98"/>
    <x v="184"/>
    <x v="184"/>
    <s v="HSX"/>
    <s v="8630"/>
    <n v="0.78361384161899572"/>
    <n v="0.96722768323799158"/>
    <n v="0.6"/>
    <n v="148046960200"/>
    <n v="32.200000000000003"/>
    <n v="3"/>
  </r>
  <r>
    <x v="98"/>
    <x v="128"/>
    <x v="128"/>
    <s v="HSX"/>
    <s v="1750"/>
    <n v="0.77779485650742497"/>
    <n v="0.85558971301484998"/>
    <n v="0.7"/>
    <n v="151675738700"/>
    <n v="18.899999999999999"/>
    <n v="4"/>
  </r>
  <r>
    <x v="98"/>
    <x v="180"/>
    <x v="180"/>
    <s v="HSX"/>
    <s v="8780"/>
    <n v="0.7748650939457371"/>
    <n v="0.94973018789147434"/>
    <n v="0.6"/>
    <n v="845626052000"/>
    <n v="32.25"/>
    <n v="5"/>
  </r>
  <r>
    <x v="98"/>
    <x v="40"/>
    <x v="40"/>
    <s v="HSX"/>
    <s v="4530"/>
    <n v="0.76009213122061614"/>
    <n v="0.9201842624412323"/>
    <n v="0.6"/>
    <n v="3777333920"/>
    <n v="6.26"/>
    <n v="6"/>
  </r>
  <r>
    <x v="98"/>
    <x v="153"/>
    <x v="153"/>
    <s v="HSX"/>
    <s v="8350"/>
    <n v="0.75182896682491318"/>
    <n v="0.95365793364982632"/>
    <n v="0.55000000000000004"/>
    <n v="174595037040"/>
    <n v="13.15"/>
    <n v="7"/>
  </r>
  <r>
    <x v="98"/>
    <x v="39"/>
    <x v="39"/>
    <s v="HSX"/>
    <s v="8630"/>
    <n v="0.74173039465888535"/>
    <n v="0.93346078931777077"/>
    <n v="0.55000000000000004"/>
    <n v="170678963900"/>
    <n v="24.95"/>
    <n v="8"/>
  </r>
  <r>
    <x v="98"/>
    <x v="177"/>
    <x v="177"/>
    <s v="HNX"/>
    <s v="2350"/>
    <n v="0.73902020006388613"/>
    <n v="0.97804040012777238"/>
    <n v="0.5"/>
    <n v="4224994200"/>
    <n v="4.2"/>
    <n v="9"/>
  </r>
  <r>
    <x v="98"/>
    <x v="136"/>
    <x v="136"/>
    <s v="HNX"/>
    <s v="8630"/>
    <n v="0.72403660111541901"/>
    <n v="0.94807320223083802"/>
    <n v="0.5"/>
    <n v="370959255400"/>
    <n v="22"/>
    <n v="10"/>
  </r>
  <r>
    <x v="98"/>
    <x v="139"/>
    <x v="139"/>
    <s v="HNX"/>
    <s v="0570"/>
    <n v="0.70586840489621716"/>
    <n v="0.66173680979243443"/>
    <n v="0.75"/>
    <n v="5440627200"/>
    <n v="31.5"/>
    <n v="11"/>
  </r>
  <r>
    <x v="98"/>
    <x v="16"/>
    <x v="16"/>
    <s v="HSX"/>
    <s v="8780"/>
    <n v="0.69961889356422147"/>
    <n v="0.94923778712844298"/>
    <n v="0.45"/>
    <n v="73824558300"/>
    <n v="36.799999999999997"/>
    <n v="12"/>
  </r>
  <r>
    <x v="98"/>
    <x v="44"/>
    <x v="44"/>
    <s v="HSX"/>
    <s v="8780"/>
    <n v="0.68861563052152885"/>
    <n v="0.67723126104305775"/>
    <n v="0.7"/>
    <n v="377287402600"/>
    <n v="41.6"/>
    <n v="13"/>
  </r>
  <r>
    <x v="98"/>
    <x v="135"/>
    <x v="135"/>
    <s v="HSX"/>
    <s v="8630"/>
    <n v="0.68679594770699604"/>
    <n v="0.87359189541399196"/>
    <n v="0.5"/>
    <n v="5080434800"/>
    <n v="28.7"/>
    <n v="14"/>
  </r>
  <r>
    <x v="98"/>
    <x v="108"/>
    <x v="108"/>
    <s v="UPCOM"/>
    <s v="1350"/>
    <n v="0.68199934862686307"/>
    <n v="0.81399869725372609"/>
    <n v="0.55000000000000004"/>
    <n v="64426929800"/>
    <n v="30.3"/>
    <n v="15"/>
  </r>
  <r>
    <x v="98"/>
    <x v="113"/>
    <x v="113"/>
    <s v="HSX"/>
    <s v="8350"/>
    <n v="0.68017639813510711"/>
    <n v="0.91035279627021426"/>
    <n v="0.45"/>
    <n v="13605855200"/>
    <n v="20.9"/>
    <n v="16"/>
  </r>
  <r>
    <x v="98"/>
    <x v="150"/>
    <x v="150"/>
    <s v="HSX"/>
    <s v="5370"/>
    <n v="0.6773238651677207"/>
    <n v="0.95464773033544126"/>
    <n v="0.4"/>
    <n v="31564757800"/>
    <n v="28.95"/>
    <n v="17"/>
  </r>
  <r>
    <x v="98"/>
    <x v="168"/>
    <x v="168"/>
    <s v="HSX"/>
    <s v="3570"/>
    <n v="0.6746102137330422"/>
    <n v="0.89922042746608444"/>
    <n v="0.45"/>
    <n v="64742472600"/>
    <n v="23.8"/>
    <n v="18"/>
  </r>
  <r>
    <x v="98"/>
    <x v="165"/>
    <x v="165"/>
    <s v="HSX"/>
    <s v="8630"/>
    <n v="0.67360146414103506"/>
    <n v="0.6972029282820702"/>
    <n v="0.65"/>
    <n v="7686126400"/>
    <n v="35.9"/>
    <n v="19"/>
  </r>
  <r>
    <x v="98"/>
    <x v="171"/>
    <x v="171"/>
    <s v="HNX"/>
    <s v="8780"/>
    <n v="0.66220439848880952"/>
    <n v="0.97440879697761906"/>
    <n v="0.35"/>
    <n v="9055817800"/>
    <n v="8.6999999999999993"/>
    <n v="20"/>
  </r>
  <r>
    <x v="99"/>
    <x v="148"/>
    <x v="148"/>
    <s v="HSX"/>
    <s v="8630"/>
    <n v="0.83563303239347619"/>
    <n v="0.92126606478695228"/>
    <n v="0.75"/>
    <n v="5657956760"/>
    <n v="3.53"/>
    <n v="1"/>
  </r>
  <r>
    <x v="99"/>
    <x v="180"/>
    <x v="180"/>
    <s v="HSX"/>
    <s v="8780"/>
    <n v="0.81657068489061746"/>
    <n v="0.93314136978123496"/>
    <n v="0.7"/>
    <n v="861868882400"/>
    <n v="32"/>
    <n v="2"/>
  </r>
  <r>
    <x v="99"/>
    <x v="40"/>
    <x v="40"/>
    <s v="HSX"/>
    <s v="4530"/>
    <n v="0.79505697568637268"/>
    <n v="0.8901139513727454"/>
    <n v="0.7"/>
    <n v="3786872160"/>
    <n v="6.28"/>
    <n v="3"/>
  </r>
  <r>
    <x v="99"/>
    <x v="179"/>
    <x v="179"/>
    <s v="HNX"/>
    <s v="8780"/>
    <n v="0.76244809026121907"/>
    <n v="0.97489618052243809"/>
    <n v="0.55000000000000004"/>
    <n v="330849700000"/>
    <n v="17.8"/>
    <n v="4"/>
  </r>
  <r>
    <x v="99"/>
    <x v="171"/>
    <x v="171"/>
    <s v="HNX"/>
    <s v="8780"/>
    <n v="0.73947187666132375"/>
    <n v="0.9789437533226476"/>
    <n v="0.5"/>
    <n v="9355429400"/>
    <n v="9"/>
    <n v="5"/>
  </r>
  <r>
    <x v="99"/>
    <x v="184"/>
    <x v="184"/>
    <s v="HSX"/>
    <s v="8630"/>
    <n v="0.73395750294415218"/>
    <n v="0.96791500588830437"/>
    <n v="0.5"/>
    <n v="150640545200"/>
    <n v="32.950000000000003"/>
    <n v="6"/>
  </r>
  <r>
    <x v="99"/>
    <x v="39"/>
    <x v="39"/>
    <s v="HSX"/>
    <s v="8630"/>
    <n v="0.71599941247117571"/>
    <n v="0.93199882494235131"/>
    <n v="0.5"/>
    <n v="170262345300"/>
    <n v="25.25"/>
    <n v="7"/>
  </r>
  <r>
    <x v="99"/>
    <x v="131"/>
    <x v="131"/>
    <s v="HSX"/>
    <s v="2770"/>
    <n v="0.71278717644045397"/>
    <n v="0.97557435288090788"/>
    <n v="0.45"/>
    <n v="5851101940"/>
    <n v="3.14"/>
    <n v="8"/>
  </r>
  <r>
    <x v="99"/>
    <x v="136"/>
    <x v="136"/>
    <s v="HNX"/>
    <s v="8630"/>
    <n v="0.69452448712303427"/>
    <n v="0.93904897424606859"/>
    <n v="0.45"/>
    <n v="376112255800"/>
    <n v="22.2"/>
    <n v="9"/>
  </r>
  <r>
    <x v="99"/>
    <x v="186"/>
    <x v="186"/>
    <s v="UPCOM"/>
    <s v="8630"/>
    <n v="0.69240220320362222"/>
    <n v="0.98480440640724443"/>
    <n v="0.4"/>
    <n v="3016438200"/>
    <n v="17"/>
    <n v="10"/>
  </r>
  <r>
    <x v="99"/>
    <x v="135"/>
    <x v="135"/>
    <s v="HSX"/>
    <s v="8630"/>
    <n v="0.68679594770699604"/>
    <n v="0.87359189541399196"/>
    <n v="0.5"/>
    <n v="5080434800"/>
    <n v="28.7"/>
    <n v="11"/>
  </r>
  <r>
    <x v="99"/>
    <x v="16"/>
    <x v="16"/>
    <s v="HSX"/>
    <s v="8780"/>
    <n v="0.67401179789210108"/>
    <n v="0.94802359578420214"/>
    <n v="0.4"/>
    <n v="75877566600"/>
    <n v="38.15"/>
    <n v="12"/>
  </r>
  <r>
    <x v="99"/>
    <x v="64"/>
    <x v="64"/>
    <s v="HSX"/>
    <s v="8630"/>
    <n v="0.67345211260602933"/>
    <n v="0.94690422521205875"/>
    <n v="0.4"/>
    <n v="41860677700"/>
    <n v="11.3"/>
    <n v="13"/>
  </r>
  <r>
    <x v="99"/>
    <x v="139"/>
    <x v="139"/>
    <s v="HNX"/>
    <s v="0570"/>
    <n v="0.66915732722404764"/>
    <n v="0.58831465444809539"/>
    <n v="0.75"/>
    <n v="5540009400"/>
    <n v="31.5"/>
    <n v="14"/>
  </r>
  <r>
    <x v="99"/>
    <x v="113"/>
    <x v="113"/>
    <s v="HSX"/>
    <s v="8350"/>
    <n v="0.66737756166274653"/>
    <n v="0.88475512332549311"/>
    <n v="0.45"/>
    <n v="13692383600"/>
    <n v="20.8"/>
    <n v="15"/>
  </r>
  <r>
    <x v="99"/>
    <x v="3"/>
    <x v="3"/>
    <s v="UPCOM"/>
    <s v="1750"/>
    <n v="0.65912945296782199"/>
    <n v="0.66825890593564397"/>
    <n v="0.65"/>
    <n v="4288997000"/>
    <n v="8.1999999999999993"/>
    <n v="16"/>
  </r>
  <r>
    <x v="99"/>
    <x v="108"/>
    <x v="108"/>
    <s v="UPCOM"/>
    <s v="1350"/>
    <n v="0.65811259273269718"/>
    <n v="0.81622518546539446"/>
    <n v="0.5"/>
    <n v="63119187400"/>
    <n v="30.8"/>
    <n v="17"/>
  </r>
  <r>
    <x v="99"/>
    <x v="181"/>
    <x v="181"/>
    <s v="UPCOM"/>
    <s v="8630"/>
    <n v="0.64519811870704924"/>
    <n v="0.94039623741409839"/>
    <n v="0.35"/>
    <n v="3029919600"/>
    <n v="22.9"/>
    <n v="18"/>
  </r>
  <r>
    <x v="99"/>
    <x v="61"/>
    <x v="61"/>
    <s v="HSX"/>
    <s v="8630"/>
    <n v="0.6440800812141676"/>
    <n v="0.93816016242833522"/>
    <n v="0.35"/>
    <n v="416454169600"/>
    <n v="116"/>
    <n v="19"/>
  </r>
  <r>
    <x v="99"/>
    <x v="153"/>
    <x v="153"/>
    <s v="HSX"/>
    <s v="8350"/>
    <n v="0.64247487151152827"/>
    <n v="0.9849497430230566"/>
    <n v="0.3"/>
    <n v="182718583540"/>
    <n v="13.95"/>
    <n v="20"/>
  </r>
  <r>
    <x v="100"/>
    <x v="49"/>
    <x v="49"/>
    <s v="HSX"/>
    <s v="8780"/>
    <n v="0.90213781637630031"/>
    <n v="0.95427563275260052"/>
    <n v="0.85"/>
    <n v="498698411200"/>
    <n v="21.15"/>
    <n v="1"/>
  </r>
  <r>
    <x v="100"/>
    <x v="148"/>
    <x v="148"/>
    <s v="HSX"/>
    <s v="8630"/>
    <n v="0.88636566173248055"/>
    <n v="0.92273132346496112"/>
    <n v="0.85"/>
    <n v="5750889400"/>
    <n v="3.56"/>
    <n v="2"/>
  </r>
  <r>
    <x v="100"/>
    <x v="180"/>
    <x v="180"/>
    <s v="HSX"/>
    <s v="8780"/>
    <n v="0.86370958008227805"/>
    <n v="0.97741916016455599"/>
    <n v="0.75"/>
    <n v="889790117800"/>
    <n v="34"/>
    <n v="3"/>
  </r>
  <r>
    <x v="100"/>
    <x v="171"/>
    <x v="171"/>
    <s v="HNX"/>
    <s v="8780"/>
    <n v="0.8460246110546511"/>
    <n v="0.99204922210930224"/>
    <n v="0.7"/>
    <n v="10378658000"/>
    <n v="9.9"/>
    <n v="4"/>
  </r>
  <r>
    <x v="100"/>
    <x v="104"/>
    <x v="104"/>
    <s v="HSX"/>
    <s v="1750"/>
    <n v="0.81063407472013749"/>
    <n v="0.92126814944027491"/>
    <n v="0.7"/>
    <n v="5686332200"/>
    <n v="13.3"/>
    <n v="5"/>
  </r>
  <r>
    <x v="100"/>
    <x v="179"/>
    <x v="179"/>
    <s v="HNX"/>
    <s v="8780"/>
    <n v="0.79299947990136188"/>
    <n v="0.98599895980272378"/>
    <n v="0.6"/>
    <n v="344004226800"/>
    <n v="18.600000000000001"/>
    <n v="6"/>
  </r>
  <r>
    <x v="100"/>
    <x v="187"/>
    <x v="187"/>
    <s v="HSX"/>
    <s v="8630"/>
    <n v="0.78848948572931077"/>
    <n v="0.9269789714586214"/>
    <n v="0.65"/>
    <n v="361962534700"/>
    <n v="21.8"/>
    <n v="7"/>
  </r>
  <r>
    <x v="100"/>
    <x v="61"/>
    <x v="61"/>
    <s v="HSX"/>
    <s v="8630"/>
    <n v="0.76898970108487052"/>
    <n v="0.88797940216974103"/>
    <n v="0.65"/>
    <n v="416722469400"/>
    <n v="114.1"/>
    <n v="8"/>
  </r>
  <r>
    <x v="100"/>
    <x v="113"/>
    <x v="113"/>
    <s v="HSX"/>
    <s v="8350"/>
    <n v="0.75987634839460849"/>
    <n v="0.91975269678921689"/>
    <n v="0.6"/>
    <n v="13908524600"/>
    <n v="21.3"/>
    <n v="9"/>
  </r>
  <r>
    <x v="100"/>
    <x v="89"/>
    <x v="89"/>
    <s v="HSX"/>
    <s v="8630"/>
    <n v="0.74765352087675119"/>
    <n v="0.8953070417535024"/>
    <n v="0.6"/>
    <n v="471124885600"/>
    <n v="93.7"/>
    <n v="10"/>
  </r>
  <r>
    <x v="100"/>
    <x v="39"/>
    <x v="39"/>
    <s v="HSX"/>
    <s v="8630"/>
    <n v="0.74576897983247414"/>
    <n v="0.94153795966494824"/>
    <n v="0.55000000000000004"/>
    <n v="169329941900"/>
    <n v="25.6"/>
    <n v="11"/>
  </r>
  <r>
    <x v="100"/>
    <x v="16"/>
    <x v="16"/>
    <s v="HSX"/>
    <s v="8780"/>
    <n v="0.74119082865722086"/>
    <n v="0.98238165731444183"/>
    <n v="0.5"/>
    <n v="80224403200"/>
    <n v="40.700000000000003"/>
    <n v="12"/>
  </r>
  <r>
    <x v="100"/>
    <x v="40"/>
    <x v="40"/>
    <s v="HSX"/>
    <s v="4530"/>
    <n v="0.73697177646232592"/>
    <n v="0.9239435529246518"/>
    <n v="0.55000000000000004"/>
    <n v="3834457240"/>
    <n v="6.37"/>
    <n v="13"/>
  </r>
  <r>
    <x v="100"/>
    <x v="188"/>
    <x v="188"/>
    <s v="HSX"/>
    <s v="8350"/>
    <n v="0.7345356864282101"/>
    <n v="0.66907137285642015"/>
    <n v="0.8"/>
    <n v="524690529200"/>
    <n v="28.45"/>
    <n v="14"/>
  </r>
  <r>
    <x v="100"/>
    <x v="64"/>
    <x v="64"/>
    <s v="HSX"/>
    <s v="8630"/>
    <n v="0.73337126455194701"/>
    <n v="0.96674252910389402"/>
    <n v="0.5"/>
    <n v="42844883900"/>
    <n v="11.6"/>
    <n v="15"/>
  </r>
  <r>
    <x v="100"/>
    <x v="184"/>
    <x v="184"/>
    <s v="HSX"/>
    <s v="8630"/>
    <n v="0.73271061558348827"/>
    <n v="0.96542123116697653"/>
    <n v="0.5"/>
    <n v="154279751200"/>
    <n v="33"/>
    <n v="16"/>
  </r>
  <r>
    <x v="100"/>
    <x v="136"/>
    <x v="136"/>
    <s v="HNX"/>
    <s v="8630"/>
    <n v="0.73158413151580182"/>
    <n v="0.96316826303160374"/>
    <n v="0.5"/>
    <n v="386632933400"/>
    <n v="22.9"/>
    <n v="17"/>
  </r>
  <r>
    <x v="100"/>
    <x v="168"/>
    <x v="168"/>
    <s v="HSX"/>
    <s v="3570"/>
    <n v="0.71806929304544842"/>
    <n v="0.93613858609089673"/>
    <n v="0.5"/>
    <n v="70724285800"/>
    <n v="24.55"/>
    <n v="18"/>
  </r>
  <r>
    <x v="100"/>
    <x v="177"/>
    <x v="177"/>
    <s v="HNX"/>
    <s v="2350"/>
    <n v="0.71561522817872347"/>
    <n v="0.98123045635744699"/>
    <n v="0.45"/>
    <n v="4424055400"/>
    <n v="4.4000000000000004"/>
    <n v="19"/>
  </r>
  <r>
    <x v="100"/>
    <x v="98"/>
    <x v="98"/>
    <s v="HSX"/>
    <s v="2770"/>
    <n v="0.71062117219831367"/>
    <n v="0.67124234439662733"/>
    <n v="0.75"/>
    <n v="221421420800"/>
    <n v="74.3"/>
    <n v="20"/>
  </r>
  <r>
    <x v="101"/>
    <x v="148"/>
    <x v="148"/>
    <s v="HSX"/>
    <s v="8630"/>
    <n v="0.93812308783430531"/>
    <n v="0.92624617566861067"/>
    <n v="0.95"/>
    <n v="6024537900"/>
    <n v="3.5"/>
    <n v="1"/>
  </r>
  <r>
    <x v="101"/>
    <x v="49"/>
    <x v="49"/>
    <s v="HSX"/>
    <s v="8780"/>
    <n v="0.91113662855995647"/>
    <n v="0.97227325711991308"/>
    <n v="0.85"/>
    <n v="512284549600"/>
    <n v="22.6"/>
    <n v="2"/>
  </r>
  <r>
    <x v="101"/>
    <x v="104"/>
    <x v="104"/>
    <s v="HSX"/>
    <s v="1750"/>
    <n v="0.89795268003004536"/>
    <n v="0.94590536006009074"/>
    <n v="0.85"/>
    <n v="5808209800"/>
    <n v="13.4"/>
    <n v="3"/>
  </r>
  <r>
    <x v="101"/>
    <x v="180"/>
    <x v="180"/>
    <s v="HSX"/>
    <s v="8780"/>
    <n v="0.84214372997089204"/>
    <n v="0.98428745994178402"/>
    <n v="0.7"/>
    <n v="916072174900"/>
    <n v="35.799999999999997"/>
    <n v="4"/>
  </r>
  <r>
    <x v="101"/>
    <x v="187"/>
    <x v="187"/>
    <s v="HSX"/>
    <s v="8630"/>
    <n v="0.83431109548086568"/>
    <n v="0.9686221909617313"/>
    <n v="0.7"/>
    <n v="371597347100"/>
    <n v="23.3"/>
    <n v="5"/>
  </r>
  <r>
    <x v="101"/>
    <x v="61"/>
    <x v="61"/>
    <s v="HSX"/>
    <s v="8630"/>
    <n v="0.79660111748731444"/>
    <n v="0.89320223497462881"/>
    <n v="0.7"/>
    <n v="408602951800"/>
    <n v="115.6"/>
    <n v="6"/>
  </r>
  <r>
    <x v="101"/>
    <x v="185"/>
    <x v="185"/>
    <s v="HSX"/>
    <s v="8630"/>
    <n v="0.77522097146493629"/>
    <n v="0.95044194292987272"/>
    <n v="0.6"/>
    <n v="273684295900"/>
    <n v="22.2"/>
    <n v="7"/>
  </r>
  <r>
    <x v="101"/>
    <x v="64"/>
    <x v="64"/>
    <s v="HSX"/>
    <s v="8630"/>
    <n v="0.76076103064064982"/>
    <n v="0.97152206128129948"/>
    <n v="0.55000000000000004"/>
    <n v="44339618900"/>
    <n v="11.85"/>
    <n v="8"/>
  </r>
  <r>
    <x v="101"/>
    <x v="189"/>
    <x v="189"/>
    <s v="HSX"/>
    <s v="7530"/>
    <n v="0.75685859012061818"/>
    <n v="0.81371718024123629"/>
    <n v="0.7"/>
    <n v="152010426300"/>
    <n v="14.8"/>
    <n v="9"/>
  </r>
  <r>
    <x v="101"/>
    <x v="65"/>
    <x v="65"/>
    <s v="HSX"/>
    <s v="8350"/>
    <n v="0.74981498610595998"/>
    <n v="0.89962997221191987"/>
    <n v="0.6"/>
    <n v="955640625600"/>
    <n v="16.100000000000001"/>
    <n v="10"/>
  </r>
  <r>
    <x v="101"/>
    <x v="171"/>
    <x v="171"/>
    <s v="HNX"/>
    <s v="8780"/>
    <n v="0.74427570492428174"/>
    <n v="0.98855140984856349"/>
    <n v="0.5"/>
    <n v="10805345200"/>
    <n v="10.8"/>
    <n v="11"/>
  </r>
  <r>
    <x v="101"/>
    <x v="190"/>
    <x v="190"/>
    <s v="HNX"/>
    <s v="8780"/>
    <n v="0.73846693512816552"/>
    <n v="0.97693387025633105"/>
    <n v="0.5"/>
    <n v="2560051600"/>
    <n v="7.9"/>
    <n v="12"/>
  </r>
  <r>
    <x v="101"/>
    <x v="124"/>
    <x v="124"/>
    <s v="HNX"/>
    <s v="8630"/>
    <n v="0.73769411217781633"/>
    <n v="0.87538822435563268"/>
    <n v="0.6"/>
    <n v="7285628800"/>
    <n v="8.5"/>
    <n v="13"/>
  </r>
  <r>
    <x v="101"/>
    <x v="188"/>
    <x v="188"/>
    <s v="HSX"/>
    <s v="8350"/>
    <n v="0.73055488268640878"/>
    <n v="0.71110976537281756"/>
    <n v="0.75"/>
    <n v="526564726200"/>
    <n v="28.75"/>
    <n v="14"/>
  </r>
  <r>
    <x v="101"/>
    <x v="128"/>
    <x v="128"/>
    <s v="HSX"/>
    <s v="1750"/>
    <n v="0.72918239442027"/>
    <n v="0.80836478884053997"/>
    <n v="0.65"/>
    <n v="155163915700"/>
    <n v="19.350000000000001"/>
    <n v="15"/>
  </r>
  <r>
    <x v="101"/>
    <x v="175"/>
    <x v="175"/>
    <s v="HSX"/>
    <s v="3720"/>
    <n v="0.72770511477280742"/>
    <n v="0.75541022954561488"/>
    <n v="0.7"/>
    <n v="4003458520"/>
    <n v="3.14"/>
    <n v="16"/>
  </r>
  <r>
    <x v="101"/>
    <x v="122"/>
    <x v="122"/>
    <s v="HNX"/>
    <s v="2350"/>
    <n v="0.72337608400448938"/>
    <n v="0.89675216800897883"/>
    <n v="0.55000000000000004"/>
    <n v="9534683000"/>
    <n v="37.5"/>
    <n v="17"/>
  </r>
  <r>
    <x v="101"/>
    <x v="98"/>
    <x v="98"/>
    <s v="HSX"/>
    <s v="2770"/>
    <n v="0.71619583615179461"/>
    <n v="0.63239167230358928"/>
    <n v="0.8"/>
    <n v="230042766800"/>
    <n v="76"/>
    <n v="18"/>
  </r>
  <r>
    <x v="101"/>
    <x v="177"/>
    <x v="177"/>
    <s v="HNX"/>
    <s v="2350"/>
    <n v="0.71162618018095603"/>
    <n v="0.97325236036191198"/>
    <n v="0.45"/>
    <n v="4536973200"/>
    <n v="4.4000000000000004"/>
    <n v="19"/>
  </r>
  <r>
    <x v="101"/>
    <x v="39"/>
    <x v="39"/>
    <s v="HSX"/>
    <s v="8630"/>
    <n v="0.70351904702358536"/>
    <n v="0.95703809404717066"/>
    <n v="0.45"/>
    <n v="171870711500"/>
    <n v="26.4"/>
    <n v="20"/>
  </r>
  <r>
    <x v="102"/>
    <x v="180"/>
    <x v="180"/>
    <s v="HSX"/>
    <s v="8780"/>
    <n v="0.86211239755278579"/>
    <n v="0.97422479510557147"/>
    <n v="0.75"/>
    <n v="978793843500"/>
    <n v="33.299999999999997"/>
    <n v="1"/>
  </r>
  <r>
    <x v="102"/>
    <x v="49"/>
    <x v="49"/>
    <s v="HSX"/>
    <s v="8780"/>
    <n v="0.82587661116763278"/>
    <n v="0.95175322233526549"/>
    <n v="0.7"/>
    <n v="549834746900"/>
    <n v="21.05"/>
    <n v="2"/>
  </r>
  <r>
    <x v="102"/>
    <x v="87"/>
    <x v="87"/>
    <s v="HSX"/>
    <s v="2350"/>
    <n v="0.77618822446011282"/>
    <n v="0.85237644892022579"/>
    <n v="0.7"/>
    <n v="11338911780"/>
    <n v="11.3"/>
    <n v="3"/>
  </r>
  <r>
    <x v="102"/>
    <x v="153"/>
    <x v="153"/>
    <s v="HSX"/>
    <s v="8350"/>
    <n v="0.76080115889081168"/>
    <n v="0.97160231778162331"/>
    <n v="0.55000000000000004"/>
    <n v="205155195600"/>
    <n v="13.75"/>
    <n v="4"/>
  </r>
  <r>
    <x v="102"/>
    <x v="108"/>
    <x v="108"/>
    <s v="UPCOM"/>
    <s v="1350"/>
    <n v="0.74937455985190105"/>
    <n v="0.79874911970380225"/>
    <n v="0.7"/>
    <n v="64998348600"/>
    <n v="30.4"/>
    <n v="5"/>
  </r>
  <r>
    <x v="102"/>
    <x v="187"/>
    <x v="187"/>
    <s v="HSX"/>
    <s v="8630"/>
    <n v="0.74783047433671701"/>
    <n v="0.94566094867343398"/>
    <n v="0.55000000000000004"/>
    <n v="396938208000"/>
    <n v="21.7"/>
    <n v="6"/>
  </r>
  <r>
    <x v="102"/>
    <x v="171"/>
    <x v="171"/>
    <s v="HNX"/>
    <s v="8780"/>
    <n v="0.74621049416145113"/>
    <n v="0.99242098832290238"/>
    <n v="0.5"/>
    <n v="12462930800"/>
    <n v="11"/>
    <n v="7"/>
  </r>
  <r>
    <x v="102"/>
    <x v="61"/>
    <x v="61"/>
    <s v="HSX"/>
    <s v="8630"/>
    <n v="0.74411580442960901"/>
    <n v="0.88823160885921804"/>
    <n v="0.6"/>
    <n v="411811184000"/>
    <n v="113.2"/>
    <n v="8"/>
  </r>
  <r>
    <x v="102"/>
    <x v="191"/>
    <x v="191"/>
    <s v="HSX"/>
    <s v="2770"/>
    <n v="0.74026973951090391"/>
    <n v="0.98053947902180794"/>
    <n v="0.5"/>
    <n v="2060981680"/>
    <n v="10.7"/>
    <n v="9"/>
  </r>
  <r>
    <x v="102"/>
    <x v="177"/>
    <x v="177"/>
    <s v="HNX"/>
    <s v="2350"/>
    <n v="0.73307413302841584"/>
    <n v="0.96614826605683179"/>
    <n v="0.5"/>
    <n v="4753044000"/>
    <n v="4.2"/>
    <n v="10"/>
  </r>
  <r>
    <x v="102"/>
    <x v="136"/>
    <x v="136"/>
    <s v="HNX"/>
    <s v="8630"/>
    <n v="0.73013923860436536"/>
    <n v="0.96027847720873072"/>
    <n v="0.5"/>
    <n v="427600215600"/>
    <n v="22.6"/>
    <n v="11"/>
  </r>
  <r>
    <x v="102"/>
    <x v="104"/>
    <x v="104"/>
    <s v="HSX"/>
    <s v="1750"/>
    <n v="0.72921336264023839"/>
    <n v="0.85842672528047692"/>
    <n v="0.6"/>
    <n v="5870515200"/>
    <n v="12.5"/>
    <n v="12"/>
  </r>
  <r>
    <x v="102"/>
    <x v="179"/>
    <x v="179"/>
    <s v="HNX"/>
    <s v="8780"/>
    <n v="0.71978606079378471"/>
    <n v="0.98957212158756935"/>
    <n v="0.45"/>
    <n v="392387262800"/>
    <n v="19.8"/>
    <n v="13"/>
  </r>
  <r>
    <x v="102"/>
    <x v="76"/>
    <x v="76"/>
    <s v="HSX"/>
    <s v="2350"/>
    <n v="0.71235126465384191"/>
    <n v="0.97470252930768386"/>
    <n v="0.45"/>
    <n v="55800789100"/>
    <n v="57"/>
    <n v="14"/>
  </r>
  <r>
    <x v="102"/>
    <x v="184"/>
    <x v="184"/>
    <s v="HSX"/>
    <s v="8630"/>
    <n v="0.70310870239249823"/>
    <n v="0.95621740478499651"/>
    <n v="0.45"/>
    <n v="167522315200"/>
    <n v="32.35"/>
    <n v="15"/>
  </r>
  <r>
    <x v="102"/>
    <x v="148"/>
    <x v="148"/>
    <s v="HSX"/>
    <s v="8630"/>
    <n v="0.69690238245843195"/>
    <n v="0.84380476491686374"/>
    <n v="0.55000000000000004"/>
    <n v="6221214660"/>
    <n v="3.26"/>
    <n v="16"/>
  </r>
  <r>
    <x v="102"/>
    <x v="60"/>
    <x v="60"/>
    <s v="HSX"/>
    <s v="8780"/>
    <n v="0.69352881688544543"/>
    <n v="0.98705763377089084"/>
    <n v="0.4"/>
    <n v="794454850100"/>
    <n v="23.95"/>
    <n v="17"/>
  </r>
  <r>
    <x v="102"/>
    <x v="135"/>
    <x v="135"/>
    <s v="HSX"/>
    <s v="8630"/>
    <n v="0.68679594770699604"/>
    <n v="0.87359189541399196"/>
    <n v="0.5"/>
    <n v="5080434800"/>
    <n v="28.7"/>
    <n v="18"/>
  </r>
  <r>
    <x v="102"/>
    <x v="125"/>
    <x v="125"/>
    <s v="HNX"/>
    <s v="8630"/>
    <n v="0.68437944693208141"/>
    <n v="0.96875889386416292"/>
    <n v="0.4"/>
    <n v="9578125600"/>
    <n v="6.4"/>
    <n v="19"/>
  </r>
  <r>
    <x v="102"/>
    <x v="64"/>
    <x v="64"/>
    <s v="HSX"/>
    <s v="8630"/>
    <n v="0.67819338324831757"/>
    <n v="0.95638676649663523"/>
    <n v="0.4"/>
    <n v="46747743580"/>
    <n v="11.05"/>
    <n v="20"/>
  </r>
  <r>
    <x v="103"/>
    <x v="49"/>
    <x v="49"/>
    <s v="HSX"/>
    <s v="8780"/>
    <n v="0.98355250870714173"/>
    <n v="0.96710501741428334"/>
    <n v="1"/>
    <n v="569258428100"/>
    <n v="22.3"/>
    <n v="1"/>
  </r>
  <r>
    <x v="103"/>
    <x v="125"/>
    <x v="125"/>
    <s v="HNX"/>
    <s v="8630"/>
    <n v="0.81928410460206968"/>
    <n v="0.98856820920413935"/>
    <n v="0.65"/>
    <n v="10310642000"/>
    <n v="7"/>
    <n v="2"/>
  </r>
  <r>
    <x v="103"/>
    <x v="44"/>
    <x v="44"/>
    <s v="HSX"/>
    <s v="8780"/>
    <n v="0.79743860217672036"/>
    <n v="0.64487720435344076"/>
    <n v="0.95"/>
    <n v="434256500500"/>
    <n v="41.9"/>
    <n v="3"/>
  </r>
  <r>
    <x v="103"/>
    <x v="184"/>
    <x v="184"/>
    <s v="HSX"/>
    <s v="8630"/>
    <n v="0.76336012856312552"/>
    <n v="0.92672025712625106"/>
    <n v="0.6"/>
    <n v="171424567000"/>
    <n v="32.700000000000003"/>
    <n v="4"/>
  </r>
  <r>
    <x v="103"/>
    <x v="153"/>
    <x v="153"/>
    <s v="HSX"/>
    <s v="8350"/>
    <n v="0.7579392051426812"/>
    <n v="0.91587841028536243"/>
    <n v="0.6"/>
    <n v="212657338100"/>
    <n v="13.35"/>
    <n v="5"/>
  </r>
  <r>
    <x v="103"/>
    <x v="180"/>
    <x v="180"/>
    <s v="HSX"/>
    <s v="8780"/>
    <n v="0.75732328133420557"/>
    <n v="0.96464656266841109"/>
    <n v="0.55000000000000004"/>
    <n v="1009948140600"/>
    <n v="33.9"/>
    <n v="6"/>
  </r>
  <r>
    <x v="103"/>
    <x v="65"/>
    <x v="65"/>
    <s v="HSX"/>
    <s v="8350"/>
    <n v="0.75180153761656832"/>
    <n v="0.90360307523313677"/>
    <n v="0.6"/>
    <n v="1002132097200"/>
    <n v="16.100000000000001"/>
    <n v="7"/>
  </r>
  <r>
    <x v="103"/>
    <x v="192"/>
    <x v="192"/>
    <s v="UPCOM"/>
    <s v="8630"/>
    <n v="0.74517437501788963"/>
    <n v="0.99034875003577927"/>
    <n v="0.5"/>
    <n v="2527394200"/>
    <n v="2.4"/>
    <n v="8"/>
  </r>
  <r>
    <x v="103"/>
    <x v="186"/>
    <x v="186"/>
    <s v="UPCOM"/>
    <s v="8630"/>
    <n v="0.73579210841541132"/>
    <n v="0.97158421683082263"/>
    <n v="0.5"/>
    <n v="5132120000"/>
    <n v="16.899999999999999"/>
    <n v="9"/>
  </r>
  <r>
    <x v="103"/>
    <x v="193"/>
    <x v="193"/>
    <s v="HNX"/>
    <s v="2350"/>
    <n v="0.71980397392072049"/>
    <n v="0.93960794784144097"/>
    <n v="0.5"/>
    <n v="29630573200"/>
    <n v="16.5"/>
    <n v="10"/>
  </r>
  <r>
    <x v="103"/>
    <x v="104"/>
    <x v="104"/>
    <s v="HSX"/>
    <s v="1750"/>
    <n v="0.71334822498256756"/>
    <n v="0.82669644996513514"/>
    <n v="0.6"/>
    <n v="5884969000"/>
    <n v="12.55"/>
    <n v="11"/>
  </r>
  <r>
    <x v="103"/>
    <x v="72"/>
    <x v="72"/>
    <s v="HSX"/>
    <s v="8350"/>
    <n v="0.69036388816277072"/>
    <n v="0.98072777632554153"/>
    <n v="0.4"/>
    <n v="722753272600"/>
    <n v="25.25"/>
    <n v="12"/>
  </r>
  <r>
    <x v="103"/>
    <x v="135"/>
    <x v="135"/>
    <s v="HSX"/>
    <s v="8630"/>
    <n v="0.68679594770699604"/>
    <n v="0.87359189541399196"/>
    <n v="0.5"/>
    <n v="5080434800"/>
    <n v="28.7"/>
    <n v="13"/>
  </r>
  <r>
    <x v="103"/>
    <x v="16"/>
    <x v="16"/>
    <s v="HSX"/>
    <s v="8780"/>
    <n v="0.68495171159191937"/>
    <n v="0.96990342318383871"/>
    <n v="0.4"/>
    <n v="93733157800"/>
    <n v="40.5"/>
    <n v="14"/>
  </r>
  <r>
    <x v="103"/>
    <x v="87"/>
    <x v="87"/>
    <s v="HSX"/>
    <s v="2350"/>
    <n v="0.68342300860357463"/>
    <n v="0.9168460172071492"/>
    <n v="0.45"/>
    <n v="11677561080"/>
    <n v="11.8"/>
    <n v="15"/>
  </r>
  <r>
    <x v="103"/>
    <x v="187"/>
    <x v="187"/>
    <s v="HSX"/>
    <s v="8630"/>
    <n v="0.68247789428306271"/>
    <n v="0.91495578856612547"/>
    <n v="0.45"/>
    <n v="407441491800"/>
    <n v="22.05"/>
    <n v="16"/>
  </r>
  <r>
    <x v="103"/>
    <x v="108"/>
    <x v="108"/>
    <s v="UPCOM"/>
    <s v="1350"/>
    <n v="0.66973352717355283"/>
    <n v="0.78946705434710562"/>
    <n v="0.55000000000000004"/>
    <n v="64935435200"/>
    <n v="31.2"/>
    <n v="17"/>
  </r>
  <r>
    <x v="103"/>
    <x v="60"/>
    <x v="60"/>
    <s v="HSX"/>
    <s v="8780"/>
    <n v="0.66716316740566084"/>
    <n v="0.9843263348113217"/>
    <n v="0.35"/>
    <n v="818577920900"/>
    <n v="25.6"/>
    <n v="18"/>
  </r>
  <r>
    <x v="103"/>
    <x v="113"/>
    <x v="113"/>
    <s v="HSX"/>
    <s v="8350"/>
    <n v="0.66186086828357094"/>
    <n v="0.92372173656714196"/>
    <n v="0.4"/>
    <n v="14913053200"/>
    <n v="21.7"/>
    <n v="19"/>
  </r>
  <r>
    <x v="103"/>
    <x v="194"/>
    <x v="194"/>
    <s v="HSX"/>
    <s v="1750"/>
    <n v="0.66014609599441276"/>
    <n v="0.87029219198882557"/>
    <n v="0.45"/>
    <n v="175887108500"/>
    <n v="16.5"/>
    <n v="20"/>
  </r>
  <r>
    <x v="104"/>
    <x v="49"/>
    <x v="49"/>
    <s v="HSX"/>
    <s v="8780"/>
    <n v="0.98668182275040994"/>
    <n v="0.97336364550081977"/>
    <n v="1"/>
    <n v="577143332500"/>
    <n v="22.7"/>
    <n v="1"/>
  </r>
  <r>
    <x v="104"/>
    <x v="104"/>
    <x v="104"/>
    <s v="HSX"/>
    <s v="1750"/>
    <n v="0.88018146925743701"/>
    <n v="0.91036293851487415"/>
    <n v="0.85"/>
    <n v="5754696400"/>
    <n v="13.2"/>
    <n v="2"/>
  </r>
  <r>
    <x v="104"/>
    <x v="148"/>
    <x v="148"/>
    <s v="HSX"/>
    <s v="8630"/>
    <n v="0.84437623773245873"/>
    <n v="0.83875247546491749"/>
    <n v="0.85"/>
    <n v="6329273780"/>
    <n v="3.43"/>
    <n v="3"/>
  </r>
  <r>
    <x v="104"/>
    <x v="65"/>
    <x v="65"/>
    <s v="HSX"/>
    <s v="8350"/>
    <n v="0.81041230649846152"/>
    <n v="0.97082461299692302"/>
    <n v="0.65"/>
    <n v="1043976887200"/>
    <n v="17.2"/>
    <n v="4"/>
  </r>
  <r>
    <x v="104"/>
    <x v="124"/>
    <x v="124"/>
    <s v="HNX"/>
    <s v="8630"/>
    <n v="0.79391306746824641"/>
    <n v="0.98782613493649274"/>
    <n v="0.6"/>
    <n v="8240617200"/>
    <n v="9.9"/>
    <n v="5"/>
  </r>
  <r>
    <x v="104"/>
    <x v="186"/>
    <x v="186"/>
    <s v="UPCOM"/>
    <s v="8630"/>
    <n v="0.76351905624400151"/>
    <n v="0.97703811248800299"/>
    <n v="0.55000000000000004"/>
    <n v="5320249400"/>
    <n v="17.3"/>
    <n v="6"/>
  </r>
  <r>
    <x v="104"/>
    <x v="180"/>
    <x v="180"/>
    <s v="HSX"/>
    <s v="8780"/>
    <n v="0.75588943527859209"/>
    <n v="0.96177887055718425"/>
    <n v="0.55000000000000004"/>
    <n v="1030804782500"/>
    <n v="34.200000000000003"/>
    <n v="7"/>
  </r>
  <r>
    <x v="104"/>
    <x v="87"/>
    <x v="87"/>
    <s v="HSX"/>
    <s v="2350"/>
    <n v="0.75330598341674992"/>
    <n v="0.95661196683349969"/>
    <n v="0.55000000000000004"/>
    <n v="11791445680"/>
    <n v="12.6"/>
    <n v="8"/>
  </r>
  <r>
    <x v="104"/>
    <x v="70"/>
    <x v="70"/>
    <s v="HSX"/>
    <s v="8350"/>
    <n v="0.72889647453304263"/>
    <n v="0.90779294906608521"/>
    <n v="0.55000000000000004"/>
    <n v="24918498900"/>
    <n v="16.8"/>
    <n v="9"/>
  </r>
  <r>
    <x v="104"/>
    <x v="125"/>
    <x v="125"/>
    <s v="HNX"/>
    <s v="8630"/>
    <n v="0.72182430915408413"/>
    <n v="0.9936486183081682"/>
    <n v="0.45"/>
    <n v="11282210000"/>
    <n v="7.7"/>
    <n v="10"/>
  </r>
  <r>
    <x v="104"/>
    <x v="195"/>
    <x v="195"/>
    <s v="HNX"/>
    <s v="2350"/>
    <n v="0.71918184040511746"/>
    <n v="0.98836368081023496"/>
    <n v="0.45"/>
    <n v="3649042400"/>
    <n v="9.5"/>
    <n v="11"/>
  </r>
  <r>
    <x v="104"/>
    <x v="192"/>
    <x v="192"/>
    <s v="UPCOM"/>
    <s v="8630"/>
    <n v="0.70945801570794254"/>
    <n v="0.96891603141588512"/>
    <n v="0.45"/>
    <n v="2688019600"/>
    <n v="2.2000000000000002"/>
    <n v="12"/>
  </r>
  <r>
    <x v="104"/>
    <x v="3"/>
    <x v="3"/>
    <s v="UPCOM"/>
    <s v="1750"/>
    <n v="0.69676661653274752"/>
    <n v="0.7435332330654949"/>
    <n v="0.65"/>
    <n v="4966066800"/>
    <n v="8.4"/>
    <n v="13"/>
  </r>
  <r>
    <x v="104"/>
    <x v="191"/>
    <x v="191"/>
    <s v="HSX"/>
    <s v="2770"/>
    <n v="0.69674653153735755"/>
    <n v="0.99349306307471519"/>
    <n v="0.4"/>
    <n v="2213086140"/>
    <n v="12.15"/>
    <n v="14"/>
  </r>
  <r>
    <x v="104"/>
    <x v="46"/>
    <x v="46"/>
    <s v="HSX"/>
    <s v="9570"/>
    <n v="0.68928819005717512"/>
    <n v="0.92857638011435017"/>
    <n v="0.45"/>
    <n v="4114283680"/>
    <n v="8.09"/>
    <n v="15"/>
  </r>
  <r>
    <x v="104"/>
    <x v="135"/>
    <x v="135"/>
    <s v="HSX"/>
    <s v="8630"/>
    <n v="0.68679594770699604"/>
    <n v="0.87359189541399196"/>
    <n v="0.5"/>
    <n v="5080434800"/>
    <n v="28.7"/>
    <n v="16"/>
  </r>
  <r>
    <x v="104"/>
    <x v="16"/>
    <x v="16"/>
    <s v="HSX"/>
    <s v="8780"/>
    <n v="0.67977549984968733"/>
    <n v="0.95955099969937463"/>
    <n v="0.4"/>
    <n v="94771980200"/>
    <n v="40.799999999999997"/>
    <n v="17"/>
  </r>
  <r>
    <x v="104"/>
    <x v="187"/>
    <x v="187"/>
    <s v="HSX"/>
    <s v="8630"/>
    <n v="0.67641205425364459"/>
    <n v="0.90282410850728922"/>
    <n v="0.45"/>
    <n v="420880754700"/>
    <n v="21.75"/>
    <n v="18"/>
  </r>
  <r>
    <x v="104"/>
    <x v="184"/>
    <x v="184"/>
    <s v="HSX"/>
    <s v="8630"/>
    <n v="0.6650053249215846"/>
    <n v="0.98001064984316921"/>
    <n v="0.35"/>
    <n v="178395814600"/>
    <n v="34.950000000000003"/>
    <n v="19"/>
  </r>
  <r>
    <x v="104"/>
    <x v="27"/>
    <x v="27"/>
    <s v="HSX"/>
    <s v="3570"/>
    <n v="0.64751384608904017"/>
    <n v="0.94502769217808036"/>
    <n v="0.35"/>
    <n v="31697457000"/>
    <n v="24.2"/>
    <n v="2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83E4004-F085-4E3C-9D1C-48D09388046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O1:DQ199" firstHeaderRow="1" firstDataRow="2" firstDataCol="1"/>
  <pivotFields count="11">
    <pivotField axis="axisCol" showAll="0">
      <items count="10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t="default"/>
      </items>
    </pivotField>
    <pivotField axis="axisRow" showAll="0">
      <items count="197">
        <item x="12"/>
        <item x="106"/>
        <item x="168"/>
        <item x="71"/>
        <item x="124"/>
        <item x="171"/>
        <item x="57"/>
        <item x="43"/>
        <item x="100"/>
        <item x="103"/>
        <item x="36"/>
        <item x="117"/>
        <item x="93"/>
        <item x="5"/>
        <item x="82"/>
        <item x="35"/>
        <item x="156"/>
        <item x="142"/>
        <item x="195"/>
        <item x="136"/>
        <item x="83"/>
        <item x="129"/>
        <item x="18"/>
        <item x="163"/>
        <item x="87"/>
        <item x="144"/>
        <item x="31"/>
        <item x="110"/>
        <item x="23"/>
        <item x="52"/>
        <item x="8"/>
        <item x="16"/>
        <item x="78"/>
        <item x="13"/>
        <item x="68"/>
        <item x="154"/>
        <item x="108"/>
        <item x="174"/>
        <item x="157"/>
        <item x="121"/>
        <item x="187"/>
        <item x="79"/>
        <item x="69"/>
        <item x="84"/>
        <item x="54"/>
        <item x="148"/>
        <item x="32"/>
        <item x="14"/>
        <item x="7"/>
        <item x="64"/>
        <item x="130"/>
        <item x="141"/>
        <item x="153"/>
        <item x="190"/>
        <item x="95"/>
        <item x="112"/>
        <item x="66"/>
        <item x="81"/>
        <item x="118"/>
        <item x="178"/>
        <item x="140"/>
        <item x="45"/>
        <item x="59"/>
        <item x="67"/>
        <item x="133"/>
        <item x="62"/>
        <item x="98"/>
        <item x="152"/>
        <item x="47"/>
        <item x="58"/>
        <item x="184"/>
        <item x="2"/>
        <item x="30"/>
        <item x="55"/>
        <item x="20"/>
        <item x="73"/>
        <item x="128"/>
        <item x="51"/>
        <item x="193"/>
        <item x="75"/>
        <item x="99"/>
        <item x="125"/>
        <item x="50"/>
        <item x="90"/>
        <item x="48"/>
        <item x="80"/>
        <item x="40"/>
        <item x="10"/>
        <item x="160"/>
        <item x="149"/>
        <item x="113"/>
        <item x="1"/>
        <item x="25"/>
        <item x="122"/>
        <item x="132"/>
        <item x="33"/>
        <item x="165"/>
        <item x="177"/>
        <item x="41"/>
        <item x="181"/>
        <item x="188"/>
        <item x="114"/>
        <item x="191"/>
        <item x="15"/>
        <item x="173"/>
        <item x="170"/>
        <item x="0"/>
        <item x="159"/>
        <item x="11"/>
        <item x="123"/>
        <item x="74"/>
        <item x="4"/>
        <item x="182"/>
        <item x="194"/>
        <item x="134"/>
        <item x="24"/>
        <item x="164"/>
        <item x="19"/>
        <item x="143"/>
        <item x="107"/>
        <item x="176"/>
        <item x="116"/>
        <item x="37"/>
        <item x="183"/>
        <item x="185"/>
        <item x="150"/>
        <item x="17"/>
        <item x="120"/>
        <item x="189"/>
        <item x="119"/>
        <item x="139"/>
        <item x="158"/>
        <item x="155"/>
        <item x="146"/>
        <item x="166"/>
        <item x="186"/>
        <item x="21"/>
        <item x="145"/>
        <item x="46"/>
        <item x="63"/>
        <item x="111"/>
        <item x="27"/>
        <item x="22"/>
        <item x="53"/>
        <item x="65"/>
        <item x="88"/>
        <item x="179"/>
        <item x="29"/>
        <item x="42"/>
        <item x="104"/>
        <item x="180"/>
        <item x="56"/>
        <item x="105"/>
        <item x="169"/>
        <item x="135"/>
        <item x="162"/>
        <item x="131"/>
        <item x="39"/>
        <item x="92"/>
        <item x="6"/>
        <item x="138"/>
        <item x="96"/>
        <item x="85"/>
        <item x="126"/>
        <item x="34"/>
        <item x="172"/>
        <item x="28"/>
        <item x="26"/>
        <item x="101"/>
        <item x="175"/>
        <item x="127"/>
        <item x="3"/>
        <item x="70"/>
        <item x="147"/>
        <item x="91"/>
        <item x="102"/>
        <item x="44"/>
        <item x="38"/>
        <item x="94"/>
        <item x="109"/>
        <item x="86"/>
        <item x="76"/>
        <item x="161"/>
        <item x="167"/>
        <item x="192"/>
        <item x="89"/>
        <item x="61"/>
        <item x="77"/>
        <item x="60"/>
        <item x="49"/>
        <item x="151"/>
        <item x="72"/>
        <item x="137"/>
        <item x="115"/>
        <item x="97"/>
        <item x="9"/>
        <item t="default"/>
      </items>
    </pivotField>
    <pivotField showAll="0">
      <items count="197">
        <item x="126"/>
        <item x="153"/>
        <item x="106"/>
        <item x="118"/>
        <item x="181"/>
        <item x="144"/>
        <item x="95"/>
        <item x="139"/>
        <item x="82"/>
        <item x="53"/>
        <item x="54"/>
        <item x="17"/>
        <item x="26"/>
        <item x="71"/>
        <item x="5"/>
        <item x="35"/>
        <item x="171"/>
        <item x="77"/>
        <item x="190"/>
        <item x="178"/>
        <item x="86"/>
        <item x="38"/>
        <item x="179"/>
        <item x="111"/>
        <item x="12"/>
        <item x="180"/>
        <item x="44"/>
        <item x="16"/>
        <item x="60"/>
        <item x="49"/>
        <item x="110"/>
        <item x="163"/>
        <item x="145"/>
        <item x="2"/>
        <item x="83"/>
        <item x="115"/>
        <item x="87"/>
        <item x="92"/>
        <item x="108"/>
        <item x="80"/>
        <item x="135"/>
        <item x="32"/>
        <item x="124"/>
        <item x="30"/>
        <item x="39"/>
        <item x="55"/>
        <item x="129"/>
        <item x="125"/>
        <item x="186"/>
        <item x="33"/>
        <item x="159"/>
        <item x="134"/>
        <item x="52"/>
        <item x="182"/>
        <item x="14"/>
        <item x="123"/>
        <item x="104"/>
        <item x="75"/>
        <item x="192"/>
        <item x="172"/>
        <item x="85"/>
        <item x="147"/>
        <item x="40"/>
        <item x="114"/>
        <item x="66"/>
        <item x="22"/>
        <item x="68"/>
        <item x="64"/>
        <item x="28"/>
        <item x="47"/>
        <item x="59"/>
        <item x="164"/>
        <item x="45"/>
        <item x="149"/>
        <item x="148"/>
        <item x="121"/>
        <item x="154"/>
        <item x="90"/>
        <item x="112"/>
        <item x="133"/>
        <item x="51"/>
        <item x="36"/>
        <item x="10"/>
        <item x="19"/>
        <item x="6"/>
        <item x="177"/>
        <item x="122"/>
        <item x="156"/>
        <item x="165"/>
        <item x="0"/>
        <item x="15"/>
        <item x="191"/>
        <item x="74"/>
        <item x="168"/>
        <item x="119"/>
        <item x="93"/>
        <item x="107"/>
        <item x="57"/>
        <item x="20"/>
        <item x="100"/>
        <item x="185"/>
        <item x="78"/>
        <item x="143"/>
        <item x="50"/>
        <item x="184"/>
        <item x="138"/>
        <item x="183"/>
        <item x="21"/>
        <item x="88"/>
        <item x="46"/>
        <item x="25"/>
        <item x="29"/>
        <item x="169"/>
        <item x="132"/>
        <item x="79"/>
        <item x="136"/>
        <item x="142"/>
        <item x="63"/>
        <item x="8"/>
        <item x="13"/>
        <item x="84"/>
        <item x="116"/>
        <item x="48"/>
        <item x="69"/>
        <item x="81"/>
        <item x="67"/>
        <item x="152"/>
        <item x="174"/>
        <item x="128"/>
        <item x="160"/>
        <item x="175"/>
        <item x="170"/>
        <item x="4"/>
        <item x="91"/>
        <item x="24"/>
        <item x="37"/>
        <item x="34"/>
        <item x="173"/>
        <item x="105"/>
        <item x="58"/>
        <item x="131"/>
        <item x="193"/>
        <item x="42"/>
        <item x="27"/>
        <item x="157"/>
        <item x="194"/>
        <item x="96"/>
        <item x="109"/>
        <item x="73"/>
        <item x="127"/>
        <item x="146"/>
        <item x="98"/>
        <item x="9"/>
        <item x="101"/>
        <item x="97"/>
        <item x="137"/>
        <item x="167"/>
        <item x="89"/>
        <item x="195"/>
        <item x="31"/>
        <item x="18"/>
        <item x="23"/>
        <item x="113"/>
        <item x="162"/>
        <item x="41"/>
        <item x="188"/>
        <item x="176"/>
        <item x="65"/>
        <item x="56"/>
        <item x="70"/>
        <item x="72"/>
        <item x="141"/>
        <item x="130"/>
        <item x="62"/>
        <item x="43"/>
        <item x="61"/>
        <item x="140"/>
        <item x="189"/>
        <item x="7"/>
        <item x="99"/>
        <item x="158"/>
        <item x="120"/>
        <item x="1"/>
        <item x="11"/>
        <item x="94"/>
        <item x="3"/>
        <item x="76"/>
        <item x="103"/>
        <item x="117"/>
        <item x="187"/>
        <item x="161"/>
        <item x="166"/>
        <item x="150"/>
        <item x="155"/>
        <item x="151"/>
        <item x="102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</pivotFields>
  <rowFields count="1">
    <field x="1"/>
  </rowFields>
  <rowItems count="19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 t="grand">
      <x/>
    </i>
  </rowItems>
  <colFields count="1">
    <field x="0"/>
  </colFields>
  <colItems count="10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 t="grand">
      <x/>
    </i>
  </colItems>
  <dataFields count="1">
    <dataField name="Sum of stock_p20" fld="5" baseField="0" baseItem="0"/>
  </dataFields>
  <formats count="1">
    <format dxfId="0">
      <pivotArea collapsedLevelsAreSubtotals="1" fieldPosition="0">
        <references count="2">
          <reference field="0" count="0" selected="0"/>
          <reference field="1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F20348C-ABB9-42EE-B8C2-06CD252D9D60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f41ad9c5-fa49-4e48-bab3-0a47e97543cd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2101"/>
  <sheetViews>
    <sheetView tabSelected="1" zoomScale="70" zoomScaleNormal="70" workbookViewId="0">
      <pane xSplit="15" ySplit="2" topLeftCell="DG159" activePane="bottomRight" state="frozen"/>
      <selection pane="topRight" activeCell="P1" sqref="P1"/>
      <selection pane="bottomLeft" activeCell="A3" sqref="A3"/>
      <selection pane="bottomRight" activeCell="DH189" sqref="A189:XFD189"/>
    </sheetView>
  </sheetViews>
  <sheetFormatPr defaultRowHeight="15" x14ac:dyDescent="0.25"/>
  <cols>
    <col min="15" max="15" width="22.42578125" bestFit="1" customWidth="1"/>
    <col min="16" max="16" width="21.7109375" bestFit="1" customWidth="1"/>
    <col min="17" max="20" width="17.7109375" bestFit="1" customWidth="1"/>
    <col min="21" max="21" width="16" bestFit="1" customWidth="1"/>
    <col min="22" max="32" width="17.7109375" bestFit="1" customWidth="1"/>
    <col min="33" max="33" width="16" bestFit="1" customWidth="1"/>
    <col min="34" max="43" width="17.7109375" bestFit="1" customWidth="1"/>
    <col min="44" max="44" width="16" bestFit="1" customWidth="1"/>
    <col min="45" max="46" width="17.7109375" bestFit="1" customWidth="1"/>
    <col min="47" max="47" width="15.28515625" bestFit="1" customWidth="1"/>
    <col min="48" max="48" width="17.7109375" bestFit="1" customWidth="1"/>
    <col min="49" max="50" width="16" bestFit="1" customWidth="1"/>
    <col min="51" max="59" width="17.7109375" bestFit="1" customWidth="1"/>
    <col min="60" max="60" width="16" bestFit="1" customWidth="1"/>
    <col min="61" max="70" width="17.7109375" bestFit="1" customWidth="1"/>
    <col min="71" max="71" width="16" bestFit="1" customWidth="1"/>
    <col min="72" max="80" width="17.7109375" bestFit="1" customWidth="1"/>
    <col min="81" max="81" width="16" bestFit="1" customWidth="1"/>
    <col min="82" max="101" width="17.7109375" bestFit="1" customWidth="1"/>
    <col min="102" max="102" width="15.7109375" bestFit="1" customWidth="1"/>
    <col min="103" max="112" width="17.7109375" bestFit="1" customWidth="1"/>
    <col min="113" max="113" width="16" bestFit="1" customWidth="1"/>
    <col min="114" max="117" width="17.7109375" bestFit="1" customWidth="1"/>
    <col min="118" max="118" width="16" bestFit="1" customWidth="1"/>
    <col min="119" max="121" width="17.7109375" bestFit="1" customWidth="1"/>
  </cols>
  <sheetData>
    <row r="1" spans="1:12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O1" s="1" t="s">
        <v>545</v>
      </c>
      <c r="P1" s="1" t="s">
        <v>542</v>
      </c>
    </row>
    <row r="2" spans="1:123" x14ac:dyDescent="0.25">
      <c r="A2" t="s">
        <v>11</v>
      </c>
      <c r="B2" t="s">
        <v>12</v>
      </c>
      <c r="C2" t="s">
        <v>13</v>
      </c>
      <c r="D2" t="s">
        <v>14</v>
      </c>
      <c r="E2" t="s">
        <v>15</v>
      </c>
      <c r="F2">
        <v>0.85376097404630769</v>
      </c>
      <c r="G2">
        <v>0.95752194809261548</v>
      </c>
      <c r="H2">
        <v>0.75</v>
      </c>
      <c r="I2">
        <v>35950609000</v>
      </c>
      <c r="J2">
        <v>20.5</v>
      </c>
      <c r="K2">
        <v>1</v>
      </c>
      <c r="O2" s="1" t="s">
        <v>544</v>
      </c>
      <c r="P2" t="s">
        <v>11</v>
      </c>
      <c r="Q2" t="s">
        <v>65</v>
      </c>
      <c r="R2" t="s">
        <v>81</v>
      </c>
      <c r="S2" t="s">
        <v>98</v>
      </c>
      <c r="T2" t="s">
        <v>105</v>
      </c>
      <c r="U2" t="s">
        <v>117</v>
      </c>
      <c r="V2" t="s">
        <v>128</v>
      </c>
      <c r="W2" t="s">
        <v>137</v>
      </c>
      <c r="X2" t="s">
        <v>142</v>
      </c>
      <c r="Y2" t="s">
        <v>151</v>
      </c>
      <c r="Z2" t="s">
        <v>161</v>
      </c>
      <c r="AA2" t="s">
        <v>168</v>
      </c>
      <c r="AB2" t="s">
        <v>175</v>
      </c>
      <c r="AC2" t="s">
        <v>178</v>
      </c>
      <c r="AD2" t="s">
        <v>185</v>
      </c>
      <c r="AE2" t="s">
        <v>192</v>
      </c>
      <c r="AF2" t="s">
        <v>198</v>
      </c>
      <c r="AG2" t="s">
        <v>203</v>
      </c>
      <c r="AH2" t="s">
        <v>208</v>
      </c>
      <c r="AI2" t="s">
        <v>213</v>
      </c>
      <c r="AJ2" t="s">
        <v>218</v>
      </c>
      <c r="AK2" t="s">
        <v>221</v>
      </c>
      <c r="AL2" t="s">
        <v>222</v>
      </c>
      <c r="AM2" t="s">
        <v>225</v>
      </c>
      <c r="AN2" t="s">
        <v>228</v>
      </c>
      <c r="AO2" t="s">
        <v>231</v>
      </c>
      <c r="AP2" t="s">
        <v>239</v>
      </c>
      <c r="AQ2" t="s">
        <v>246</v>
      </c>
      <c r="AR2" t="s">
        <v>252</v>
      </c>
      <c r="AS2" t="s">
        <v>260</v>
      </c>
      <c r="AT2" t="s">
        <v>265</v>
      </c>
      <c r="AU2" t="s">
        <v>270</v>
      </c>
      <c r="AV2" t="s">
        <v>276</v>
      </c>
      <c r="AW2" t="s">
        <v>277</v>
      </c>
      <c r="AX2" t="s">
        <v>282</v>
      </c>
      <c r="AY2" t="s">
        <v>289</v>
      </c>
      <c r="AZ2" t="s">
        <v>293</v>
      </c>
      <c r="BA2" t="s">
        <v>300</v>
      </c>
      <c r="BB2" t="s">
        <v>303</v>
      </c>
      <c r="BC2" t="s">
        <v>306</v>
      </c>
      <c r="BD2" t="s">
        <v>311</v>
      </c>
      <c r="BE2" t="s">
        <v>314</v>
      </c>
      <c r="BF2" t="s">
        <v>320</v>
      </c>
      <c r="BG2" t="s">
        <v>323</v>
      </c>
      <c r="BH2" t="s">
        <v>324</v>
      </c>
      <c r="BI2" t="s">
        <v>327</v>
      </c>
      <c r="BJ2" t="s">
        <v>328</v>
      </c>
      <c r="BK2" t="s">
        <v>331</v>
      </c>
      <c r="BL2" t="s">
        <v>334</v>
      </c>
      <c r="BM2" t="s">
        <v>339</v>
      </c>
      <c r="BN2" t="s">
        <v>344</v>
      </c>
      <c r="BO2" t="s">
        <v>347</v>
      </c>
      <c r="BP2" t="s">
        <v>350</v>
      </c>
      <c r="BQ2" t="s">
        <v>356</v>
      </c>
      <c r="BR2" t="s">
        <v>357</v>
      </c>
      <c r="BS2" t="s">
        <v>358</v>
      </c>
      <c r="BT2" t="s">
        <v>359</v>
      </c>
      <c r="BU2" t="s">
        <v>362</v>
      </c>
      <c r="BV2" t="s">
        <v>367</v>
      </c>
      <c r="BW2" t="s">
        <v>370</v>
      </c>
      <c r="BX2" t="s">
        <v>373</v>
      </c>
      <c r="BY2" t="s">
        <v>376</v>
      </c>
      <c r="BZ2" t="s">
        <v>379</v>
      </c>
      <c r="CA2" t="s">
        <v>383</v>
      </c>
      <c r="CB2" t="s">
        <v>394</v>
      </c>
      <c r="CC2" t="s">
        <v>399</v>
      </c>
      <c r="CD2" t="s">
        <v>402</v>
      </c>
      <c r="CE2" t="s">
        <v>407</v>
      </c>
      <c r="CF2" t="s">
        <v>412</v>
      </c>
      <c r="CG2" t="s">
        <v>416</v>
      </c>
      <c r="CH2" t="s">
        <v>417</v>
      </c>
      <c r="CI2" t="s">
        <v>420</v>
      </c>
      <c r="CJ2" t="s">
        <v>428</v>
      </c>
      <c r="CK2" t="s">
        <v>429</v>
      </c>
      <c r="CL2" t="s">
        <v>432</v>
      </c>
      <c r="CM2" t="s">
        <v>435</v>
      </c>
      <c r="CN2" t="s">
        <v>438</v>
      </c>
      <c r="CO2" t="s">
        <v>444</v>
      </c>
      <c r="CP2" t="s">
        <v>452</v>
      </c>
      <c r="CQ2" t="s">
        <v>457</v>
      </c>
      <c r="CR2" t="s">
        <v>464</v>
      </c>
      <c r="CS2" t="s">
        <v>467</v>
      </c>
      <c r="CT2" t="s">
        <v>468</v>
      </c>
      <c r="CU2" t="s">
        <v>474</v>
      </c>
      <c r="CV2" t="s">
        <v>475</v>
      </c>
      <c r="CW2" t="s">
        <v>480</v>
      </c>
      <c r="CX2" t="s">
        <v>485</v>
      </c>
      <c r="CY2" t="s">
        <v>488</v>
      </c>
      <c r="CZ2" t="s">
        <v>493</v>
      </c>
      <c r="DA2" t="s">
        <v>496</v>
      </c>
      <c r="DB2" t="s">
        <v>497</v>
      </c>
      <c r="DC2" t="s">
        <v>502</v>
      </c>
      <c r="DD2" t="s">
        <v>505</v>
      </c>
      <c r="DE2" t="s">
        <v>508</v>
      </c>
      <c r="DF2" t="s">
        <v>509</v>
      </c>
      <c r="DG2" t="s">
        <v>512</v>
      </c>
      <c r="DH2" t="s">
        <v>513</v>
      </c>
      <c r="DI2" t="s">
        <v>514</v>
      </c>
      <c r="DJ2" t="s">
        <v>515</v>
      </c>
      <c r="DK2" t="s">
        <v>516</v>
      </c>
      <c r="DL2" t="s">
        <v>519</v>
      </c>
      <c r="DM2" t="s">
        <v>524</v>
      </c>
      <c r="DN2" t="s">
        <v>529</v>
      </c>
      <c r="DO2" t="s">
        <v>532</v>
      </c>
      <c r="DP2" t="s">
        <v>539</v>
      </c>
      <c r="DQ2" t="s">
        <v>543</v>
      </c>
      <c r="DR2">
        <f>COUNTA(P2:DP2)</f>
        <v>105</v>
      </c>
    </row>
    <row r="3" spans="1:123" x14ac:dyDescent="0.25">
      <c r="A3" t="s">
        <v>11</v>
      </c>
      <c r="B3" t="s">
        <v>16</v>
      </c>
      <c r="C3" t="s">
        <v>17</v>
      </c>
      <c r="D3" t="s">
        <v>18</v>
      </c>
      <c r="E3" t="s">
        <v>15</v>
      </c>
      <c r="F3">
        <v>0.84795222600404729</v>
      </c>
      <c r="G3">
        <v>0.89590445200809443</v>
      </c>
      <c r="H3">
        <v>0.8</v>
      </c>
      <c r="I3">
        <v>15896347200</v>
      </c>
      <c r="J3">
        <v>225.2</v>
      </c>
      <c r="K3">
        <v>2</v>
      </c>
      <c r="O3" s="2" t="s">
        <v>47</v>
      </c>
      <c r="P3" s="4">
        <v>0.67681230140988713</v>
      </c>
      <c r="Q3" s="4">
        <v>0.62592632218721733</v>
      </c>
      <c r="R3" s="4"/>
      <c r="S3" s="4">
        <v>0.67539098535818198</v>
      </c>
      <c r="T3" s="4">
        <v>0.64338469464109438</v>
      </c>
      <c r="U3" s="4">
        <v>0.68839094834203873</v>
      </c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>
        <v>0.60258002115835341</v>
      </c>
      <c r="BM3" s="4">
        <v>0.56478496508118792</v>
      </c>
      <c r="BN3" s="4">
        <v>0.5965057454298327</v>
      </c>
      <c r="BO3" s="4">
        <v>0.60555499493390119</v>
      </c>
      <c r="BP3" s="4">
        <v>0.66379311739990743</v>
      </c>
      <c r="BQ3" s="4">
        <v>0.60482523016160539</v>
      </c>
      <c r="BR3" s="4">
        <v>0.59056857211406355</v>
      </c>
      <c r="BS3" s="4"/>
      <c r="BT3" s="4">
        <v>0.57886423355557903</v>
      </c>
      <c r="BU3" s="4"/>
      <c r="BV3" s="4"/>
      <c r="BW3" s="4"/>
      <c r="BX3" s="4"/>
      <c r="BY3" s="4"/>
      <c r="BZ3" s="4">
        <v>0.63306694392537977</v>
      </c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3">
        <v>8.7504490756982314</v>
      </c>
      <c r="DR3">
        <f t="shared" ref="DR2:DR66" si="0">COUNT(P3:DP3)</f>
        <v>14</v>
      </c>
      <c r="DS3" s="4">
        <f>DR3/$DR$2</f>
        <v>0.13333333333333333</v>
      </c>
    </row>
    <row r="4" spans="1:123" x14ac:dyDescent="0.25">
      <c r="A4" t="s">
        <v>11</v>
      </c>
      <c r="B4" t="s">
        <v>19</v>
      </c>
      <c r="C4" t="s">
        <v>20</v>
      </c>
      <c r="D4" t="s">
        <v>18</v>
      </c>
      <c r="E4" t="s">
        <v>15</v>
      </c>
      <c r="F4">
        <v>0.79591828399952802</v>
      </c>
      <c r="G4">
        <v>0.94183656799905613</v>
      </c>
      <c r="H4">
        <v>0.65</v>
      </c>
      <c r="I4">
        <v>2550769200</v>
      </c>
      <c r="J4">
        <v>336</v>
      </c>
      <c r="K4">
        <v>3</v>
      </c>
      <c r="O4" s="2" t="s">
        <v>283</v>
      </c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>
        <v>0.73443876103456129</v>
      </c>
      <c r="AY4" s="4">
        <v>0.63924374761434777</v>
      </c>
      <c r="AZ4" s="4">
        <v>0.68716399673758288</v>
      </c>
      <c r="BA4" s="4"/>
      <c r="BB4" s="4">
        <v>0.76147971410490045</v>
      </c>
      <c r="BC4" s="4">
        <v>0.73727896321537933</v>
      </c>
      <c r="BD4" s="4">
        <v>0.71726986889368971</v>
      </c>
      <c r="BE4" s="4">
        <v>0.69922030626226517</v>
      </c>
      <c r="BF4" s="4">
        <v>0.70111591897658521</v>
      </c>
      <c r="BG4" s="4">
        <v>0.6240133115485017</v>
      </c>
      <c r="BH4" s="4">
        <v>0.81805252445258214</v>
      </c>
      <c r="BI4" s="4">
        <v>0.65806933671085277</v>
      </c>
      <c r="BJ4" s="4">
        <v>0.6553958386838028</v>
      </c>
      <c r="BK4" s="4">
        <v>0.60510135642758467</v>
      </c>
      <c r="BL4" s="4">
        <v>0.66049315553712651</v>
      </c>
      <c r="BM4" s="4">
        <v>0.81886157642418622</v>
      </c>
      <c r="BN4" s="4">
        <v>0.68150235081756916</v>
      </c>
      <c r="BO4" s="4">
        <v>0.5977782664749427</v>
      </c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3">
        <v>11.796478993916462</v>
      </c>
      <c r="DR4">
        <f t="shared" si="0"/>
        <v>17</v>
      </c>
      <c r="DS4" s="4">
        <f t="shared" ref="DS4:DS67" si="1">DR4/$DR$2</f>
        <v>0.16190476190476191</v>
      </c>
    </row>
    <row r="5" spans="1:123" x14ac:dyDescent="0.25">
      <c r="A5" t="s">
        <v>11</v>
      </c>
      <c r="B5" t="s">
        <v>21</v>
      </c>
      <c r="C5" t="s">
        <v>22</v>
      </c>
      <c r="D5" t="s">
        <v>14</v>
      </c>
      <c r="E5" t="s">
        <v>23</v>
      </c>
      <c r="F5">
        <v>0.75249953915114365</v>
      </c>
      <c r="G5">
        <v>0.80499907830228734</v>
      </c>
      <c r="H5">
        <v>0.7</v>
      </c>
      <c r="I5">
        <v>4901301400</v>
      </c>
      <c r="J5">
        <v>9.1999999999999993</v>
      </c>
      <c r="K5">
        <v>4</v>
      </c>
      <c r="O5" s="2" t="s">
        <v>460</v>
      </c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>
        <v>0.59152576279546809</v>
      </c>
      <c r="CR5" s="4">
        <v>0.61796530791763049</v>
      </c>
      <c r="CS5" s="4"/>
      <c r="CT5" s="4"/>
      <c r="CU5" s="4">
        <v>0.56761953793650088</v>
      </c>
      <c r="CV5" s="4">
        <v>0.56521965643974137</v>
      </c>
      <c r="CW5" s="4">
        <v>0.58630235136985132</v>
      </c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>
        <v>0.69550099131826337</v>
      </c>
      <c r="DJ5" s="4">
        <v>0.6746102137330422</v>
      </c>
      <c r="DK5" s="4"/>
      <c r="DL5" s="4">
        <v>0.71806929304544842</v>
      </c>
      <c r="DM5" s="4"/>
      <c r="DN5" s="4"/>
      <c r="DO5" s="4"/>
      <c r="DP5" s="4"/>
      <c r="DQ5" s="3">
        <v>5.016813114555946</v>
      </c>
      <c r="DR5">
        <f t="shared" si="0"/>
        <v>8</v>
      </c>
      <c r="DS5" s="4">
        <f t="shared" si="1"/>
        <v>7.6190476190476197E-2</v>
      </c>
    </row>
    <row r="6" spans="1:123" x14ac:dyDescent="0.25">
      <c r="A6" t="s">
        <v>11</v>
      </c>
      <c r="B6" t="s">
        <v>24</v>
      </c>
      <c r="C6" t="s">
        <v>25</v>
      </c>
      <c r="D6" t="s">
        <v>18</v>
      </c>
      <c r="E6" t="s">
        <v>26</v>
      </c>
      <c r="F6">
        <v>0.74528714573067689</v>
      </c>
      <c r="G6">
        <v>0.94057429146135363</v>
      </c>
      <c r="H6">
        <v>0.55000000000000004</v>
      </c>
      <c r="I6">
        <v>5541799800</v>
      </c>
      <c r="J6">
        <v>13.4</v>
      </c>
      <c r="K6">
        <v>5</v>
      </c>
      <c r="O6" s="2" t="s">
        <v>188</v>
      </c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>
        <v>0.57738234202631478</v>
      </c>
      <c r="AE6" s="4">
        <v>0.59658558227948599</v>
      </c>
      <c r="AF6" s="4">
        <v>0.58190310821094948</v>
      </c>
      <c r="AG6" s="4">
        <v>0.60308040699786847</v>
      </c>
      <c r="AH6" s="4">
        <v>0.56972264742376</v>
      </c>
      <c r="AI6" s="4"/>
      <c r="AJ6" s="4">
        <v>0.54854325446003882</v>
      </c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>
        <v>0.652077945634845</v>
      </c>
      <c r="BG6" s="4">
        <v>0.76152673282657513</v>
      </c>
      <c r="BH6" s="4">
        <v>0.81630672378431246</v>
      </c>
      <c r="BI6" s="4">
        <v>0.79391979586674621</v>
      </c>
      <c r="BJ6" s="4">
        <v>0.76908242624895806</v>
      </c>
      <c r="BK6" s="4">
        <v>0.79481925013041943</v>
      </c>
      <c r="BL6" s="4">
        <v>0.77644700959034529</v>
      </c>
      <c r="BM6" s="4">
        <v>0.79324091979365607</v>
      </c>
      <c r="BN6" s="4">
        <v>0.90489529478208919</v>
      </c>
      <c r="BO6" s="4">
        <v>0.80846444239796822</v>
      </c>
      <c r="BP6" s="4">
        <v>0.67576334311563235</v>
      </c>
      <c r="BQ6" s="4">
        <v>0.67287518435908167</v>
      </c>
      <c r="BR6" s="4">
        <v>0.62055824942511673</v>
      </c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4"/>
      <c r="CJ6" s="4"/>
      <c r="CK6" s="4"/>
      <c r="CL6" s="4"/>
      <c r="CM6" s="4">
        <v>0.57834806748842205</v>
      </c>
      <c r="CN6" s="4"/>
      <c r="CO6" s="4">
        <v>0.55733686698734997</v>
      </c>
      <c r="CP6" s="4"/>
      <c r="CQ6" s="4"/>
      <c r="CR6" s="4">
        <v>0.67783146608308453</v>
      </c>
      <c r="CS6" s="4">
        <v>0.6731272454896926</v>
      </c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3">
        <v>15.80383830540271</v>
      </c>
      <c r="DR6">
        <f t="shared" si="0"/>
        <v>23</v>
      </c>
      <c r="DS6" s="4">
        <f t="shared" si="1"/>
        <v>0.21904761904761905</v>
      </c>
    </row>
    <row r="7" spans="1:123" x14ac:dyDescent="0.25">
      <c r="A7" t="s">
        <v>11</v>
      </c>
      <c r="B7" t="s">
        <v>27</v>
      </c>
      <c r="C7" t="s">
        <v>28</v>
      </c>
      <c r="D7" t="s">
        <v>14</v>
      </c>
      <c r="E7" t="s">
        <v>29</v>
      </c>
      <c r="F7">
        <v>0.74103354601464444</v>
      </c>
      <c r="G7">
        <v>0.73206709202928877</v>
      </c>
      <c r="H7">
        <v>0.75</v>
      </c>
      <c r="I7">
        <v>3576154400</v>
      </c>
      <c r="J7">
        <v>11.6</v>
      </c>
      <c r="K7">
        <v>6</v>
      </c>
      <c r="O7" s="2" t="s">
        <v>335</v>
      </c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>
        <v>0.65240728396134939</v>
      </c>
      <c r="BM7" s="4">
        <v>0.70036871481709762</v>
      </c>
      <c r="BN7" s="4">
        <v>0.72470463233371252</v>
      </c>
      <c r="BO7" s="4">
        <v>0.6228480849697281</v>
      </c>
      <c r="BP7" s="4"/>
      <c r="BQ7" s="4"/>
      <c r="BR7" s="4">
        <v>0.62351519111926068</v>
      </c>
      <c r="BS7" s="4">
        <v>0.59564971155642521</v>
      </c>
      <c r="BT7" s="4"/>
      <c r="BU7" s="4">
        <v>0.60010768221922617</v>
      </c>
      <c r="BV7" s="4"/>
      <c r="BW7" s="4">
        <v>0.60536507387933369</v>
      </c>
      <c r="BX7" s="4">
        <v>0.57884245175831506</v>
      </c>
      <c r="BY7" s="4">
        <v>0.66624579065108136</v>
      </c>
      <c r="BZ7" s="4"/>
      <c r="CA7" s="4"/>
      <c r="CB7" s="4"/>
      <c r="CC7" s="4"/>
      <c r="CD7" s="4"/>
      <c r="CE7" s="4"/>
      <c r="CF7" s="4"/>
      <c r="CG7" s="4"/>
      <c r="CH7" s="4"/>
      <c r="CI7" s="4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>
        <v>0.62679162637459385</v>
      </c>
      <c r="DC7" s="4">
        <v>0.69437919890389233</v>
      </c>
      <c r="DD7" s="4">
        <v>0.78562698225201077</v>
      </c>
      <c r="DE7" s="4">
        <v>0.65853844140852646</v>
      </c>
      <c r="DF7" s="4">
        <v>0.70836083386127702</v>
      </c>
      <c r="DG7" s="4">
        <v>0.70817138942462032</v>
      </c>
      <c r="DH7" s="4"/>
      <c r="DI7" s="4"/>
      <c r="DJ7" s="4"/>
      <c r="DK7" s="4"/>
      <c r="DL7" s="4"/>
      <c r="DM7" s="4">
        <v>0.73769411217781633</v>
      </c>
      <c r="DN7" s="4"/>
      <c r="DO7" s="4"/>
      <c r="DP7" s="4">
        <v>0.79391306746824641</v>
      </c>
      <c r="DQ7" s="3">
        <v>12.083530269136514</v>
      </c>
      <c r="DR7">
        <f t="shared" si="0"/>
        <v>18</v>
      </c>
      <c r="DS7" s="4">
        <f t="shared" si="1"/>
        <v>0.17142857142857143</v>
      </c>
    </row>
    <row r="8" spans="1:123" x14ac:dyDescent="0.25">
      <c r="A8" t="s">
        <v>11</v>
      </c>
      <c r="B8" t="s">
        <v>30</v>
      </c>
      <c r="C8" t="s">
        <v>31</v>
      </c>
      <c r="D8" t="s">
        <v>32</v>
      </c>
      <c r="E8" t="s">
        <v>33</v>
      </c>
      <c r="F8">
        <v>0.72582220381587637</v>
      </c>
      <c r="G8">
        <v>0.70164440763175273</v>
      </c>
      <c r="H8">
        <v>0.75</v>
      </c>
      <c r="I8">
        <v>13459606200</v>
      </c>
      <c r="J8">
        <v>12.65</v>
      </c>
      <c r="K8">
        <v>7</v>
      </c>
      <c r="O8" s="2" t="s">
        <v>469</v>
      </c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>
        <v>0.60843188201633869</v>
      </c>
      <c r="CU8" s="4"/>
      <c r="CV8" s="4"/>
      <c r="CW8" s="4"/>
      <c r="CX8" s="4"/>
      <c r="CY8" s="4"/>
      <c r="CZ8" s="4">
        <v>0.64997801362022645</v>
      </c>
      <c r="DA8" s="4"/>
      <c r="DB8" s="4"/>
      <c r="DC8" s="4">
        <v>0.76708173909613286</v>
      </c>
      <c r="DD8" s="4">
        <v>0.64637290289073135</v>
      </c>
      <c r="DE8" s="4">
        <v>0.7468332717883106</v>
      </c>
      <c r="DF8" s="4">
        <v>0.74692369863582841</v>
      </c>
      <c r="DG8" s="4">
        <v>0.77138959936020135</v>
      </c>
      <c r="DH8" s="4"/>
      <c r="DI8" s="4">
        <v>0.71829850605835233</v>
      </c>
      <c r="DJ8" s="4">
        <v>0.66220439848880952</v>
      </c>
      <c r="DK8" s="4">
        <v>0.73947187666132375</v>
      </c>
      <c r="DL8" s="4">
        <v>0.8460246110546511</v>
      </c>
      <c r="DM8" s="4">
        <v>0.74427570492428174</v>
      </c>
      <c r="DN8" s="4">
        <v>0.74621049416145113</v>
      </c>
      <c r="DO8" s="4"/>
      <c r="DP8" s="4"/>
      <c r="DQ8" s="3">
        <v>9.3934966987566408</v>
      </c>
      <c r="DR8">
        <f t="shared" si="0"/>
        <v>13</v>
      </c>
      <c r="DS8" s="4">
        <f t="shared" si="1"/>
        <v>0.12380952380952381</v>
      </c>
    </row>
    <row r="9" spans="1:123" x14ac:dyDescent="0.25">
      <c r="A9" t="s">
        <v>11</v>
      </c>
      <c r="B9" t="s">
        <v>34</v>
      </c>
      <c r="C9" t="s">
        <v>35</v>
      </c>
      <c r="D9" t="s">
        <v>14</v>
      </c>
      <c r="E9" t="s">
        <v>36</v>
      </c>
      <c r="F9">
        <v>0.70806511796229099</v>
      </c>
      <c r="G9">
        <v>0.91613023592458209</v>
      </c>
      <c r="H9">
        <v>0.5</v>
      </c>
      <c r="I9">
        <v>3866753800</v>
      </c>
      <c r="J9">
        <v>29.5</v>
      </c>
      <c r="K9">
        <v>8</v>
      </c>
      <c r="O9" s="2" t="s">
        <v>154</v>
      </c>
      <c r="P9" s="4"/>
      <c r="Q9" s="4"/>
      <c r="R9" s="4"/>
      <c r="S9" s="4"/>
      <c r="T9" s="4"/>
      <c r="U9" s="4"/>
      <c r="V9" s="4"/>
      <c r="W9" s="4"/>
      <c r="X9" s="4"/>
      <c r="Y9" s="4">
        <v>0.61141179295355408</v>
      </c>
      <c r="Z9" s="4">
        <v>0.78626283593048862</v>
      </c>
      <c r="AA9" s="4">
        <v>0.71602487622492039</v>
      </c>
      <c r="AB9" s="4">
        <v>0.81171073544205008</v>
      </c>
      <c r="AC9" s="4">
        <v>0.69622750731381156</v>
      </c>
      <c r="AD9" s="4">
        <v>0.68716496720492903</v>
      </c>
      <c r="AE9" s="4">
        <v>0.61194986442810917</v>
      </c>
      <c r="AF9" s="4">
        <v>0.63025585237494042</v>
      </c>
      <c r="AG9" s="4">
        <v>0.68644989735271422</v>
      </c>
      <c r="AH9" s="4"/>
      <c r="AI9" s="4"/>
      <c r="AJ9" s="4"/>
      <c r="AK9" s="4"/>
      <c r="AL9" s="4"/>
      <c r="AM9" s="4"/>
      <c r="AN9" s="4"/>
      <c r="AO9" s="4"/>
      <c r="AP9" s="4">
        <v>0.43761097446007019</v>
      </c>
      <c r="AQ9" s="4"/>
      <c r="AR9" s="4">
        <v>0.55031036739982642</v>
      </c>
      <c r="AS9" s="4"/>
      <c r="AT9" s="4"/>
      <c r="AU9" s="4"/>
      <c r="AV9" s="4">
        <v>0.55503106056160667</v>
      </c>
      <c r="AW9" s="4">
        <v>0.56524671284204842</v>
      </c>
      <c r="AX9" s="4"/>
      <c r="AY9" s="4"/>
      <c r="AZ9" s="4"/>
      <c r="BA9" s="4"/>
      <c r="BB9" s="4"/>
      <c r="BC9" s="4"/>
      <c r="BD9" s="4">
        <v>0.57870561638219153</v>
      </c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>
        <v>0.61481450976986118</v>
      </c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3">
        <v>9.5391775706411224</v>
      </c>
      <c r="DR9">
        <f t="shared" si="0"/>
        <v>15</v>
      </c>
      <c r="DS9" s="4">
        <f t="shared" si="1"/>
        <v>0.14285714285714285</v>
      </c>
    </row>
    <row r="10" spans="1:123" x14ac:dyDescent="0.25">
      <c r="A10" t="s">
        <v>11</v>
      </c>
      <c r="B10" t="s">
        <v>37</v>
      </c>
      <c r="C10" t="s">
        <v>38</v>
      </c>
      <c r="D10" t="s">
        <v>18</v>
      </c>
      <c r="E10" t="s">
        <v>39</v>
      </c>
      <c r="F10">
        <v>0.69918132514975573</v>
      </c>
      <c r="G10">
        <v>0.94836265029951139</v>
      </c>
      <c r="H10">
        <v>0.45</v>
      </c>
      <c r="I10">
        <v>5022888200</v>
      </c>
      <c r="J10">
        <v>40</v>
      </c>
      <c r="K10">
        <v>9</v>
      </c>
      <c r="O10" s="2" t="s">
        <v>118</v>
      </c>
      <c r="P10" s="4"/>
      <c r="Q10" s="4"/>
      <c r="R10" s="4"/>
      <c r="S10" s="4"/>
      <c r="T10" s="4"/>
      <c r="U10" s="4">
        <v>0.68661238189701967</v>
      </c>
      <c r="V10" s="4">
        <v>0.63705315748752223</v>
      </c>
      <c r="W10" s="4">
        <v>0.64905976096648477</v>
      </c>
      <c r="X10" s="4"/>
      <c r="Y10" s="4">
        <v>0.59678808101176239</v>
      </c>
      <c r="Z10" s="4">
        <v>0.64275084157064977</v>
      </c>
      <c r="AA10" s="4">
        <v>0.62829388888983506</v>
      </c>
      <c r="AB10" s="4">
        <v>0.63148226961774001</v>
      </c>
      <c r="AC10" s="4">
        <v>0.59297175221198417</v>
      </c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>
        <v>0.59440946666678718</v>
      </c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3">
        <v>5.659421600319785</v>
      </c>
      <c r="DR10">
        <f t="shared" si="0"/>
        <v>9</v>
      </c>
      <c r="DS10" s="4">
        <f t="shared" si="1"/>
        <v>8.5714285714285715E-2</v>
      </c>
    </row>
    <row r="11" spans="1:123" x14ac:dyDescent="0.25">
      <c r="A11" t="s">
        <v>11</v>
      </c>
      <c r="B11" t="s">
        <v>40</v>
      </c>
      <c r="C11" t="s">
        <v>41</v>
      </c>
      <c r="D11" t="s">
        <v>32</v>
      </c>
      <c r="E11" t="s">
        <v>42</v>
      </c>
      <c r="F11">
        <v>0.6888926428124964</v>
      </c>
      <c r="G11">
        <v>0.87778528562499281</v>
      </c>
      <c r="H11">
        <v>0.5</v>
      </c>
      <c r="I11">
        <v>11226644700</v>
      </c>
      <c r="J11">
        <v>16</v>
      </c>
      <c r="K11">
        <v>10</v>
      </c>
      <c r="O11" s="2" t="s">
        <v>266</v>
      </c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>
        <v>0.58518227039953385</v>
      </c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>
        <v>0.67627503873611927</v>
      </c>
      <c r="BF11" s="4">
        <v>0.62320250786429865</v>
      </c>
      <c r="BG11" s="4"/>
      <c r="BH11" s="4"/>
      <c r="BI11" s="4"/>
      <c r="BJ11" s="4"/>
      <c r="BK11" s="4">
        <v>0.59909208305250816</v>
      </c>
      <c r="BL11" s="4"/>
      <c r="BM11" s="4"/>
      <c r="BN11" s="4"/>
      <c r="BO11" s="4"/>
      <c r="BP11" s="4"/>
      <c r="BQ11" s="4"/>
      <c r="BR11" s="4">
        <v>0.55887549438088979</v>
      </c>
      <c r="BS11" s="4"/>
      <c r="BT11" s="4">
        <v>0.62347540187721329</v>
      </c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>
        <v>0.61554596816309803</v>
      </c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3">
        <v>4.2816487644736609</v>
      </c>
      <c r="DR11">
        <f t="shared" si="0"/>
        <v>7</v>
      </c>
      <c r="DS11" s="4">
        <f t="shared" si="1"/>
        <v>6.6666666666666666E-2</v>
      </c>
    </row>
    <row r="12" spans="1:123" x14ac:dyDescent="0.25">
      <c r="A12" t="s">
        <v>11</v>
      </c>
      <c r="B12" t="s">
        <v>43</v>
      </c>
      <c r="C12" t="s">
        <v>44</v>
      </c>
      <c r="D12" t="s">
        <v>14</v>
      </c>
      <c r="E12" t="s">
        <v>15</v>
      </c>
      <c r="F12">
        <v>0.68339008022991854</v>
      </c>
      <c r="G12">
        <v>0.91678016045983701</v>
      </c>
      <c r="H12">
        <v>0.45</v>
      </c>
      <c r="I12">
        <v>2020038200</v>
      </c>
      <c r="J12">
        <v>22.7</v>
      </c>
      <c r="K12">
        <v>11</v>
      </c>
      <c r="O12" s="2" t="s">
        <v>273</v>
      </c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>
        <v>0.54259173133514682</v>
      </c>
      <c r="AV12" s="4"/>
      <c r="AW12" s="4">
        <v>0.57027955505341232</v>
      </c>
      <c r="AX12" s="4">
        <v>0.64836144674008556</v>
      </c>
      <c r="AY12" s="4">
        <v>0.63848368532021782</v>
      </c>
      <c r="AZ12" s="4">
        <v>0.58464227344172159</v>
      </c>
      <c r="BA12" s="4">
        <v>0.58964431529110517</v>
      </c>
      <c r="BB12" s="4">
        <v>0.59917108676036612</v>
      </c>
      <c r="BC12" s="4">
        <v>0.64584824955641429</v>
      </c>
      <c r="BD12" s="4">
        <v>0.55461126307560427</v>
      </c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>
        <v>0.59162757755714324</v>
      </c>
      <c r="CE12" s="4">
        <v>0.60118140668904552</v>
      </c>
      <c r="CF12" s="4"/>
      <c r="CG12" s="4">
        <v>0.58098757936353995</v>
      </c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3">
        <v>7.147430170183803</v>
      </c>
      <c r="DR12">
        <f t="shared" si="0"/>
        <v>12</v>
      </c>
      <c r="DS12" s="4">
        <f t="shared" si="1"/>
        <v>0.11428571428571428</v>
      </c>
    </row>
    <row r="13" spans="1:123" x14ac:dyDescent="0.25">
      <c r="A13" t="s">
        <v>11</v>
      </c>
      <c r="B13" t="s">
        <v>45</v>
      </c>
      <c r="C13" t="s">
        <v>46</v>
      </c>
      <c r="D13" t="s">
        <v>14</v>
      </c>
      <c r="E13" t="s">
        <v>15</v>
      </c>
      <c r="F13">
        <v>0.68044655507101048</v>
      </c>
      <c r="G13">
        <v>0.96089311014202095</v>
      </c>
      <c r="H13">
        <v>0.4</v>
      </c>
      <c r="I13">
        <v>3235422400</v>
      </c>
      <c r="J13">
        <v>25.4</v>
      </c>
      <c r="K13">
        <v>12</v>
      </c>
      <c r="O13" s="2" t="s">
        <v>101</v>
      </c>
      <c r="P13" s="4"/>
      <c r="Q13" s="4"/>
      <c r="R13" s="4"/>
      <c r="S13" s="4">
        <v>0.65606311473850176</v>
      </c>
      <c r="T13" s="4">
        <v>0.71284460225660551</v>
      </c>
      <c r="U13" s="4">
        <v>0.64636026632581534</v>
      </c>
      <c r="V13" s="4">
        <v>0.68266566700597686</v>
      </c>
      <c r="W13" s="4">
        <v>0.65903302482195381</v>
      </c>
      <c r="X13" s="4">
        <v>0.65602801745865413</v>
      </c>
      <c r="Y13" s="4">
        <v>0.68921090948826569</v>
      </c>
      <c r="Z13" s="4">
        <v>0.66270205448679764</v>
      </c>
      <c r="AA13" s="4">
        <v>0.71774881739126994</v>
      </c>
      <c r="AB13" s="4">
        <v>0.56270101861128485</v>
      </c>
      <c r="AC13" s="4"/>
      <c r="AD13" s="4"/>
      <c r="AE13" s="4"/>
      <c r="AF13" s="4"/>
      <c r="AG13" s="4"/>
      <c r="AH13" s="4"/>
      <c r="AI13" s="4"/>
      <c r="AJ13" s="4"/>
      <c r="AK13" s="4"/>
      <c r="AL13" s="4">
        <v>0.79269364695998656</v>
      </c>
      <c r="AM13" s="4">
        <v>0.73582509768859761</v>
      </c>
      <c r="AN13" s="4">
        <v>0.64048311669673841</v>
      </c>
      <c r="AO13" s="4">
        <v>0.72768822301820324</v>
      </c>
      <c r="AP13" s="4">
        <v>0.62346669576438707</v>
      </c>
      <c r="AQ13" s="4">
        <v>0.70000925555237692</v>
      </c>
      <c r="AR13" s="4">
        <v>0.72461823181622154</v>
      </c>
      <c r="AS13" s="4">
        <v>0.67072628997733563</v>
      </c>
      <c r="AT13" s="4">
        <v>0.56811595987569175</v>
      </c>
      <c r="AU13" s="4"/>
      <c r="AV13" s="4">
        <v>0.56646518418991731</v>
      </c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3">
        <v>13.395449194124584</v>
      </c>
      <c r="DR13">
        <f t="shared" si="0"/>
        <v>20</v>
      </c>
      <c r="DS13" s="4">
        <f t="shared" si="1"/>
        <v>0.19047619047619047</v>
      </c>
    </row>
    <row r="14" spans="1:123" x14ac:dyDescent="0.25">
      <c r="A14" t="s">
        <v>11</v>
      </c>
      <c r="B14" t="s">
        <v>47</v>
      </c>
      <c r="C14" t="s">
        <v>48</v>
      </c>
      <c r="D14" t="s">
        <v>14</v>
      </c>
      <c r="E14" t="s">
        <v>29</v>
      </c>
      <c r="F14">
        <v>0.67681230140988713</v>
      </c>
      <c r="G14">
        <v>0.85362460281977426</v>
      </c>
      <c r="H14">
        <v>0.5</v>
      </c>
      <c r="I14">
        <v>7518086600</v>
      </c>
      <c r="J14">
        <v>9.1</v>
      </c>
      <c r="K14">
        <v>13</v>
      </c>
      <c r="O14" s="2" t="s">
        <v>312</v>
      </c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>
        <v>0.6787082573872365</v>
      </c>
      <c r="BE14" s="4">
        <v>0.65056267390067779</v>
      </c>
      <c r="BF14" s="4">
        <v>0.59495455155128185</v>
      </c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3">
        <v>1.924225482839196</v>
      </c>
      <c r="DR14">
        <f t="shared" si="0"/>
        <v>3</v>
      </c>
      <c r="DS14" s="4">
        <f t="shared" si="1"/>
        <v>2.8571428571428571E-2</v>
      </c>
    </row>
    <row r="15" spans="1:123" x14ac:dyDescent="0.25">
      <c r="A15" t="s">
        <v>11</v>
      </c>
      <c r="B15" t="s">
        <v>49</v>
      </c>
      <c r="C15" t="s">
        <v>50</v>
      </c>
      <c r="D15" t="s">
        <v>32</v>
      </c>
      <c r="E15" t="s">
        <v>39</v>
      </c>
      <c r="F15">
        <v>0.66935805299897011</v>
      </c>
      <c r="G15">
        <v>0.88871610599794015</v>
      </c>
      <c r="H15">
        <v>0.45</v>
      </c>
      <c r="I15">
        <v>138226879800</v>
      </c>
      <c r="J15">
        <v>30.4</v>
      </c>
      <c r="K15">
        <v>14</v>
      </c>
      <c r="O15" s="2" t="s">
        <v>247</v>
      </c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>
        <v>0.55950882781942801</v>
      </c>
      <c r="AR15" s="4">
        <v>0.57030004924844779</v>
      </c>
      <c r="AS15" s="4">
        <v>0.60290037464185131</v>
      </c>
      <c r="AT15" s="4">
        <v>0.54254590892669796</v>
      </c>
      <c r="AU15" s="4">
        <v>0.7459780703134673</v>
      </c>
      <c r="AV15" s="4"/>
      <c r="AW15" s="4">
        <v>0.69136152505227511</v>
      </c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>
        <v>0.5892965397517318</v>
      </c>
      <c r="BP15" s="4"/>
      <c r="BQ15" s="4"/>
      <c r="BR15" s="4"/>
      <c r="BS15" s="4"/>
      <c r="BT15" s="4">
        <v>0.58765837440884283</v>
      </c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3">
        <v>4.8895496701627419</v>
      </c>
      <c r="DR15">
        <f t="shared" si="0"/>
        <v>8</v>
      </c>
      <c r="DS15" s="4">
        <f t="shared" si="1"/>
        <v>7.6190476190476197E-2</v>
      </c>
    </row>
    <row r="16" spans="1:123" x14ac:dyDescent="0.25">
      <c r="A16" t="s">
        <v>11</v>
      </c>
      <c r="B16" t="s">
        <v>51</v>
      </c>
      <c r="C16" t="s">
        <v>52</v>
      </c>
      <c r="D16" t="s">
        <v>18</v>
      </c>
      <c r="E16" t="s">
        <v>26</v>
      </c>
      <c r="F16">
        <v>0.66844101696035096</v>
      </c>
      <c r="G16">
        <v>0.78688203392070188</v>
      </c>
      <c r="H16">
        <v>0.55000000000000004</v>
      </c>
      <c r="I16">
        <v>3005803800</v>
      </c>
      <c r="J16">
        <v>5.9</v>
      </c>
      <c r="K16">
        <v>15</v>
      </c>
      <c r="O16" s="2" t="s">
        <v>27</v>
      </c>
      <c r="P16" s="4">
        <v>0.74103354601464444</v>
      </c>
      <c r="Q16" s="4">
        <v>0.61223511134680009</v>
      </c>
      <c r="R16" s="4"/>
      <c r="S16" s="4">
        <v>0.66661942199432933</v>
      </c>
      <c r="T16" s="4">
        <v>0.6502786664091954</v>
      </c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>
        <v>0.66677304927294589</v>
      </c>
      <c r="AR16" s="4">
        <v>0.56269261009749627</v>
      </c>
      <c r="AS16" s="4"/>
      <c r="AT16" s="4">
        <v>0.54328433433514123</v>
      </c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3">
        <v>4.4429167394705527</v>
      </c>
      <c r="DR16">
        <f t="shared" si="0"/>
        <v>7</v>
      </c>
      <c r="DS16" s="4">
        <f t="shared" si="1"/>
        <v>6.6666666666666666E-2</v>
      </c>
    </row>
    <row r="17" spans="1:123" x14ac:dyDescent="0.25">
      <c r="A17" t="s">
        <v>11</v>
      </c>
      <c r="B17" t="s">
        <v>53</v>
      </c>
      <c r="C17" t="s">
        <v>54</v>
      </c>
      <c r="D17" t="s">
        <v>14</v>
      </c>
      <c r="E17" t="s">
        <v>39</v>
      </c>
      <c r="F17">
        <v>0.66825746212551218</v>
      </c>
      <c r="G17">
        <v>0.78651492425102432</v>
      </c>
      <c r="H17">
        <v>0.55000000000000004</v>
      </c>
      <c r="I17">
        <v>2673485400</v>
      </c>
      <c r="J17">
        <v>31.8</v>
      </c>
      <c r="K17">
        <v>16</v>
      </c>
      <c r="O17" s="2" t="s">
        <v>216</v>
      </c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>
        <v>0.55569147262088925</v>
      </c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3">
        <v>0.55569147262088925</v>
      </c>
      <c r="DR17">
        <f t="shared" si="0"/>
        <v>1</v>
      </c>
      <c r="DS17" s="4">
        <f t="shared" si="1"/>
        <v>9.5238095238095247E-3</v>
      </c>
    </row>
    <row r="18" spans="1:123" x14ac:dyDescent="0.25">
      <c r="A18" t="s">
        <v>11</v>
      </c>
      <c r="B18" t="s">
        <v>55</v>
      </c>
      <c r="C18" t="s">
        <v>56</v>
      </c>
      <c r="D18" t="s">
        <v>32</v>
      </c>
      <c r="E18" t="s">
        <v>29</v>
      </c>
      <c r="F18">
        <v>0.66744669804900203</v>
      </c>
      <c r="G18">
        <v>0.88489339609800399</v>
      </c>
      <c r="H18">
        <v>0.45</v>
      </c>
      <c r="I18">
        <v>25116725000</v>
      </c>
      <c r="J18">
        <v>39.1</v>
      </c>
      <c r="K18">
        <v>17</v>
      </c>
      <c r="O18" s="2" t="s">
        <v>99</v>
      </c>
      <c r="P18" s="4"/>
      <c r="Q18" s="4"/>
      <c r="R18" s="4"/>
      <c r="S18" s="4">
        <v>0.72872781005954756</v>
      </c>
      <c r="T18" s="4">
        <v>0.67974667465039595</v>
      </c>
      <c r="U18" s="4">
        <v>0.68203183549264879</v>
      </c>
      <c r="V18" s="4">
        <v>0.66842907404437579</v>
      </c>
      <c r="W18" s="4">
        <v>0.6519876474561157</v>
      </c>
      <c r="X18" s="4">
        <v>0.62059334023522039</v>
      </c>
      <c r="Y18" s="4"/>
      <c r="Z18" s="4">
        <v>0.64764122313914785</v>
      </c>
      <c r="AA18" s="4">
        <v>0.65113546863426586</v>
      </c>
      <c r="AB18" s="4">
        <v>0.64720768580302535</v>
      </c>
      <c r="AC18" s="4">
        <v>0.7004821517728983</v>
      </c>
      <c r="AD18" s="4">
        <v>0.70697219282781032</v>
      </c>
      <c r="AE18" s="4">
        <v>0.70334653124744761</v>
      </c>
      <c r="AF18" s="4">
        <v>0.60101669239234612</v>
      </c>
      <c r="AG18" s="4"/>
      <c r="AH18" s="4"/>
      <c r="AI18" s="4">
        <v>0.71900163425738217</v>
      </c>
      <c r="AJ18" s="4">
        <v>0.55155739250497704</v>
      </c>
      <c r="AK18" s="4">
        <v>0.58785680860153489</v>
      </c>
      <c r="AL18" s="4"/>
      <c r="AM18" s="4">
        <v>0.56779203497162323</v>
      </c>
      <c r="AN18" s="4">
        <v>0.64466927078984981</v>
      </c>
      <c r="AO18" s="4">
        <v>0.45720137035856051</v>
      </c>
      <c r="AP18" s="4"/>
      <c r="AQ18" s="4"/>
      <c r="AR18" s="4">
        <v>0.58775178721367971</v>
      </c>
      <c r="AS18" s="4">
        <v>0.55041208770505423</v>
      </c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3">
        <v>13.355560714157905</v>
      </c>
      <c r="DR18">
        <f t="shared" si="0"/>
        <v>21</v>
      </c>
      <c r="DS18" s="4">
        <f t="shared" si="1"/>
        <v>0.2</v>
      </c>
    </row>
    <row r="19" spans="1:123" x14ac:dyDescent="0.25">
      <c r="A19" t="s">
        <v>11</v>
      </c>
      <c r="B19" t="s">
        <v>57</v>
      </c>
      <c r="C19" t="s">
        <v>58</v>
      </c>
      <c r="D19" t="s">
        <v>32</v>
      </c>
      <c r="E19" t="s">
        <v>59</v>
      </c>
      <c r="F19">
        <v>0.66172204617050667</v>
      </c>
      <c r="G19">
        <v>0.92344409234101343</v>
      </c>
      <c r="H19">
        <v>0.4</v>
      </c>
      <c r="I19">
        <v>18080291600</v>
      </c>
      <c r="J19">
        <v>64</v>
      </c>
      <c r="K19">
        <v>18</v>
      </c>
      <c r="O19" s="2" t="s">
        <v>425</v>
      </c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>
        <v>0.6073881550655289</v>
      </c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3">
        <v>0.6073881550655289</v>
      </c>
      <c r="DR19">
        <f t="shared" si="0"/>
        <v>1</v>
      </c>
      <c r="DS19" s="4">
        <f t="shared" si="1"/>
        <v>9.5238095238095247E-3</v>
      </c>
    </row>
    <row r="20" spans="1:123" x14ac:dyDescent="0.25">
      <c r="A20" t="s">
        <v>11</v>
      </c>
      <c r="B20" t="s">
        <v>60</v>
      </c>
      <c r="C20" t="s">
        <v>61</v>
      </c>
      <c r="D20" t="s">
        <v>14</v>
      </c>
      <c r="E20" t="s">
        <v>62</v>
      </c>
      <c r="F20">
        <v>0.66133428068195466</v>
      </c>
      <c r="G20">
        <v>0.62266856136390936</v>
      </c>
      <c r="H20">
        <v>0.7</v>
      </c>
      <c r="I20">
        <v>8836931200</v>
      </c>
      <c r="J20">
        <v>18.3</v>
      </c>
      <c r="K20">
        <v>19</v>
      </c>
      <c r="O20" s="2" t="s">
        <v>388</v>
      </c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>
        <v>0.65859197930187863</v>
      </c>
      <c r="CB20" s="4">
        <v>0.68081475946330205</v>
      </c>
      <c r="CC20" s="4">
        <v>0.72796261196374112</v>
      </c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>
        <v>0.5610005276520027</v>
      </c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3">
        <v>2.6283698783809246</v>
      </c>
      <c r="DR20">
        <f t="shared" si="0"/>
        <v>4</v>
      </c>
      <c r="DS20" s="4">
        <f t="shared" si="1"/>
        <v>3.8095238095238099E-2</v>
      </c>
    </row>
    <row r="21" spans="1:123" x14ac:dyDescent="0.25">
      <c r="A21" t="s">
        <v>11</v>
      </c>
      <c r="B21" t="s">
        <v>63</v>
      </c>
      <c r="C21" t="s">
        <v>64</v>
      </c>
      <c r="D21" t="s">
        <v>32</v>
      </c>
      <c r="E21" t="s">
        <v>33</v>
      </c>
      <c r="F21">
        <v>0.66025850610101866</v>
      </c>
      <c r="G21">
        <v>0.92051701220203719</v>
      </c>
      <c r="H21">
        <v>0.4</v>
      </c>
      <c r="I21">
        <v>8026520600</v>
      </c>
      <c r="J21">
        <v>239</v>
      </c>
      <c r="K21">
        <v>20</v>
      </c>
      <c r="O21" s="2" t="s">
        <v>540</v>
      </c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>
        <v>0.71918184040511746</v>
      </c>
      <c r="DQ21" s="3">
        <v>0.71918184040511746</v>
      </c>
      <c r="DR21">
        <f t="shared" si="0"/>
        <v>1</v>
      </c>
      <c r="DS21" s="4">
        <f t="shared" si="1"/>
        <v>9.5238095238095247E-3</v>
      </c>
    </row>
    <row r="22" spans="1:123" x14ac:dyDescent="0.25">
      <c r="A22" t="s">
        <v>65</v>
      </c>
      <c r="B22" t="s">
        <v>12</v>
      </c>
      <c r="C22" t="s">
        <v>13</v>
      </c>
      <c r="D22" t="s">
        <v>14</v>
      </c>
      <c r="E22" t="s">
        <v>15</v>
      </c>
      <c r="F22">
        <v>0.87604969491202911</v>
      </c>
      <c r="G22">
        <v>0.95209938982405817</v>
      </c>
      <c r="H22">
        <v>0.8</v>
      </c>
      <c r="I22">
        <v>36965968400</v>
      </c>
      <c r="J22">
        <v>20.100000000000001</v>
      </c>
      <c r="K22">
        <v>1</v>
      </c>
      <c r="O22" s="2" t="s">
        <v>371</v>
      </c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>
        <v>0.60872555255646588</v>
      </c>
      <c r="BX22" s="4">
        <v>0.71001525107078556</v>
      </c>
      <c r="BY22" s="4">
        <v>0.66975598672448888</v>
      </c>
      <c r="BZ22" s="4">
        <v>0.6209013556354519</v>
      </c>
      <c r="CA22" s="4"/>
      <c r="CB22" s="4"/>
      <c r="CC22" s="4">
        <v>0.66897465938947831</v>
      </c>
      <c r="CD22" s="4"/>
      <c r="CE22" s="4"/>
      <c r="CF22" s="4"/>
      <c r="CG22" s="4"/>
      <c r="CH22" s="4">
        <v>0.63240898907894449</v>
      </c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>
        <v>0.65672032482981657</v>
      </c>
      <c r="DG22" s="4">
        <v>0.68752767433369466</v>
      </c>
      <c r="DH22" s="4">
        <v>0.7274232013687707</v>
      </c>
      <c r="DI22" s="4">
        <v>0.70605649375150015</v>
      </c>
      <c r="DJ22" s="4">
        <v>0.72403660111541901</v>
      </c>
      <c r="DK22" s="4">
        <v>0.69452448712303427</v>
      </c>
      <c r="DL22" s="4">
        <v>0.73158413151580182</v>
      </c>
      <c r="DM22" s="4"/>
      <c r="DN22" s="4">
        <v>0.73013923860436536</v>
      </c>
      <c r="DO22" s="4"/>
      <c r="DP22" s="4"/>
      <c r="DQ22" s="3">
        <v>9.568793947098019</v>
      </c>
      <c r="DR22">
        <f t="shared" si="0"/>
        <v>14</v>
      </c>
      <c r="DS22" s="4">
        <f t="shared" si="1"/>
        <v>0.13333333333333333</v>
      </c>
    </row>
    <row r="23" spans="1:123" x14ac:dyDescent="0.25">
      <c r="A23" t="s">
        <v>65</v>
      </c>
      <c r="B23" t="s">
        <v>16</v>
      </c>
      <c r="C23" t="s">
        <v>17</v>
      </c>
      <c r="D23" t="s">
        <v>18</v>
      </c>
      <c r="E23" t="s">
        <v>15</v>
      </c>
      <c r="F23">
        <v>0.8112272836570058</v>
      </c>
      <c r="G23">
        <v>0.82245456731401145</v>
      </c>
      <c r="H23">
        <v>0.8</v>
      </c>
      <c r="I23">
        <v>16099421000</v>
      </c>
      <c r="J23">
        <v>218.5</v>
      </c>
      <c r="K23">
        <v>2</v>
      </c>
      <c r="O23" s="2" t="s">
        <v>219</v>
      </c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>
        <v>0.66466790059317171</v>
      </c>
      <c r="AK23" s="4">
        <v>0.64685274568899553</v>
      </c>
      <c r="AL23" s="4">
        <v>0.72495352226734899</v>
      </c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3">
        <v>2.0364741685495162</v>
      </c>
      <c r="DR23">
        <f t="shared" si="0"/>
        <v>3</v>
      </c>
      <c r="DS23" s="4">
        <f t="shared" si="1"/>
        <v>2.8571428571428571E-2</v>
      </c>
    </row>
    <row r="24" spans="1:123" x14ac:dyDescent="0.25">
      <c r="A24" t="s">
        <v>65</v>
      </c>
      <c r="B24" t="s">
        <v>24</v>
      </c>
      <c r="C24" t="s">
        <v>25</v>
      </c>
      <c r="D24" t="s">
        <v>18</v>
      </c>
      <c r="E24" t="s">
        <v>26</v>
      </c>
      <c r="F24">
        <v>0.75204259783065996</v>
      </c>
      <c r="G24">
        <v>0.90408519566131984</v>
      </c>
      <c r="H24">
        <v>0.6</v>
      </c>
      <c r="I24">
        <v>5656446600</v>
      </c>
      <c r="J24">
        <v>13.2</v>
      </c>
      <c r="K24">
        <v>3</v>
      </c>
      <c r="O24" s="2" t="s">
        <v>348</v>
      </c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>
        <v>0.57864659750348268</v>
      </c>
      <c r="BP24" s="4">
        <v>0.60440355924738354</v>
      </c>
      <c r="BQ24" s="4">
        <v>0.68468054279413137</v>
      </c>
      <c r="BR24" s="4">
        <v>0.71946613565315098</v>
      </c>
      <c r="BS24" s="4">
        <v>0.75537920483856058</v>
      </c>
      <c r="BT24" s="4">
        <v>0.77754527855043354</v>
      </c>
      <c r="BU24" s="4">
        <v>0.74824648002365857</v>
      </c>
      <c r="BV24" s="4">
        <v>0.66564300416142386</v>
      </c>
      <c r="BW24" s="4">
        <v>0.67264533628416867</v>
      </c>
      <c r="BX24" s="4">
        <v>0.57980829128180023</v>
      </c>
      <c r="BY24" s="4">
        <v>0.71087143765609151</v>
      </c>
      <c r="BZ24" s="4">
        <v>0.62199655112567143</v>
      </c>
      <c r="CA24" s="4">
        <v>0.64262562326621242</v>
      </c>
      <c r="CB24" s="4">
        <v>0.6178193957684508</v>
      </c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  <c r="DM24" s="4"/>
      <c r="DN24" s="4"/>
      <c r="DO24" s="4"/>
      <c r="DP24" s="4"/>
      <c r="DQ24" s="3">
        <v>9.3797774381546226</v>
      </c>
      <c r="DR24">
        <f t="shared" si="0"/>
        <v>14</v>
      </c>
      <c r="DS24" s="4">
        <f t="shared" si="1"/>
        <v>0.13333333333333333</v>
      </c>
    </row>
    <row r="25" spans="1:123" x14ac:dyDescent="0.25">
      <c r="A25" t="s">
        <v>65</v>
      </c>
      <c r="B25" t="s">
        <v>45</v>
      </c>
      <c r="C25" t="s">
        <v>46</v>
      </c>
      <c r="D25" t="s">
        <v>14</v>
      </c>
      <c r="E25" t="s">
        <v>15</v>
      </c>
      <c r="F25">
        <v>0.7240680880760153</v>
      </c>
      <c r="G25">
        <v>0.9481361761520305</v>
      </c>
      <c r="H25">
        <v>0.5</v>
      </c>
      <c r="I25">
        <v>3311780000</v>
      </c>
      <c r="J25">
        <v>23.8</v>
      </c>
      <c r="K25">
        <v>4</v>
      </c>
      <c r="O25" s="2" t="s">
        <v>60</v>
      </c>
      <c r="P25" s="4">
        <v>0.66133428068195466</v>
      </c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3">
        <v>0.66133428068195466</v>
      </c>
      <c r="DR25">
        <f t="shared" si="0"/>
        <v>1</v>
      </c>
      <c r="DS25" s="4">
        <f t="shared" si="1"/>
        <v>9.5238095238095247E-3</v>
      </c>
    </row>
    <row r="26" spans="1:123" x14ac:dyDescent="0.25">
      <c r="A26" t="s">
        <v>65</v>
      </c>
      <c r="B26" t="s">
        <v>21</v>
      </c>
      <c r="C26" t="s">
        <v>22</v>
      </c>
      <c r="D26" t="s">
        <v>14</v>
      </c>
      <c r="E26" t="s">
        <v>23</v>
      </c>
      <c r="F26">
        <v>0.6978830983343266</v>
      </c>
      <c r="G26">
        <v>0.69576619666865325</v>
      </c>
      <c r="H26">
        <v>0.7</v>
      </c>
      <c r="I26">
        <v>4977690200</v>
      </c>
      <c r="J26">
        <v>9</v>
      </c>
      <c r="K26">
        <v>5</v>
      </c>
      <c r="O26" s="2" t="s">
        <v>447</v>
      </c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>
        <v>0.60981788473938847</v>
      </c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  <c r="DM26" s="4"/>
      <c r="DN26" s="4"/>
      <c r="DO26" s="4"/>
      <c r="DP26" s="4"/>
      <c r="DQ26" s="3">
        <v>0.60981788473938847</v>
      </c>
      <c r="DR26">
        <f t="shared" si="0"/>
        <v>1</v>
      </c>
      <c r="DS26" s="4">
        <f t="shared" si="1"/>
        <v>9.5238095238095247E-3</v>
      </c>
    </row>
    <row r="27" spans="1:123" x14ac:dyDescent="0.25">
      <c r="A27" t="s">
        <v>65</v>
      </c>
      <c r="B27" t="s">
        <v>66</v>
      </c>
      <c r="C27" t="s">
        <v>67</v>
      </c>
      <c r="D27" t="s">
        <v>14</v>
      </c>
      <c r="E27" t="s">
        <v>39</v>
      </c>
      <c r="F27">
        <v>0.67724181086231128</v>
      </c>
      <c r="G27">
        <v>0.8044836217246224</v>
      </c>
      <c r="H27">
        <v>0.55000000000000004</v>
      </c>
      <c r="I27">
        <v>43190004200</v>
      </c>
      <c r="J27">
        <v>7.7</v>
      </c>
      <c r="K27">
        <v>6</v>
      </c>
      <c r="O27" s="2" t="s">
        <v>232</v>
      </c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>
        <v>0.55977727706630032</v>
      </c>
      <c r="AP27" s="4"/>
      <c r="AQ27" s="4">
        <v>0.53364703592810636</v>
      </c>
      <c r="AR27" s="4">
        <v>0.55187928232752015</v>
      </c>
      <c r="AS27" s="4">
        <v>0.57168983130315398</v>
      </c>
      <c r="AT27" s="4">
        <v>0.58591774214759229</v>
      </c>
      <c r="AU27" s="4">
        <v>0.58083226013137002</v>
      </c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>
        <v>0.71643651443916112</v>
      </c>
      <c r="CG27" s="4">
        <v>0.65797692297067212</v>
      </c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>
        <v>0.60657987990286011</v>
      </c>
      <c r="CZ27" s="4"/>
      <c r="DA27" s="4"/>
      <c r="DB27" s="4">
        <v>0.74874842470470282</v>
      </c>
      <c r="DC27" s="4">
        <v>0.70157290613487522</v>
      </c>
      <c r="DD27" s="4">
        <v>0.66535571449089037</v>
      </c>
      <c r="DE27" s="4">
        <v>0.6934904922810381</v>
      </c>
      <c r="DF27" s="4"/>
      <c r="DG27" s="4"/>
      <c r="DH27" s="4"/>
      <c r="DI27" s="4"/>
      <c r="DJ27" s="4"/>
      <c r="DK27" s="4"/>
      <c r="DL27" s="4"/>
      <c r="DM27" s="4"/>
      <c r="DN27" s="4">
        <v>0.77618822446011282</v>
      </c>
      <c r="DO27" s="4">
        <v>0.68342300860357463</v>
      </c>
      <c r="DP27" s="4">
        <v>0.75330598341674992</v>
      </c>
      <c r="DQ27" s="3">
        <v>10.386821500308679</v>
      </c>
      <c r="DR27">
        <f t="shared" si="0"/>
        <v>16</v>
      </c>
      <c r="DS27" s="4">
        <f t="shared" si="1"/>
        <v>0.15238095238095239</v>
      </c>
    </row>
    <row r="28" spans="1:123" x14ac:dyDescent="0.25">
      <c r="A28" t="s">
        <v>65</v>
      </c>
      <c r="B28" t="s">
        <v>37</v>
      </c>
      <c r="C28" t="s">
        <v>38</v>
      </c>
      <c r="D28" t="s">
        <v>18</v>
      </c>
      <c r="E28" t="s">
        <v>39</v>
      </c>
      <c r="F28">
        <v>0.6694469606699569</v>
      </c>
      <c r="G28">
        <v>0.93889392133991389</v>
      </c>
      <c r="H28">
        <v>0.4</v>
      </c>
      <c r="I28">
        <v>5006227000</v>
      </c>
      <c r="J28">
        <v>40</v>
      </c>
      <c r="K28">
        <v>7</v>
      </c>
      <c r="O28" s="2" t="s">
        <v>392</v>
      </c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>
        <v>0.62168705673760727</v>
      </c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>
        <v>0.56788085863802706</v>
      </c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3">
        <v>1.1895679153756342</v>
      </c>
      <c r="DR28">
        <f t="shared" si="0"/>
        <v>2</v>
      </c>
      <c r="DS28" s="4">
        <f t="shared" si="1"/>
        <v>1.9047619047619049E-2</v>
      </c>
    </row>
    <row r="29" spans="1:123" x14ac:dyDescent="0.25">
      <c r="A29" t="s">
        <v>65</v>
      </c>
      <c r="B29" t="s">
        <v>43</v>
      </c>
      <c r="C29" t="s">
        <v>44</v>
      </c>
      <c r="D29" t="s">
        <v>14</v>
      </c>
      <c r="E29" t="s">
        <v>15</v>
      </c>
      <c r="F29">
        <v>0.66746277191546655</v>
      </c>
      <c r="G29">
        <v>0.88492554383093303</v>
      </c>
      <c r="H29">
        <v>0.45</v>
      </c>
      <c r="I29">
        <v>2041853000</v>
      </c>
      <c r="J29">
        <v>21</v>
      </c>
      <c r="K29">
        <v>8</v>
      </c>
      <c r="O29" s="2" t="s">
        <v>90</v>
      </c>
      <c r="P29" s="4"/>
      <c r="Q29" s="4"/>
      <c r="R29" s="4">
        <v>0.66331612503127457</v>
      </c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3">
        <v>0.66331612503127457</v>
      </c>
      <c r="DR29">
        <f t="shared" si="0"/>
        <v>1</v>
      </c>
      <c r="DS29" s="4">
        <f t="shared" si="1"/>
        <v>9.5238095238095247E-3</v>
      </c>
    </row>
    <row r="30" spans="1:123" x14ac:dyDescent="0.25">
      <c r="A30" t="s">
        <v>65</v>
      </c>
      <c r="B30" t="s">
        <v>68</v>
      </c>
      <c r="C30" t="s">
        <v>69</v>
      </c>
      <c r="D30" t="s">
        <v>32</v>
      </c>
      <c r="E30" t="s">
        <v>33</v>
      </c>
      <c r="F30">
        <v>0.66324478235572437</v>
      </c>
      <c r="G30">
        <v>0.7764895647114487</v>
      </c>
      <c r="H30">
        <v>0.55000000000000004</v>
      </c>
      <c r="I30">
        <v>10011708300</v>
      </c>
      <c r="J30">
        <v>13.4</v>
      </c>
      <c r="K30">
        <v>9</v>
      </c>
      <c r="O30" s="2" t="s">
        <v>294</v>
      </c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>
        <v>0.60094230174314389</v>
      </c>
      <c r="BA30" s="4">
        <v>0.58918554385067434</v>
      </c>
      <c r="BB30" s="4">
        <v>0.59498628450663427</v>
      </c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4"/>
      <c r="DL30" s="4"/>
      <c r="DM30" s="4"/>
      <c r="DN30" s="4"/>
      <c r="DO30" s="4"/>
      <c r="DP30" s="4"/>
      <c r="DQ30" s="3">
        <v>1.7851141301004525</v>
      </c>
      <c r="DR30">
        <f t="shared" si="0"/>
        <v>3</v>
      </c>
      <c r="DS30" s="4">
        <f t="shared" si="1"/>
        <v>2.8571428571428571E-2</v>
      </c>
    </row>
    <row r="31" spans="1:123" x14ac:dyDescent="0.25">
      <c r="A31" t="s">
        <v>65</v>
      </c>
      <c r="B31" t="s">
        <v>70</v>
      </c>
      <c r="C31" t="s">
        <v>71</v>
      </c>
      <c r="D31" t="s">
        <v>32</v>
      </c>
      <c r="E31" t="s">
        <v>33</v>
      </c>
      <c r="F31">
        <v>0.64764236912735862</v>
      </c>
      <c r="G31">
        <v>0.89528473825471722</v>
      </c>
      <c r="H31">
        <v>0.4</v>
      </c>
      <c r="I31">
        <v>12361176100</v>
      </c>
      <c r="J31">
        <v>6.45</v>
      </c>
      <c r="K31">
        <v>10</v>
      </c>
      <c r="O31" s="2" t="s">
        <v>72</v>
      </c>
      <c r="P31" s="4"/>
      <c r="Q31" s="4">
        <v>0.64094876218612828</v>
      </c>
      <c r="R31" s="4">
        <v>0.65454869553950812</v>
      </c>
      <c r="S31" s="4"/>
      <c r="T31" s="4">
        <v>0.71468385501176102</v>
      </c>
      <c r="U31" s="4">
        <v>0.67971054534195363</v>
      </c>
      <c r="V31" s="4">
        <v>0.64173625831277259</v>
      </c>
      <c r="W31" s="4">
        <v>0.67630194821803358</v>
      </c>
      <c r="X31" s="4">
        <v>0.62979555186437353</v>
      </c>
      <c r="Y31" s="4">
        <v>0.63022394919588254</v>
      </c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3">
        <v>5.2679495656704134</v>
      </c>
      <c r="DR31">
        <f t="shared" si="0"/>
        <v>8</v>
      </c>
      <c r="DS31" s="4">
        <f t="shared" si="1"/>
        <v>7.6190476190476197E-2</v>
      </c>
    </row>
    <row r="32" spans="1:123" x14ac:dyDescent="0.25">
      <c r="A32" t="s">
        <v>65</v>
      </c>
      <c r="B32" t="s">
        <v>72</v>
      </c>
      <c r="C32" t="s">
        <v>73</v>
      </c>
      <c r="D32" t="s">
        <v>32</v>
      </c>
      <c r="E32" t="s">
        <v>74</v>
      </c>
      <c r="F32">
        <v>0.64094876218612828</v>
      </c>
      <c r="G32">
        <v>0.73189752437225664</v>
      </c>
      <c r="H32">
        <v>0.55000000000000004</v>
      </c>
      <c r="I32">
        <v>264875875500</v>
      </c>
      <c r="J32">
        <v>41.6</v>
      </c>
      <c r="K32">
        <v>11</v>
      </c>
      <c r="O32" s="2" t="s">
        <v>143</v>
      </c>
      <c r="P32" s="4"/>
      <c r="Q32" s="4"/>
      <c r="R32" s="4"/>
      <c r="S32" s="4"/>
      <c r="T32" s="4"/>
      <c r="U32" s="4"/>
      <c r="V32" s="4"/>
      <c r="W32" s="4"/>
      <c r="X32" s="4">
        <v>0.64250918927308875</v>
      </c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>
        <v>0.72929396770571153</v>
      </c>
      <c r="CD32" s="4">
        <v>0.67935410914324579</v>
      </c>
      <c r="CE32" s="4"/>
      <c r="CF32" s="4">
        <v>0.65050802292412868</v>
      </c>
      <c r="CG32" s="4">
        <v>0.67911440111634236</v>
      </c>
      <c r="CH32" s="4"/>
      <c r="CI32" s="4"/>
      <c r="CJ32" s="4"/>
      <c r="CK32" s="4"/>
      <c r="CL32" s="4"/>
      <c r="CM32" s="4"/>
      <c r="CN32" s="4">
        <v>0.62799197278305596</v>
      </c>
      <c r="CO32" s="4"/>
      <c r="CP32" s="4"/>
      <c r="CQ32" s="4"/>
      <c r="CR32" s="4"/>
      <c r="CS32" s="4"/>
      <c r="CT32" s="4"/>
      <c r="CU32" s="4"/>
      <c r="CV32" s="4"/>
      <c r="CW32" s="4"/>
      <c r="CX32" s="4"/>
      <c r="CY32" s="4"/>
      <c r="CZ32" s="4">
        <v>0.58328093303336637</v>
      </c>
      <c r="DA32" s="4"/>
      <c r="DB32" s="4"/>
      <c r="DC32" s="4"/>
      <c r="DD32" s="4"/>
      <c r="DE32" s="4"/>
      <c r="DF32" s="4"/>
      <c r="DG32" s="4"/>
      <c r="DH32" s="4"/>
      <c r="DI32" s="4"/>
      <c r="DJ32" s="4"/>
      <c r="DK32" s="4"/>
      <c r="DL32" s="4"/>
      <c r="DM32" s="4"/>
      <c r="DN32" s="4"/>
      <c r="DO32" s="4"/>
      <c r="DP32" s="4"/>
      <c r="DQ32" s="3">
        <v>4.5920525959789389</v>
      </c>
      <c r="DR32">
        <f t="shared" si="0"/>
        <v>7</v>
      </c>
      <c r="DS32" s="4">
        <f t="shared" si="1"/>
        <v>6.6666666666666666E-2</v>
      </c>
    </row>
    <row r="33" spans="1:123" x14ac:dyDescent="0.25">
      <c r="A33" t="s">
        <v>65</v>
      </c>
      <c r="B33" t="s">
        <v>19</v>
      </c>
      <c r="C33" t="s">
        <v>20</v>
      </c>
      <c r="D33" t="s">
        <v>18</v>
      </c>
      <c r="E33" t="s">
        <v>15</v>
      </c>
      <c r="F33">
        <v>0.63604816430064726</v>
      </c>
      <c r="G33">
        <v>0.87209632860129438</v>
      </c>
      <c r="H33">
        <v>0.4</v>
      </c>
      <c r="I33">
        <v>2565149400</v>
      </c>
      <c r="J33">
        <v>305</v>
      </c>
      <c r="K33">
        <v>12</v>
      </c>
      <c r="O33" s="2" t="s">
        <v>37</v>
      </c>
      <c r="P33" s="4">
        <v>0.69918132514975573</v>
      </c>
      <c r="Q33" s="4">
        <v>0.6694469606699569</v>
      </c>
      <c r="R33" s="4">
        <v>0.61898881242055093</v>
      </c>
      <c r="S33" s="4">
        <v>0.64740583798101148</v>
      </c>
      <c r="T33" s="4">
        <v>0.72125979962253428</v>
      </c>
      <c r="U33" s="4"/>
      <c r="V33" s="4">
        <v>0.66652657242365443</v>
      </c>
      <c r="W33" s="4">
        <v>0.7275811830337231</v>
      </c>
      <c r="X33" s="4">
        <v>0.76514510951873693</v>
      </c>
      <c r="Y33" s="4">
        <v>0.63772961059049904</v>
      </c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"/>
      <c r="CS33" s="4"/>
      <c r="CT33" s="4"/>
      <c r="CU33" s="4"/>
      <c r="CV33" s="4"/>
      <c r="CW33" s="4"/>
      <c r="CX33" s="4"/>
      <c r="CY33" s="4"/>
      <c r="CZ33" s="4"/>
      <c r="DA33" s="4"/>
      <c r="DB33" s="4"/>
      <c r="DC33" s="4"/>
      <c r="DD33" s="4"/>
      <c r="DE33" s="4"/>
      <c r="DF33" s="4"/>
      <c r="DG33" s="4"/>
      <c r="DH33" s="4"/>
      <c r="DI33" s="4"/>
      <c r="DJ33" s="4"/>
      <c r="DK33" s="4"/>
      <c r="DL33" s="4"/>
      <c r="DM33" s="4"/>
      <c r="DN33" s="4"/>
      <c r="DO33" s="4"/>
      <c r="DP33" s="4"/>
      <c r="DQ33" s="3">
        <v>6.1532652114104227</v>
      </c>
      <c r="DR33">
        <f t="shared" si="0"/>
        <v>9</v>
      </c>
      <c r="DS33" s="4">
        <f t="shared" si="1"/>
        <v>8.5714285714285715E-2</v>
      </c>
    </row>
    <row r="34" spans="1:123" x14ac:dyDescent="0.25">
      <c r="A34" t="s">
        <v>65</v>
      </c>
      <c r="B34" t="s">
        <v>57</v>
      </c>
      <c r="C34" t="s">
        <v>58</v>
      </c>
      <c r="D34" t="s">
        <v>32</v>
      </c>
      <c r="E34" t="s">
        <v>59</v>
      </c>
      <c r="F34">
        <v>0.63052032683717896</v>
      </c>
      <c r="G34">
        <v>0.96104065367435798</v>
      </c>
      <c r="H34">
        <v>0.3</v>
      </c>
      <c r="I34">
        <v>19371070400</v>
      </c>
      <c r="J34">
        <v>66</v>
      </c>
      <c r="K34">
        <v>13</v>
      </c>
      <c r="O34" s="2" t="s">
        <v>55</v>
      </c>
      <c r="P34" s="4">
        <v>0.66744669804900203</v>
      </c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"/>
      <c r="CS34" s="4"/>
      <c r="CT34" s="4"/>
      <c r="CU34" s="4"/>
      <c r="CV34" s="4"/>
      <c r="CW34" s="4"/>
      <c r="CX34" s="4"/>
      <c r="CY34" s="4"/>
      <c r="CZ34" s="4"/>
      <c r="DA34" s="4"/>
      <c r="DB34" s="4"/>
      <c r="DC34" s="4"/>
      <c r="DD34" s="4"/>
      <c r="DE34" s="4"/>
      <c r="DF34" s="4"/>
      <c r="DG34" s="4"/>
      <c r="DH34" s="4"/>
      <c r="DI34" s="4"/>
      <c r="DJ34" s="4">
        <v>0.69961889356422147</v>
      </c>
      <c r="DK34" s="4">
        <v>0.67401179789210108</v>
      </c>
      <c r="DL34" s="4">
        <v>0.74119082865722086</v>
      </c>
      <c r="DM34" s="4"/>
      <c r="DN34" s="4"/>
      <c r="DO34" s="4">
        <v>0.68495171159191937</v>
      </c>
      <c r="DP34" s="4">
        <v>0.67977549984968733</v>
      </c>
      <c r="DQ34" s="3">
        <v>4.1469954296041518</v>
      </c>
      <c r="DR34">
        <f t="shared" si="0"/>
        <v>6</v>
      </c>
      <c r="DS34" s="4">
        <f t="shared" si="1"/>
        <v>5.7142857142857141E-2</v>
      </c>
    </row>
    <row r="35" spans="1:123" x14ac:dyDescent="0.25">
      <c r="A35" t="s">
        <v>65</v>
      </c>
      <c r="B35" t="s">
        <v>34</v>
      </c>
      <c r="C35" t="s">
        <v>35</v>
      </c>
      <c r="D35" t="s">
        <v>14</v>
      </c>
      <c r="E35" t="s">
        <v>36</v>
      </c>
      <c r="F35">
        <v>0.62603202248794676</v>
      </c>
      <c r="G35">
        <v>0.85206404497589339</v>
      </c>
      <c r="H35">
        <v>0.4</v>
      </c>
      <c r="I35">
        <v>3976796200</v>
      </c>
      <c r="J35">
        <v>28.6</v>
      </c>
      <c r="K35">
        <v>14</v>
      </c>
      <c r="O35" s="2" t="s">
        <v>206</v>
      </c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>
        <v>0.54907495792124184</v>
      </c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>
        <v>0.63274084880048886</v>
      </c>
      <c r="BJ35" s="4">
        <v>0.65894622189574381</v>
      </c>
      <c r="BK35" s="4">
        <v>0.60046091984756811</v>
      </c>
      <c r="BL35" s="4"/>
      <c r="BM35" s="4">
        <v>0.61072711917760114</v>
      </c>
      <c r="BN35" s="4">
        <v>0.62143872308661718</v>
      </c>
      <c r="BO35" s="4">
        <v>0.63826128008899596</v>
      </c>
      <c r="BP35" s="4">
        <v>0.5994508834954716</v>
      </c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"/>
      <c r="CS35" s="4"/>
      <c r="CT35" s="4"/>
      <c r="CU35" s="4"/>
      <c r="CV35" s="4"/>
      <c r="CW35" s="4"/>
      <c r="CX35" s="4"/>
      <c r="CY35" s="4"/>
      <c r="CZ35" s="4"/>
      <c r="DA35" s="4"/>
      <c r="DB35" s="4"/>
      <c r="DC35" s="4"/>
      <c r="DD35" s="4"/>
      <c r="DE35" s="4"/>
      <c r="DF35" s="4"/>
      <c r="DG35" s="4"/>
      <c r="DH35" s="4"/>
      <c r="DI35" s="4"/>
      <c r="DJ35" s="4"/>
      <c r="DK35" s="4"/>
      <c r="DL35" s="4"/>
      <c r="DM35" s="4"/>
      <c r="DN35" s="4"/>
      <c r="DO35" s="4"/>
      <c r="DP35" s="4"/>
      <c r="DQ35" s="3">
        <v>4.9111009543137278</v>
      </c>
      <c r="DR35">
        <f t="shared" si="0"/>
        <v>8</v>
      </c>
      <c r="DS35" s="4">
        <f t="shared" si="1"/>
        <v>7.6190476190476197E-2</v>
      </c>
    </row>
    <row r="36" spans="1:123" x14ac:dyDescent="0.25">
      <c r="A36" t="s">
        <v>65</v>
      </c>
      <c r="B36" t="s">
        <v>47</v>
      </c>
      <c r="C36" t="s">
        <v>48</v>
      </c>
      <c r="D36" t="s">
        <v>14</v>
      </c>
      <c r="E36" t="s">
        <v>29</v>
      </c>
      <c r="F36">
        <v>0.62592632218721733</v>
      </c>
      <c r="G36">
        <v>0.75185264437443478</v>
      </c>
      <c r="H36">
        <v>0.5</v>
      </c>
      <c r="I36">
        <v>7623392400</v>
      </c>
      <c r="J36">
        <v>8.9</v>
      </c>
      <c r="K36">
        <v>15</v>
      </c>
      <c r="O36" s="2" t="s">
        <v>49</v>
      </c>
      <c r="P36" s="4">
        <v>0.66935805299897011</v>
      </c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"/>
      <c r="CS36" s="4"/>
      <c r="CT36" s="4"/>
      <c r="CU36" s="4"/>
      <c r="CV36" s="4"/>
      <c r="CW36" s="4">
        <v>0.56370311552812824</v>
      </c>
      <c r="CX36" s="4">
        <v>0.61816336696426133</v>
      </c>
      <c r="CY36" s="4">
        <v>0.58755627263524135</v>
      </c>
      <c r="CZ36" s="4"/>
      <c r="DA36" s="4"/>
      <c r="DB36" s="4"/>
      <c r="DC36" s="4"/>
      <c r="DD36" s="4"/>
      <c r="DE36" s="4"/>
      <c r="DF36" s="4"/>
      <c r="DG36" s="4"/>
      <c r="DH36" s="4"/>
      <c r="DI36" s="4"/>
      <c r="DJ36" s="4"/>
      <c r="DK36" s="4"/>
      <c r="DL36" s="4"/>
      <c r="DM36" s="4"/>
      <c r="DN36" s="4"/>
      <c r="DO36" s="4"/>
      <c r="DP36" s="4"/>
      <c r="DQ36" s="3">
        <v>2.4387808081266007</v>
      </c>
      <c r="DR36">
        <f t="shared" si="0"/>
        <v>4</v>
      </c>
      <c r="DS36" s="4">
        <f t="shared" si="1"/>
        <v>3.8095238095238099E-2</v>
      </c>
    </row>
    <row r="37" spans="1:123" x14ac:dyDescent="0.25">
      <c r="A37" t="s">
        <v>65</v>
      </c>
      <c r="B37" t="s">
        <v>75</v>
      </c>
      <c r="C37" t="s">
        <v>76</v>
      </c>
      <c r="D37" t="s">
        <v>18</v>
      </c>
      <c r="E37" t="s">
        <v>33</v>
      </c>
      <c r="F37">
        <v>0.61809468894392228</v>
      </c>
      <c r="G37">
        <v>0.98618937788784455</v>
      </c>
      <c r="H37">
        <v>0.25</v>
      </c>
      <c r="I37">
        <v>5059407400</v>
      </c>
      <c r="J37">
        <v>6.2</v>
      </c>
      <c r="K37">
        <v>16</v>
      </c>
      <c r="O37" s="2" t="s">
        <v>181</v>
      </c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>
        <v>0.58333549609404312</v>
      </c>
      <c r="AD37" s="4"/>
      <c r="AE37" s="4"/>
      <c r="AF37" s="4"/>
      <c r="AG37" s="4"/>
      <c r="AH37" s="4"/>
      <c r="AI37" s="4"/>
      <c r="AJ37" s="4"/>
      <c r="AK37" s="4"/>
      <c r="AL37" s="4">
        <v>0.64118394866265194</v>
      </c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>
        <v>0.56230431796964508</v>
      </c>
      <c r="BF37" s="4"/>
      <c r="BG37" s="4"/>
      <c r="BH37" s="4"/>
      <c r="BI37" s="4"/>
      <c r="BJ37" s="4"/>
      <c r="BK37" s="4">
        <v>0.55120490312983483</v>
      </c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>
        <v>0.75626611564610768</v>
      </c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"/>
      <c r="CS37" s="4"/>
      <c r="CT37" s="4"/>
      <c r="CU37" s="4"/>
      <c r="CV37" s="4"/>
      <c r="CW37" s="4"/>
      <c r="CX37" s="4"/>
      <c r="CY37" s="4"/>
      <c r="CZ37" s="4"/>
      <c r="DA37" s="4"/>
      <c r="DB37" s="4"/>
      <c r="DC37" s="4"/>
      <c r="DD37" s="4"/>
      <c r="DE37" s="4"/>
      <c r="DF37" s="4"/>
      <c r="DG37" s="4"/>
      <c r="DH37" s="4"/>
      <c r="DI37" s="4"/>
      <c r="DJ37" s="4"/>
      <c r="DK37" s="4"/>
      <c r="DL37" s="4"/>
      <c r="DM37" s="4"/>
      <c r="DN37" s="4"/>
      <c r="DO37" s="4"/>
      <c r="DP37" s="4"/>
      <c r="DQ37" s="3">
        <v>3.0942947815022821</v>
      </c>
      <c r="DR37">
        <f t="shared" si="0"/>
        <v>5</v>
      </c>
      <c r="DS37" s="4">
        <f t="shared" si="1"/>
        <v>4.7619047619047616E-2</v>
      </c>
    </row>
    <row r="38" spans="1:123" x14ac:dyDescent="0.25">
      <c r="A38" t="s">
        <v>65</v>
      </c>
      <c r="B38" t="s">
        <v>77</v>
      </c>
      <c r="C38" t="s">
        <v>78</v>
      </c>
      <c r="D38" t="s">
        <v>14</v>
      </c>
      <c r="E38" t="s">
        <v>23</v>
      </c>
      <c r="F38">
        <v>0.61632785390484179</v>
      </c>
      <c r="G38">
        <v>0.83265570780968368</v>
      </c>
      <c r="H38">
        <v>0.4</v>
      </c>
      <c r="I38">
        <v>2124965800</v>
      </c>
      <c r="J38">
        <v>2.1</v>
      </c>
      <c r="K38">
        <v>17</v>
      </c>
      <c r="O38" s="2" t="s">
        <v>421</v>
      </c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>
        <v>0.65090588703419328</v>
      </c>
      <c r="CJ38" s="4">
        <v>0.70299082068206309</v>
      </c>
      <c r="CK38" s="4">
        <v>0.602963784423592</v>
      </c>
      <c r="CL38" s="4"/>
      <c r="CM38" s="4"/>
      <c r="CN38" s="4"/>
      <c r="CO38" s="4"/>
      <c r="CP38" s="4"/>
      <c r="CQ38" s="4"/>
      <c r="CR38" s="4"/>
      <c r="CS38" s="4"/>
      <c r="CT38" s="4"/>
      <c r="CU38" s="4"/>
      <c r="CV38" s="4"/>
      <c r="CW38" s="4"/>
      <c r="CX38" s="4"/>
      <c r="CY38" s="4"/>
      <c r="CZ38" s="4"/>
      <c r="DA38" s="4"/>
      <c r="DB38" s="4"/>
      <c r="DC38" s="4"/>
      <c r="DD38" s="4"/>
      <c r="DE38" s="4"/>
      <c r="DF38" s="4"/>
      <c r="DG38" s="4"/>
      <c r="DH38" s="4"/>
      <c r="DI38" s="4"/>
      <c r="DJ38" s="4"/>
      <c r="DK38" s="4"/>
      <c r="DL38" s="4"/>
      <c r="DM38" s="4"/>
      <c r="DN38" s="4"/>
      <c r="DO38" s="4"/>
      <c r="DP38" s="4"/>
      <c r="DQ38" s="3">
        <v>1.9568604921398485</v>
      </c>
      <c r="DR38">
        <f t="shared" si="0"/>
        <v>3</v>
      </c>
      <c r="DS38" s="4">
        <f t="shared" si="1"/>
        <v>2.8571428571428571E-2</v>
      </c>
    </row>
    <row r="39" spans="1:123" x14ac:dyDescent="0.25">
      <c r="A39" t="s">
        <v>65</v>
      </c>
      <c r="B39" t="s">
        <v>79</v>
      </c>
      <c r="C39" t="s">
        <v>80</v>
      </c>
      <c r="D39" t="s">
        <v>32</v>
      </c>
      <c r="E39" t="s">
        <v>59</v>
      </c>
      <c r="F39">
        <v>0.61291045821141243</v>
      </c>
      <c r="G39">
        <v>0.92582091642282482</v>
      </c>
      <c r="H39">
        <v>0.3</v>
      </c>
      <c r="I39">
        <v>16473763400</v>
      </c>
      <c r="J39">
        <v>83.8</v>
      </c>
      <c r="K39">
        <v>18</v>
      </c>
      <c r="O39" s="2" t="s">
        <v>287</v>
      </c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>
        <v>0.59967214283119596</v>
      </c>
      <c r="AY39" s="4">
        <v>0.63578486174460813</v>
      </c>
      <c r="AZ39" s="4">
        <v>0.70664071080913393</v>
      </c>
      <c r="BA39" s="4">
        <v>0.71088557444967626</v>
      </c>
      <c r="BB39" s="4">
        <v>0.6390481977671687</v>
      </c>
      <c r="BC39" s="4">
        <v>0.68210781610526405</v>
      </c>
      <c r="BD39" s="4">
        <v>0.6873179789853554</v>
      </c>
      <c r="BE39" s="4">
        <v>0.73282117093066002</v>
      </c>
      <c r="BF39" s="4">
        <v>0.70556490284625006</v>
      </c>
      <c r="BG39" s="4">
        <v>0.68347815617529317</v>
      </c>
      <c r="BH39" s="4">
        <v>0.70368022393566321</v>
      </c>
      <c r="BI39" s="4">
        <v>0.57118967561718725</v>
      </c>
      <c r="BJ39" s="4">
        <v>0.57602226916877375</v>
      </c>
      <c r="BK39" s="4">
        <v>0.61768868889037687</v>
      </c>
      <c r="BL39" s="4">
        <v>0.72499154418259726</v>
      </c>
      <c r="BM39" s="4">
        <v>0.62949066912940976</v>
      </c>
      <c r="BN39" s="4">
        <v>0.64843481341525899</v>
      </c>
      <c r="BO39" s="4">
        <v>0.62247474301019423</v>
      </c>
      <c r="BP39" s="4">
        <v>0.65765113777123907</v>
      </c>
      <c r="BQ39" s="4">
        <v>0.67205578677509381</v>
      </c>
      <c r="BR39" s="4">
        <v>0.64301101237116665</v>
      </c>
      <c r="BS39" s="4">
        <v>0.66181022649167887</v>
      </c>
      <c r="BT39" s="4">
        <v>0.65346230394259186</v>
      </c>
      <c r="BU39" s="4">
        <v>0.70792044623698946</v>
      </c>
      <c r="BV39" s="4">
        <v>0.66033878593063489</v>
      </c>
      <c r="BW39" s="4">
        <v>0.67691658772952634</v>
      </c>
      <c r="BX39" s="4">
        <v>0.67227343716927646</v>
      </c>
      <c r="BY39" s="4">
        <v>0.68369169056676204</v>
      </c>
      <c r="BZ39" s="4">
        <v>0.6236005840079315</v>
      </c>
      <c r="CA39" s="4">
        <v>0.69937265870457743</v>
      </c>
      <c r="CB39" s="4">
        <v>0.68821039642652115</v>
      </c>
      <c r="CC39" s="4">
        <v>0.64265453781295467</v>
      </c>
      <c r="CD39" s="4"/>
      <c r="CE39" s="4"/>
      <c r="CF39" s="4">
        <v>0.60801805058410918</v>
      </c>
      <c r="CG39" s="4">
        <v>0.72250884611490584</v>
      </c>
      <c r="CH39" s="4">
        <v>0.59948022783542243</v>
      </c>
      <c r="CI39" s="4"/>
      <c r="CJ39" s="4"/>
      <c r="CK39" s="4">
        <v>0.57522289662416337</v>
      </c>
      <c r="CL39" s="4">
        <v>0.61830513841372281</v>
      </c>
      <c r="CM39" s="4">
        <v>0.59187250396472202</v>
      </c>
      <c r="CN39" s="4">
        <v>0.63563794387580086</v>
      </c>
      <c r="CO39" s="4">
        <v>0.71510724120363134</v>
      </c>
      <c r="CP39" s="4">
        <v>0.69825840123699556</v>
      </c>
      <c r="CQ39" s="4">
        <v>0.69153239974984548</v>
      </c>
      <c r="CR39" s="4">
        <v>0.64409309044474006</v>
      </c>
      <c r="CS39" s="4">
        <v>0.70546847537663626</v>
      </c>
      <c r="CT39" s="4">
        <v>0.74959481088315383</v>
      </c>
      <c r="CU39" s="4">
        <v>0.63162161050848487</v>
      </c>
      <c r="CV39" s="4">
        <v>0.6124001143826614</v>
      </c>
      <c r="CW39" s="4"/>
      <c r="CX39" s="4"/>
      <c r="CY39" s="4">
        <v>0.58675875958275292</v>
      </c>
      <c r="CZ39" s="4">
        <v>0.68774547702001576</v>
      </c>
      <c r="DA39" s="4">
        <v>0.73370349704362581</v>
      </c>
      <c r="DB39" s="4">
        <v>0.64122094310796895</v>
      </c>
      <c r="DC39" s="4">
        <v>0.68218406253883634</v>
      </c>
      <c r="DD39" s="4">
        <v>0.7161757631215262</v>
      </c>
      <c r="DE39" s="4">
        <v>0.75846943634622221</v>
      </c>
      <c r="DF39" s="4">
        <v>0.70683692054684522</v>
      </c>
      <c r="DG39" s="4"/>
      <c r="DH39" s="4">
        <v>0.65937660630720329</v>
      </c>
      <c r="DI39" s="4">
        <v>0.67700725078401414</v>
      </c>
      <c r="DJ39" s="4">
        <v>0.68199934862686307</v>
      </c>
      <c r="DK39" s="4">
        <v>0.65811259273269718</v>
      </c>
      <c r="DL39" s="4"/>
      <c r="DM39" s="4"/>
      <c r="DN39" s="4">
        <v>0.74937455985190105</v>
      </c>
      <c r="DO39" s="4">
        <v>0.66973352717355283</v>
      </c>
      <c r="DP39" s="4"/>
      <c r="DQ39" s="3">
        <v>40.628084227914044</v>
      </c>
      <c r="DR39">
        <f t="shared" si="0"/>
        <v>61</v>
      </c>
      <c r="DS39" s="4">
        <f t="shared" si="1"/>
        <v>0.580952380952381</v>
      </c>
    </row>
    <row r="40" spans="1:123" x14ac:dyDescent="0.25">
      <c r="A40" t="s">
        <v>65</v>
      </c>
      <c r="B40" t="s">
        <v>27</v>
      </c>
      <c r="C40" t="s">
        <v>28</v>
      </c>
      <c r="D40" t="s">
        <v>14</v>
      </c>
      <c r="E40" t="s">
        <v>29</v>
      </c>
      <c r="F40">
        <v>0.61223511134680009</v>
      </c>
      <c r="G40">
        <v>0.57447022269360026</v>
      </c>
      <c r="H40">
        <v>0.65</v>
      </c>
      <c r="I40">
        <v>3659240400</v>
      </c>
      <c r="J40">
        <v>11.4</v>
      </c>
      <c r="K40">
        <v>19</v>
      </c>
      <c r="O40" s="2" t="s">
        <v>478</v>
      </c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  <c r="CO40" s="4"/>
      <c r="CP40" s="4"/>
      <c r="CQ40" s="4"/>
      <c r="CR40" s="4"/>
      <c r="CS40" s="4"/>
      <c r="CT40" s="4"/>
      <c r="CU40" s="4"/>
      <c r="CV40" s="4">
        <v>0.56406762439759917</v>
      </c>
      <c r="CW40" s="4"/>
      <c r="CX40" s="4"/>
      <c r="CY40" s="4"/>
      <c r="CZ40" s="4"/>
      <c r="DA40" s="4"/>
      <c r="DB40" s="4"/>
      <c r="DC40" s="4"/>
      <c r="DD40" s="4"/>
      <c r="DE40" s="4"/>
      <c r="DF40" s="4"/>
      <c r="DG40" s="4"/>
      <c r="DH40" s="4"/>
      <c r="DI40" s="4"/>
      <c r="DJ40" s="4"/>
      <c r="DK40" s="4"/>
      <c r="DL40" s="4"/>
      <c r="DM40" s="4"/>
      <c r="DN40" s="4"/>
      <c r="DO40" s="4"/>
      <c r="DP40" s="4"/>
      <c r="DQ40" s="3">
        <v>0.56406762439759917</v>
      </c>
      <c r="DR40">
        <f t="shared" si="0"/>
        <v>1</v>
      </c>
      <c r="DS40" s="4">
        <f t="shared" si="1"/>
        <v>9.5238095238095247E-3</v>
      </c>
    </row>
    <row r="41" spans="1:123" x14ac:dyDescent="0.25">
      <c r="A41" t="s">
        <v>65</v>
      </c>
      <c r="B41" t="s">
        <v>63</v>
      </c>
      <c r="C41" t="s">
        <v>64</v>
      </c>
      <c r="D41" t="s">
        <v>32</v>
      </c>
      <c r="E41" t="s">
        <v>33</v>
      </c>
      <c r="F41">
        <v>0.60540131907538652</v>
      </c>
      <c r="G41">
        <v>0.86080263815077307</v>
      </c>
      <c r="H41">
        <v>0.35</v>
      </c>
      <c r="I41">
        <v>8145047800</v>
      </c>
      <c r="J41">
        <v>240</v>
      </c>
      <c r="K41">
        <v>20</v>
      </c>
      <c r="O41" s="2" t="s">
        <v>430</v>
      </c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>
        <v>0.57118487858523914</v>
      </c>
      <c r="CL41" s="4">
        <v>0.60634565289224884</v>
      </c>
      <c r="CM41" s="4">
        <v>0.59627522902431029</v>
      </c>
      <c r="CN41" s="4">
        <v>0.55678292458096967</v>
      </c>
      <c r="CO41" s="4">
        <v>0.58566726535440461</v>
      </c>
      <c r="CP41" s="4">
        <v>0.58080104157424883</v>
      </c>
      <c r="CQ41" s="4">
        <v>0.62526073615805289</v>
      </c>
      <c r="CR41" s="4">
        <v>0.58076442745169077</v>
      </c>
      <c r="CS41" s="4">
        <v>0.57549129037824365</v>
      </c>
      <c r="CT41" s="4">
        <v>0.54137654518392675</v>
      </c>
      <c r="CU41" s="4"/>
      <c r="CV41" s="4"/>
      <c r="CW41" s="4"/>
      <c r="CX41" s="4"/>
      <c r="CY41" s="4"/>
      <c r="CZ41" s="4"/>
      <c r="DA41" s="4">
        <v>0.66649742412805679</v>
      </c>
      <c r="DB41" s="4">
        <v>0.60162904965463992</v>
      </c>
      <c r="DC41" s="4"/>
      <c r="DD41" s="4"/>
      <c r="DE41" s="4"/>
      <c r="DF41" s="4"/>
      <c r="DG41" s="4"/>
      <c r="DH41" s="4"/>
      <c r="DI41" s="4"/>
      <c r="DJ41" s="4"/>
      <c r="DK41" s="4"/>
      <c r="DL41" s="4"/>
      <c r="DM41" s="4"/>
      <c r="DN41" s="4"/>
      <c r="DO41" s="4"/>
      <c r="DP41" s="4"/>
      <c r="DQ41" s="3">
        <v>7.0880764649660311</v>
      </c>
      <c r="DR41">
        <f t="shared" si="0"/>
        <v>12</v>
      </c>
      <c r="DS41" s="4">
        <f t="shared" si="1"/>
        <v>0.11428571428571428</v>
      </c>
    </row>
    <row r="42" spans="1:123" x14ac:dyDescent="0.25">
      <c r="A42" t="s">
        <v>81</v>
      </c>
      <c r="B42" t="s">
        <v>12</v>
      </c>
      <c r="C42" t="s">
        <v>13</v>
      </c>
      <c r="D42" t="s">
        <v>14</v>
      </c>
      <c r="E42" t="s">
        <v>15</v>
      </c>
      <c r="F42">
        <v>0.82620330417851284</v>
      </c>
      <c r="G42">
        <v>0.95240660835702584</v>
      </c>
      <c r="H42">
        <v>0.7</v>
      </c>
      <c r="I42">
        <v>37957571400</v>
      </c>
      <c r="J42">
        <v>20.7</v>
      </c>
      <c r="K42">
        <v>1</v>
      </c>
      <c r="O42" s="2" t="s">
        <v>325</v>
      </c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>
        <v>0.59336923255033813</v>
      </c>
      <c r="BI42" s="4"/>
      <c r="BJ42" s="4"/>
      <c r="BK42" s="4"/>
      <c r="BL42" s="4"/>
      <c r="BM42" s="4"/>
      <c r="BN42" s="4"/>
      <c r="BO42" s="4"/>
      <c r="BP42" s="4"/>
      <c r="BQ42" s="4">
        <v>0.57549819020559201</v>
      </c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"/>
      <c r="CS42" s="4"/>
      <c r="CT42" s="4"/>
      <c r="CU42" s="4"/>
      <c r="CV42" s="4"/>
      <c r="CW42" s="4"/>
      <c r="CX42" s="4"/>
      <c r="CY42" s="4"/>
      <c r="CZ42" s="4"/>
      <c r="DA42" s="4"/>
      <c r="DB42" s="4"/>
      <c r="DC42" s="4"/>
      <c r="DD42" s="4"/>
      <c r="DE42" s="4"/>
      <c r="DF42" s="4"/>
      <c r="DG42" s="4"/>
      <c r="DH42" s="4"/>
      <c r="DI42" s="4"/>
      <c r="DJ42" s="4"/>
      <c r="DK42" s="4"/>
      <c r="DL42" s="4"/>
      <c r="DM42" s="4"/>
      <c r="DN42" s="4"/>
      <c r="DO42" s="4"/>
      <c r="DP42" s="4"/>
      <c r="DQ42" s="3">
        <v>1.1688674227559301</v>
      </c>
      <c r="DR42">
        <f t="shared" si="0"/>
        <v>2</v>
      </c>
      <c r="DS42" s="4">
        <f t="shared" si="1"/>
        <v>1.9047619047619049E-2</v>
      </c>
    </row>
    <row r="43" spans="1:123" x14ac:dyDescent="0.25">
      <c r="A43" t="s">
        <v>81</v>
      </c>
      <c r="B43" t="s">
        <v>16</v>
      </c>
      <c r="C43" t="s">
        <v>17</v>
      </c>
      <c r="D43" t="s">
        <v>18</v>
      </c>
      <c r="E43" t="s">
        <v>15</v>
      </c>
      <c r="F43">
        <v>0.76955126299789844</v>
      </c>
      <c r="G43">
        <v>0.73910252599579673</v>
      </c>
      <c r="H43">
        <v>0.8</v>
      </c>
      <c r="I43">
        <v>16021308000</v>
      </c>
      <c r="J43">
        <v>218.5</v>
      </c>
      <c r="K43">
        <v>2</v>
      </c>
      <c r="O43" s="2" t="s">
        <v>520</v>
      </c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  <c r="CO43" s="4"/>
      <c r="CP43" s="4"/>
      <c r="CQ43" s="4"/>
      <c r="CR43" s="4"/>
      <c r="CS43" s="4"/>
      <c r="CT43" s="4"/>
      <c r="CU43" s="4"/>
      <c r="CV43" s="4"/>
      <c r="CW43" s="4"/>
      <c r="CX43" s="4"/>
      <c r="CY43" s="4"/>
      <c r="CZ43" s="4"/>
      <c r="DA43" s="4"/>
      <c r="DB43" s="4"/>
      <c r="DC43" s="4"/>
      <c r="DD43" s="4"/>
      <c r="DE43" s="4"/>
      <c r="DF43" s="4"/>
      <c r="DG43" s="4"/>
      <c r="DH43" s="4"/>
      <c r="DI43" s="4"/>
      <c r="DJ43" s="4"/>
      <c r="DK43" s="4"/>
      <c r="DL43" s="4">
        <v>0.78848948572931077</v>
      </c>
      <c r="DM43" s="4">
        <v>0.83431109548086568</v>
      </c>
      <c r="DN43" s="4">
        <v>0.74783047433671701</v>
      </c>
      <c r="DO43" s="4">
        <v>0.68247789428306271</v>
      </c>
      <c r="DP43" s="4">
        <v>0.67641205425364459</v>
      </c>
      <c r="DQ43" s="3">
        <v>3.7295210040836011</v>
      </c>
      <c r="DR43">
        <f t="shared" si="0"/>
        <v>5</v>
      </c>
      <c r="DS43" s="4">
        <f t="shared" si="1"/>
        <v>4.7619047619047616E-2</v>
      </c>
    </row>
    <row r="44" spans="1:123" x14ac:dyDescent="0.25">
      <c r="A44" t="s">
        <v>81</v>
      </c>
      <c r="B44" t="s">
        <v>82</v>
      </c>
      <c r="C44" t="s">
        <v>83</v>
      </c>
      <c r="D44" t="s">
        <v>32</v>
      </c>
      <c r="E44" t="s">
        <v>39</v>
      </c>
      <c r="F44">
        <v>0.75296994109671056</v>
      </c>
      <c r="G44">
        <v>0.90593988219342103</v>
      </c>
      <c r="H44">
        <v>0.6</v>
      </c>
      <c r="I44">
        <v>26641087800</v>
      </c>
      <c r="J44">
        <v>14.4</v>
      </c>
      <c r="K44">
        <v>3</v>
      </c>
      <c r="O44" s="2" t="s">
        <v>209</v>
      </c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>
        <v>0.60730661421656085</v>
      </c>
      <c r="AI44" s="4"/>
      <c r="AJ44" s="4">
        <v>0.61087035698642422</v>
      </c>
      <c r="AK44" s="4">
        <v>0.61488233075872811</v>
      </c>
      <c r="AL44" s="4">
        <v>0.59564190605368317</v>
      </c>
      <c r="AM44" s="4"/>
      <c r="AN44" s="4"/>
      <c r="AO44" s="4">
        <v>0.45675457449609619</v>
      </c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>
        <v>0.70187270050877359</v>
      </c>
      <c r="BH44" s="4">
        <v>0.61912084834804637</v>
      </c>
      <c r="BI44" s="4">
        <v>0.56975298292654408</v>
      </c>
      <c r="BJ44" s="4">
        <v>0.61639801934721095</v>
      </c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  <c r="CO44" s="4"/>
      <c r="CP44" s="4"/>
      <c r="CQ44" s="4"/>
      <c r="CR44" s="4"/>
      <c r="CS44" s="4"/>
      <c r="CT44" s="4"/>
      <c r="CU44" s="4"/>
      <c r="CV44" s="4"/>
      <c r="CW44" s="4"/>
      <c r="CX44" s="4"/>
      <c r="CY44" s="4"/>
      <c r="CZ44" s="4"/>
      <c r="DA44" s="4"/>
      <c r="DB44" s="4"/>
      <c r="DC44" s="4"/>
      <c r="DD44" s="4"/>
      <c r="DE44" s="4"/>
      <c r="DF44" s="4"/>
      <c r="DG44" s="4"/>
      <c r="DH44" s="4"/>
      <c r="DI44" s="4"/>
      <c r="DJ44" s="4"/>
      <c r="DK44" s="4"/>
      <c r="DL44" s="4"/>
      <c r="DM44" s="4"/>
      <c r="DN44" s="4"/>
      <c r="DO44" s="4"/>
      <c r="DP44" s="4"/>
      <c r="DQ44" s="3">
        <v>5.3926003336420676</v>
      </c>
      <c r="DR44">
        <f t="shared" si="0"/>
        <v>9</v>
      </c>
      <c r="DS44" s="4">
        <f t="shared" si="1"/>
        <v>8.5714285714285715E-2</v>
      </c>
    </row>
    <row r="45" spans="1:123" x14ac:dyDescent="0.25">
      <c r="A45" t="s">
        <v>81</v>
      </c>
      <c r="B45" t="s">
        <v>24</v>
      </c>
      <c r="C45" t="s">
        <v>25</v>
      </c>
      <c r="D45" t="s">
        <v>18</v>
      </c>
      <c r="E45" t="s">
        <v>26</v>
      </c>
      <c r="F45">
        <v>0.73652428518973312</v>
      </c>
      <c r="G45">
        <v>0.87304857037946626</v>
      </c>
      <c r="H45">
        <v>0.6</v>
      </c>
      <c r="I45">
        <v>5725967400</v>
      </c>
      <c r="J45">
        <v>13.2</v>
      </c>
      <c r="K45">
        <v>4</v>
      </c>
      <c r="O45" s="2" t="s">
        <v>183</v>
      </c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>
        <v>0.55813355283818211</v>
      </c>
      <c r="AD45" s="4"/>
      <c r="AE45" s="4"/>
      <c r="AF45" s="4"/>
      <c r="AG45" s="4"/>
      <c r="AH45" s="4"/>
      <c r="AI45" s="4">
        <v>0.59431170404685707</v>
      </c>
      <c r="AJ45" s="4">
        <v>0.58592547006349593</v>
      </c>
      <c r="AK45" s="4">
        <v>0.62961182474586963</v>
      </c>
      <c r="AL45" s="4"/>
      <c r="AM45" s="4">
        <v>0.73711792920578079</v>
      </c>
      <c r="AN45" s="4"/>
      <c r="AO45" s="4"/>
      <c r="AP45" s="4"/>
      <c r="AQ45" s="4"/>
      <c r="AR45" s="4">
        <v>0.69642232460040809</v>
      </c>
      <c r="AS45" s="4">
        <v>0.59828461016955115</v>
      </c>
      <c r="AT45" s="4">
        <v>0.66358456406804955</v>
      </c>
      <c r="AU45" s="4">
        <v>0.63179907274706792</v>
      </c>
      <c r="AV45" s="4">
        <v>0.67385041170263926</v>
      </c>
      <c r="AW45" s="4"/>
      <c r="AX45" s="4">
        <v>0.61948451998548126</v>
      </c>
      <c r="AY45" s="4">
        <v>0.65061046520024224</v>
      </c>
      <c r="AZ45" s="4"/>
      <c r="BA45" s="4">
        <v>0.55746989133548475</v>
      </c>
      <c r="BB45" s="4">
        <v>0.57118366279301669</v>
      </c>
      <c r="BC45" s="4"/>
      <c r="BD45" s="4"/>
      <c r="BE45" s="4"/>
      <c r="BF45" s="4"/>
      <c r="BG45" s="4">
        <v>0.61581734547155431</v>
      </c>
      <c r="BH45" s="4">
        <v>0.64303672314305993</v>
      </c>
      <c r="BI45" s="4">
        <v>0.624587501118261</v>
      </c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>
        <v>0.59773822966636514</v>
      </c>
      <c r="BW45" s="4"/>
      <c r="BX45" s="4"/>
      <c r="BY45" s="4"/>
      <c r="BZ45" s="4"/>
      <c r="CA45" s="4"/>
      <c r="CB45" s="4"/>
      <c r="CC45" s="4">
        <v>0.63005003109987723</v>
      </c>
      <c r="CD45" s="4">
        <v>0.58933002867815365</v>
      </c>
      <c r="CE45" s="4">
        <v>0.61320759369291067</v>
      </c>
      <c r="CF45" s="4">
        <v>0.63426164441341149</v>
      </c>
      <c r="CG45" s="4">
        <v>0.60127103432021367</v>
      </c>
      <c r="CH45" s="4"/>
      <c r="CI45" s="4"/>
      <c r="CJ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>
        <v>0.69346297308052707</v>
      </c>
      <c r="CX45" s="4">
        <v>0.61314842086222532</v>
      </c>
      <c r="CY45" s="4">
        <v>0.65472588322591352</v>
      </c>
      <c r="CZ45" s="4">
        <v>0.60356167622553447</v>
      </c>
      <c r="DA45" s="4">
        <v>0.6064172780156234</v>
      </c>
      <c r="DB45" s="4"/>
      <c r="DC45" s="4">
        <v>0.62552124624943084</v>
      </c>
      <c r="DD45" s="4"/>
      <c r="DE45" s="4"/>
      <c r="DF45" s="4"/>
      <c r="DG45" s="4"/>
      <c r="DH45" s="4"/>
      <c r="DI45" s="4"/>
      <c r="DJ45" s="4"/>
      <c r="DK45" s="4"/>
      <c r="DL45" s="4"/>
      <c r="DM45" s="4"/>
      <c r="DN45" s="4"/>
      <c r="DO45" s="4"/>
      <c r="DP45" s="4"/>
      <c r="DQ45" s="3">
        <v>18.113927612765188</v>
      </c>
      <c r="DR45">
        <f t="shared" si="0"/>
        <v>29</v>
      </c>
      <c r="DS45" s="4">
        <f t="shared" si="1"/>
        <v>0.27619047619047621</v>
      </c>
    </row>
    <row r="46" spans="1:123" x14ac:dyDescent="0.25">
      <c r="A46" t="s">
        <v>81</v>
      </c>
      <c r="B46" t="s">
        <v>84</v>
      </c>
      <c r="C46" t="s">
        <v>85</v>
      </c>
      <c r="D46" t="s">
        <v>14</v>
      </c>
      <c r="E46" t="s">
        <v>42</v>
      </c>
      <c r="F46">
        <v>0.72820445323237604</v>
      </c>
      <c r="G46">
        <v>0.80640890646475205</v>
      </c>
      <c r="H46">
        <v>0.65</v>
      </c>
      <c r="I46">
        <v>7581571000</v>
      </c>
      <c r="J46">
        <v>133.4</v>
      </c>
      <c r="K46">
        <v>5</v>
      </c>
      <c r="O46" s="2" t="s">
        <v>223</v>
      </c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>
        <v>0.66172888286320408</v>
      </c>
      <c r="AM46" s="4"/>
      <c r="AN46" s="4"/>
      <c r="AO46" s="4">
        <v>0.45667408489457101</v>
      </c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>
        <v>0.72428859718219352</v>
      </c>
      <c r="BP46" s="4">
        <v>0.66939548521527614</v>
      </c>
      <c r="BQ46" s="4">
        <v>0.58341219195448923</v>
      </c>
      <c r="BR46" s="4">
        <v>0.55761712035075994</v>
      </c>
      <c r="BS46" s="4"/>
      <c r="BT46" s="4"/>
      <c r="BU46" s="4"/>
      <c r="BV46" s="4"/>
      <c r="BW46" s="4"/>
      <c r="BX46" s="4">
        <v>0.59115456950109224</v>
      </c>
      <c r="BY46" s="4">
        <v>0.63722435996904758</v>
      </c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  <c r="DE46" s="4"/>
      <c r="DF46" s="4"/>
      <c r="DG46" s="4"/>
      <c r="DH46" s="4"/>
      <c r="DI46" s="4"/>
      <c r="DJ46" s="4"/>
      <c r="DK46" s="4"/>
      <c r="DL46" s="4"/>
      <c r="DM46" s="4"/>
      <c r="DN46" s="4"/>
      <c r="DO46" s="4"/>
      <c r="DP46" s="4"/>
      <c r="DQ46" s="3">
        <v>4.8814952919306336</v>
      </c>
      <c r="DR46">
        <f t="shared" si="0"/>
        <v>8</v>
      </c>
      <c r="DS46" s="4">
        <f t="shared" si="1"/>
        <v>7.6190476190476197E-2</v>
      </c>
    </row>
    <row r="47" spans="1:123" x14ac:dyDescent="0.25">
      <c r="A47" t="s">
        <v>81</v>
      </c>
      <c r="B47" t="s">
        <v>45</v>
      </c>
      <c r="C47" t="s">
        <v>46</v>
      </c>
      <c r="D47" t="s">
        <v>14</v>
      </c>
      <c r="E47" t="s">
        <v>15</v>
      </c>
      <c r="F47">
        <v>0.71583753276139994</v>
      </c>
      <c r="G47">
        <v>0.93167506552279977</v>
      </c>
      <c r="H47">
        <v>0.5</v>
      </c>
      <c r="I47">
        <v>3278950400</v>
      </c>
      <c r="J47">
        <v>24.1</v>
      </c>
      <c r="K47">
        <v>6</v>
      </c>
      <c r="O47" s="2" t="s">
        <v>147</v>
      </c>
      <c r="P47" s="4"/>
      <c r="Q47" s="4"/>
      <c r="R47" s="4"/>
      <c r="S47" s="4"/>
      <c r="T47" s="4"/>
      <c r="U47" s="4"/>
      <c r="V47" s="4"/>
      <c r="W47" s="4"/>
      <c r="X47" s="4">
        <v>0.63305140673834948</v>
      </c>
      <c r="Y47" s="4">
        <v>0.63298472173558706</v>
      </c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  <c r="CO47" s="4"/>
      <c r="CP47" s="4"/>
      <c r="CQ47" s="4"/>
      <c r="CR47" s="4"/>
      <c r="CS47" s="4"/>
      <c r="CT47" s="4"/>
      <c r="CU47" s="4"/>
      <c r="CV47" s="4"/>
      <c r="CW47" s="4"/>
      <c r="CX47" s="4"/>
      <c r="CY47" s="4"/>
      <c r="CZ47" s="4"/>
      <c r="DA47" s="4"/>
      <c r="DB47" s="4"/>
      <c r="DC47" s="4"/>
      <c r="DD47" s="4"/>
      <c r="DE47" s="4"/>
      <c r="DF47" s="4"/>
      <c r="DG47" s="4"/>
      <c r="DH47" s="4"/>
      <c r="DI47" s="4"/>
      <c r="DJ47" s="4"/>
      <c r="DK47" s="4"/>
      <c r="DL47" s="4"/>
      <c r="DM47" s="4"/>
      <c r="DN47" s="4"/>
      <c r="DO47" s="4"/>
      <c r="DP47" s="4"/>
      <c r="DQ47" s="3">
        <v>1.2660361284739365</v>
      </c>
      <c r="DR47">
        <f t="shared" si="0"/>
        <v>2</v>
      </c>
      <c r="DS47" s="4">
        <f t="shared" si="1"/>
        <v>1.9047619047619049E-2</v>
      </c>
    </row>
    <row r="48" spans="1:123" x14ac:dyDescent="0.25">
      <c r="A48" t="s">
        <v>81</v>
      </c>
      <c r="B48" t="s">
        <v>21</v>
      </c>
      <c r="C48" t="s">
        <v>22</v>
      </c>
      <c r="D48" t="s">
        <v>14</v>
      </c>
      <c r="E48" t="s">
        <v>23</v>
      </c>
      <c r="F48">
        <v>0.70496792031165212</v>
      </c>
      <c r="G48">
        <v>0.65993584062330413</v>
      </c>
      <c r="H48">
        <v>0.75</v>
      </c>
      <c r="I48">
        <v>5057709400</v>
      </c>
      <c r="J48">
        <v>8.9</v>
      </c>
      <c r="K48">
        <v>7</v>
      </c>
      <c r="O48" s="2" t="s">
        <v>403</v>
      </c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>
        <v>0.69219738288668264</v>
      </c>
      <c r="CE48" s="4">
        <v>0.60604465494776716</v>
      </c>
      <c r="CF48" s="4">
        <v>0.6263734091982941</v>
      </c>
      <c r="CG48" s="4"/>
      <c r="CH48" s="4">
        <v>0.64836941347727417</v>
      </c>
      <c r="CI48" s="4">
        <v>0.63705200133143913</v>
      </c>
      <c r="CJ48" s="4">
        <v>0.67233100428289516</v>
      </c>
      <c r="CK48" s="4">
        <v>0.72199358565153982</v>
      </c>
      <c r="CL48" s="4">
        <v>0.74058091952172989</v>
      </c>
      <c r="CM48" s="4">
        <v>0.72635069219180237</v>
      </c>
      <c r="CN48" s="4">
        <v>0.61240336786966787</v>
      </c>
      <c r="CO48" s="4">
        <v>0.60909783506458992</v>
      </c>
      <c r="CP48" s="4">
        <v>0.62018682411813164</v>
      </c>
      <c r="CQ48" s="4">
        <v>0.67164684799326047</v>
      </c>
      <c r="CR48" s="4">
        <v>0.75655584072409154</v>
      </c>
      <c r="CS48" s="4">
        <v>0.67070241118068608</v>
      </c>
      <c r="CT48" s="4">
        <v>0.60948596392013399</v>
      </c>
      <c r="CU48" s="4">
        <v>0.74015104321562841</v>
      </c>
      <c r="CV48" s="4">
        <v>0.78846336356059954</v>
      </c>
      <c r="CW48" s="4">
        <v>0.71090995461118955</v>
      </c>
      <c r="CX48" s="4">
        <v>0.65757011666108545</v>
      </c>
      <c r="CY48" s="4">
        <v>0.64274866945597009</v>
      </c>
      <c r="CZ48" s="4">
        <v>0.82582634374686026</v>
      </c>
      <c r="DA48" s="4">
        <v>0.71628793403433566</v>
      </c>
      <c r="DB48" s="4">
        <v>0.77025207204119539</v>
      </c>
      <c r="DC48" s="4">
        <v>0.69077148027254398</v>
      </c>
      <c r="DD48" s="4">
        <v>0.91034192089026345</v>
      </c>
      <c r="DE48" s="4">
        <v>0.885339627608414</v>
      </c>
      <c r="DF48" s="4">
        <v>0.93083906647383174</v>
      </c>
      <c r="DG48" s="4">
        <v>0.74165372872703639</v>
      </c>
      <c r="DH48" s="4">
        <v>0.67063471139849617</v>
      </c>
      <c r="DI48" s="4">
        <v>0.66328047768909937</v>
      </c>
      <c r="DJ48" s="4">
        <v>0.85710118278960756</v>
      </c>
      <c r="DK48" s="4">
        <v>0.83563303239347619</v>
      </c>
      <c r="DL48" s="4">
        <v>0.88636566173248055</v>
      </c>
      <c r="DM48" s="4">
        <v>0.93812308783430531</v>
      </c>
      <c r="DN48" s="4">
        <v>0.69690238245843195</v>
      </c>
      <c r="DO48" s="4"/>
      <c r="DP48" s="4">
        <v>0.84437623773245873</v>
      </c>
      <c r="DQ48" s="3">
        <v>27.024944249687298</v>
      </c>
      <c r="DR48">
        <f t="shared" si="0"/>
        <v>37</v>
      </c>
      <c r="DS48" s="4">
        <f t="shared" si="1"/>
        <v>0.35238095238095241</v>
      </c>
    </row>
    <row r="49" spans="1:123" x14ac:dyDescent="0.25">
      <c r="A49" t="s">
        <v>81</v>
      </c>
      <c r="B49" t="s">
        <v>86</v>
      </c>
      <c r="C49" t="s">
        <v>87</v>
      </c>
      <c r="D49" t="s">
        <v>32</v>
      </c>
      <c r="E49" t="s">
        <v>33</v>
      </c>
      <c r="F49">
        <v>0.683188118724955</v>
      </c>
      <c r="G49">
        <v>0.96637623744990997</v>
      </c>
      <c r="H49">
        <v>0.4</v>
      </c>
      <c r="I49">
        <v>4199863800</v>
      </c>
      <c r="J49">
        <v>108</v>
      </c>
      <c r="K49">
        <v>8</v>
      </c>
      <c r="O49" s="2" t="s">
        <v>92</v>
      </c>
      <c r="P49" s="4"/>
      <c r="Q49" s="4"/>
      <c r="R49" s="4">
        <v>0.64037416045547535</v>
      </c>
      <c r="S49" s="4">
        <v>0.64472050320495522</v>
      </c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>
        <v>0.58678477632900727</v>
      </c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>
        <v>0.66982772615704755</v>
      </c>
      <c r="CI49" s="4">
        <v>0.59398957485832826</v>
      </c>
      <c r="CJ49" s="4"/>
      <c r="CK49" s="4"/>
      <c r="CL49" s="4"/>
      <c r="CM49" s="4"/>
      <c r="CN49" s="4"/>
      <c r="CO49" s="4"/>
      <c r="CP49" s="4">
        <v>0.59773753216554093</v>
      </c>
      <c r="CQ49" s="4"/>
      <c r="CR49" s="4"/>
      <c r="CS49" s="4">
        <v>0.59843941518520871</v>
      </c>
      <c r="CT49" s="4">
        <v>0.57252011849657491</v>
      </c>
      <c r="CU49" s="4"/>
      <c r="CV49" s="4"/>
      <c r="CW49" s="4"/>
      <c r="CX49" s="4"/>
      <c r="CY49" s="4"/>
      <c r="CZ49" s="4"/>
      <c r="DA49" s="4"/>
      <c r="DB49" s="4"/>
      <c r="DC49" s="4"/>
      <c r="DD49" s="4"/>
      <c r="DE49" s="4"/>
      <c r="DF49" s="4"/>
      <c r="DG49" s="4"/>
      <c r="DH49" s="4"/>
      <c r="DI49" s="4"/>
      <c r="DJ49" s="4"/>
      <c r="DK49" s="4"/>
      <c r="DL49" s="4"/>
      <c r="DM49" s="4"/>
      <c r="DN49" s="4"/>
      <c r="DO49" s="4"/>
      <c r="DP49" s="4"/>
      <c r="DQ49" s="3">
        <v>4.9043938068521387</v>
      </c>
      <c r="DR49">
        <f t="shared" si="0"/>
        <v>8</v>
      </c>
      <c r="DS49" s="4">
        <f t="shared" si="1"/>
        <v>7.6190476190476197E-2</v>
      </c>
    </row>
    <row r="50" spans="1:123" x14ac:dyDescent="0.25">
      <c r="A50" t="s">
        <v>81</v>
      </c>
      <c r="B50" t="s">
        <v>57</v>
      </c>
      <c r="C50" t="s">
        <v>58</v>
      </c>
      <c r="D50" t="s">
        <v>32</v>
      </c>
      <c r="E50" t="s">
        <v>59</v>
      </c>
      <c r="F50">
        <v>0.66554532262983712</v>
      </c>
      <c r="G50">
        <v>0.93109064525967433</v>
      </c>
      <c r="H50">
        <v>0.4</v>
      </c>
      <c r="I50">
        <v>19849330800</v>
      </c>
      <c r="J50">
        <v>65.5</v>
      </c>
      <c r="K50">
        <v>9</v>
      </c>
      <c r="O50" s="2" t="s">
        <v>51</v>
      </c>
      <c r="P50" s="4">
        <v>0.66844101696035096</v>
      </c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  <c r="CO50" s="4"/>
      <c r="CP50" s="4"/>
      <c r="CQ50" s="4"/>
      <c r="CR50" s="4"/>
      <c r="CS50" s="4"/>
      <c r="CT50" s="4"/>
      <c r="CU50" s="4"/>
      <c r="CV50" s="4"/>
      <c r="CW50" s="4"/>
      <c r="CX50" s="4"/>
      <c r="CY50" s="4"/>
      <c r="CZ50" s="4"/>
      <c r="DA50" s="4"/>
      <c r="DB50" s="4"/>
      <c r="DC50" s="4"/>
      <c r="DD50" s="4"/>
      <c r="DE50" s="4"/>
      <c r="DF50" s="4"/>
      <c r="DG50" s="4"/>
      <c r="DH50" s="4"/>
      <c r="DI50" s="4"/>
      <c r="DJ50" s="4"/>
      <c r="DK50" s="4"/>
      <c r="DL50" s="4"/>
      <c r="DM50" s="4"/>
      <c r="DN50" s="4"/>
      <c r="DO50" s="4"/>
      <c r="DP50" s="4"/>
      <c r="DQ50" s="3">
        <v>0.66844101696035096</v>
      </c>
      <c r="DR50">
        <f t="shared" si="0"/>
        <v>1</v>
      </c>
      <c r="DS50" s="4">
        <f t="shared" si="1"/>
        <v>9.5238095238095247E-3</v>
      </c>
    </row>
    <row r="51" spans="1:123" x14ac:dyDescent="0.25">
      <c r="A51" t="s">
        <v>81</v>
      </c>
      <c r="B51" t="s">
        <v>88</v>
      </c>
      <c r="C51" t="s">
        <v>89</v>
      </c>
      <c r="D51" t="s">
        <v>32</v>
      </c>
      <c r="E51" t="s">
        <v>33</v>
      </c>
      <c r="F51">
        <v>0.66356155870410061</v>
      </c>
      <c r="G51">
        <v>0.67712311740820108</v>
      </c>
      <c r="H51">
        <v>0.65</v>
      </c>
      <c r="I51">
        <v>11003219840</v>
      </c>
      <c r="J51">
        <v>8.26</v>
      </c>
      <c r="K51">
        <v>10</v>
      </c>
      <c r="O51" s="2" t="s">
        <v>34</v>
      </c>
      <c r="P51" s="4">
        <v>0.70806511796229099</v>
      </c>
      <c r="Q51" s="4">
        <v>0.62603202248794676</v>
      </c>
      <c r="R51" s="4"/>
      <c r="S51" s="4">
        <v>0.60809747370932388</v>
      </c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4"/>
      <c r="BZ51" s="4"/>
      <c r="CA51" s="4"/>
      <c r="CB51" s="4"/>
      <c r="CC51" s="4"/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  <c r="CO51" s="4"/>
      <c r="CP51" s="4"/>
      <c r="CQ51" s="4"/>
      <c r="CR51" s="4"/>
      <c r="CS51" s="4"/>
      <c r="CT51" s="4"/>
      <c r="CU51" s="4"/>
      <c r="CV51" s="4"/>
      <c r="CW51" s="4"/>
      <c r="CX51" s="4"/>
      <c r="CY51" s="4"/>
      <c r="CZ51" s="4"/>
      <c r="DA51" s="4"/>
      <c r="DB51" s="4"/>
      <c r="DC51" s="4"/>
      <c r="DD51" s="4"/>
      <c r="DE51" s="4"/>
      <c r="DF51" s="4"/>
      <c r="DG51" s="4"/>
      <c r="DH51" s="4"/>
      <c r="DI51" s="4"/>
      <c r="DJ51" s="4"/>
      <c r="DK51" s="4"/>
      <c r="DL51" s="4"/>
      <c r="DM51" s="4"/>
      <c r="DN51" s="4"/>
      <c r="DO51" s="4"/>
      <c r="DP51" s="4"/>
      <c r="DQ51" s="3">
        <v>1.9421946141595616</v>
      </c>
      <c r="DR51">
        <f t="shared" si="0"/>
        <v>3</v>
      </c>
      <c r="DS51" s="4">
        <f t="shared" si="1"/>
        <v>2.8571428571428571E-2</v>
      </c>
    </row>
    <row r="52" spans="1:123" x14ac:dyDescent="0.25">
      <c r="A52" t="s">
        <v>81</v>
      </c>
      <c r="B52" t="s">
        <v>90</v>
      </c>
      <c r="C52" t="s">
        <v>91</v>
      </c>
      <c r="D52" t="s">
        <v>32</v>
      </c>
      <c r="E52" t="s">
        <v>26</v>
      </c>
      <c r="F52">
        <v>0.66331612503127457</v>
      </c>
      <c r="G52">
        <v>0.87663225006254908</v>
      </c>
      <c r="H52">
        <v>0.45</v>
      </c>
      <c r="I52">
        <v>96267329800</v>
      </c>
      <c r="J52">
        <v>91.4</v>
      </c>
      <c r="K52">
        <v>11</v>
      </c>
      <c r="O52" s="2" t="s">
        <v>171</v>
      </c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>
        <v>0.63204072514978549</v>
      </c>
      <c r="AB52" s="4">
        <v>0.64413262400894955</v>
      </c>
      <c r="AC52" s="4">
        <v>0.58198813385037473</v>
      </c>
      <c r="AD52" s="4"/>
      <c r="AE52" s="4"/>
      <c r="AF52" s="4"/>
      <c r="AG52" s="4">
        <v>0.56126975277902524</v>
      </c>
      <c r="AH52" s="4">
        <v>0.54961960053857295</v>
      </c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>
        <v>0.62244959447572312</v>
      </c>
      <c r="BK52" s="4">
        <v>0.62125953717764681</v>
      </c>
      <c r="BL52" s="4">
        <v>0.5680787472817177</v>
      </c>
      <c r="BM52" s="4"/>
      <c r="BN52" s="4">
        <v>0.60973064723320081</v>
      </c>
      <c r="BO52" s="4">
        <v>0.58312971714301942</v>
      </c>
      <c r="BP52" s="4"/>
      <c r="BQ52" s="4"/>
      <c r="BR52" s="4"/>
      <c r="BS52" s="4">
        <v>0.54687013775475679</v>
      </c>
      <c r="BT52" s="4"/>
      <c r="BU52" s="4"/>
      <c r="BV52" s="4"/>
      <c r="BW52" s="4"/>
      <c r="BX52" s="4"/>
      <c r="BY52" s="4"/>
      <c r="BZ52" s="4"/>
      <c r="CA52" s="4"/>
      <c r="CB52" s="4">
        <v>0.63654824770797813</v>
      </c>
      <c r="CC52" s="4">
        <v>0.64474710209865016</v>
      </c>
      <c r="CD52" s="4">
        <v>0.61585979009513281</v>
      </c>
      <c r="CE52" s="4">
        <v>0.63014929836744626</v>
      </c>
      <c r="CF52" s="4">
        <v>0.60755540639043759</v>
      </c>
      <c r="CG52" s="4"/>
      <c r="CH52" s="4">
        <v>0.61635331627099998</v>
      </c>
      <c r="CI52" s="4">
        <v>0.5863684946315374</v>
      </c>
      <c r="CJ52" s="4"/>
      <c r="CK52" s="4"/>
      <c r="CL52" s="4"/>
      <c r="CM52" s="4"/>
      <c r="CN52" s="4"/>
      <c r="CO52" s="4">
        <v>0.60006701686111952</v>
      </c>
      <c r="CP52" s="4">
        <v>0.58904562824397322</v>
      </c>
      <c r="CQ52" s="4"/>
      <c r="CR52" s="4"/>
      <c r="CS52" s="4"/>
      <c r="CT52" s="4"/>
      <c r="CU52" s="4">
        <v>0.59977138107226424</v>
      </c>
      <c r="CV52" s="4">
        <v>0.67350759832662732</v>
      </c>
      <c r="CW52" s="4"/>
      <c r="CX52" s="4"/>
      <c r="CY52" s="4"/>
      <c r="CZ52" s="4"/>
      <c r="DA52" s="4"/>
      <c r="DB52" s="4"/>
      <c r="DC52" s="4"/>
      <c r="DD52" s="4"/>
      <c r="DE52" s="4"/>
      <c r="DF52" s="4"/>
      <c r="DG52" s="4"/>
      <c r="DH52" s="4"/>
      <c r="DI52" s="4"/>
      <c r="DJ52" s="4"/>
      <c r="DK52" s="4">
        <v>0.67345211260602933</v>
      </c>
      <c r="DL52" s="4">
        <v>0.73337126455194701</v>
      </c>
      <c r="DM52" s="4">
        <v>0.76076103064064982</v>
      </c>
      <c r="DN52" s="4">
        <v>0.67819338324831757</v>
      </c>
      <c r="DO52" s="4"/>
      <c r="DP52" s="4"/>
      <c r="DQ52" s="3">
        <v>16.166320288505883</v>
      </c>
      <c r="DR52">
        <f t="shared" si="0"/>
        <v>26</v>
      </c>
      <c r="DS52" s="4">
        <f t="shared" si="1"/>
        <v>0.24761904761904763</v>
      </c>
    </row>
    <row r="53" spans="1:123" x14ac:dyDescent="0.25">
      <c r="A53" t="s">
        <v>81</v>
      </c>
      <c r="B53" t="s">
        <v>72</v>
      </c>
      <c r="C53" t="s">
        <v>73</v>
      </c>
      <c r="D53" t="s">
        <v>32</v>
      </c>
      <c r="E53" t="s">
        <v>74</v>
      </c>
      <c r="F53">
        <v>0.65454869553950812</v>
      </c>
      <c r="G53">
        <v>0.70909739107901626</v>
      </c>
      <c r="H53">
        <v>0.6</v>
      </c>
      <c r="I53">
        <v>268826368400</v>
      </c>
      <c r="J53">
        <v>41.2</v>
      </c>
      <c r="K53">
        <v>12</v>
      </c>
      <c r="O53" s="2" t="s">
        <v>351</v>
      </c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>
        <v>0.60193015505771441</v>
      </c>
      <c r="BQ53" s="4">
        <v>0.66654580890353921</v>
      </c>
      <c r="BR53" s="4">
        <v>0.59692924964752181</v>
      </c>
      <c r="BS53" s="4"/>
      <c r="BT53" s="4"/>
      <c r="BU53" s="4"/>
      <c r="BV53" s="4"/>
      <c r="BW53" s="4">
        <v>0.60883812342985455</v>
      </c>
      <c r="BX53" s="4">
        <v>0.61276930546645569</v>
      </c>
      <c r="BY53" s="4"/>
      <c r="BZ53" s="4"/>
      <c r="CA53" s="4"/>
      <c r="CB53" s="4"/>
      <c r="CC53" s="4"/>
      <c r="CD53" s="4"/>
      <c r="CE53" s="4"/>
      <c r="CF53" s="4"/>
      <c r="CG53" s="4"/>
      <c r="CH53" s="4"/>
      <c r="CI53" s="4"/>
      <c r="CJ53" s="4"/>
      <c r="CK53" s="4"/>
      <c r="CL53" s="4"/>
      <c r="CM53" s="4"/>
      <c r="CN53" s="4"/>
      <c r="CO53" s="4"/>
      <c r="CP53" s="4"/>
      <c r="CQ53" s="4"/>
      <c r="CR53" s="4">
        <v>0.56680111949705714</v>
      </c>
      <c r="CS53" s="4">
        <v>0.6542656719178318</v>
      </c>
      <c r="CT53" s="4"/>
      <c r="CU53" s="4">
        <v>0.58051819294246632</v>
      </c>
      <c r="CV53" s="4"/>
      <c r="CW53" s="4"/>
      <c r="CX53" s="4"/>
      <c r="CY53" s="4"/>
      <c r="CZ53" s="4"/>
      <c r="DA53" s="4"/>
      <c r="DB53" s="4"/>
      <c r="DC53" s="4"/>
      <c r="DD53" s="4"/>
      <c r="DE53" s="4"/>
      <c r="DF53" s="4"/>
      <c r="DG53" s="4"/>
      <c r="DH53" s="4"/>
      <c r="DI53" s="4"/>
      <c r="DJ53" s="4"/>
      <c r="DK53" s="4"/>
      <c r="DL53" s="4"/>
      <c r="DM53" s="4"/>
      <c r="DN53" s="4"/>
      <c r="DO53" s="4"/>
      <c r="DP53" s="4"/>
      <c r="DQ53" s="3">
        <v>4.8885976268624409</v>
      </c>
      <c r="DR53">
        <f t="shared" si="0"/>
        <v>8</v>
      </c>
      <c r="DS53" s="4">
        <f t="shared" si="1"/>
        <v>7.6190476190476197E-2</v>
      </c>
    </row>
    <row r="54" spans="1:123" x14ac:dyDescent="0.25">
      <c r="A54" t="s">
        <v>81</v>
      </c>
      <c r="B54" t="s">
        <v>75</v>
      </c>
      <c r="C54" t="s">
        <v>76</v>
      </c>
      <c r="D54" t="s">
        <v>18</v>
      </c>
      <c r="E54" t="s">
        <v>33</v>
      </c>
      <c r="F54">
        <v>0.65378708898978299</v>
      </c>
      <c r="G54">
        <v>0.9575741779795659</v>
      </c>
      <c r="H54">
        <v>0.35</v>
      </c>
      <c r="I54">
        <v>5203910600</v>
      </c>
      <c r="J54">
        <v>5.8</v>
      </c>
      <c r="K54">
        <v>13</v>
      </c>
      <c r="O54" s="2" t="s">
        <v>386</v>
      </c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4"/>
      <c r="BZ54" s="4"/>
      <c r="CA54" s="4">
        <v>0.66090015223315657</v>
      </c>
      <c r="CB54" s="4">
        <v>0.61557851739045621</v>
      </c>
      <c r="CC54" s="4"/>
      <c r="CD54" s="4"/>
      <c r="CE54" s="4"/>
      <c r="CF54" s="4"/>
      <c r="CG54" s="4"/>
      <c r="CH54" s="4"/>
      <c r="CI54" s="4"/>
      <c r="CJ54" s="4"/>
      <c r="CK54" s="4"/>
      <c r="CL54" s="4"/>
      <c r="CM54" s="4"/>
      <c r="CN54" s="4"/>
      <c r="CO54" s="4"/>
      <c r="CP54" s="4"/>
      <c r="CQ54" s="4"/>
      <c r="CR54" s="4"/>
      <c r="CS54" s="4"/>
      <c r="CT54" s="4"/>
      <c r="CU54" s="4"/>
      <c r="CV54" s="4"/>
      <c r="CW54" s="4"/>
      <c r="CX54" s="4"/>
      <c r="CY54" s="4"/>
      <c r="CZ54" s="4"/>
      <c r="DA54" s="4"/>
      <c r="DB54" s="4"/>
      <c r="DC54" s="4"/>
      <c r="DD54" s="4"/>
      <c r="DE54" s="4"/>
      <c r="DF54" s="4"/>
      <c r="DG54" s="4"/>
      <c r="DH54" s="4"/>
      <c r="DI54" s="4"/>
      <c r="DJ54" s="4"/>
      <c r="DK54" s="4"/>
      <c r="DL54" s="4"/>
      <c r="DM54" s="4"/>
      <c r="DN54" s="4"/>
      <c r="DO54" s="4"/>
      <c r="DP54" s="4"/>
      <c r="DQ54" s="3">
        <v>1.2764786696236128</v>
      </c>
      <c r="DR54">
        <f t="shared" si="0"/>
        <v>2</v>
      </c>
      <c r="DS54" s="4">
        <f t="shared" si="1"/>
        <v>1.9047619047619049E-2</v>
      </c>
    </row>
    <row r="55" spans="1:123" x14ac:dyDescent="0.25">
      <c r="A55" t="s">
        <v>81</v>
      </c>
      <c r="B55" t="s">
        <v>19</v>
      </c>
      <c r="C55" t="s">
        <v>20</v>
      </c>
      <c r="D55" t="s">
        <v>18</v>
      </c>
      <c r="E55" t="s">
        <v>15</v>
      </c>
      <c r="F55">
        <v>0.65232305697908544</v>
      </c>
      <c r="G55">
        <v>0.85464611395817092</v>
      </c>
      <c r="H55">
        <v>0.45</v>
      </c>
      <c r="I55">
        <v>2583741400</v>
      </c>
      <c r="J55">
        <v>308</v>
      </c>
      <c r="K55">
        <v>14</v>
      </c>
      <c r="O55" s="2" t="s">
        <v>418</v>
      </c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>
        <v>0.60423178018699863</v>
      </c>
      <c r="CI55" s="4"/>
      <c r="CJ55" s="4"/>
      <c r="CK55" s="4"/>
      <c r="CL55" s="4"/>
      <c r="CM55" s="4"/>
      <c r="CN55" s="4"/>
      <c r="CO55" s="4"/>
      <c r="CP55" s="4"/>
      <c r="CQ55" s="4"/>
      <c r="CR55" s="4"/>
      <c r="CS55" s="4"/>
      <c r="CT55" s="4"/>
      <c r="CU55" s="4"/>
      <c r="CV55" s="4">
        <v>0.56552001159970322</v>
      </c>
      <c r="CW55" s="4"/>
      <c r="CX55" s="4">
        <v>0.62197948814840065</v>
      </c>
      <c r="CY55" s="4">
        <v>0.72891702650078338</v>
      </c>
      <c r="CZ55" s="4">
        <v>0.62368608760849709</v>
      </c>
      <c r="DA55" s="4"/>
      <c r="DB55" s="4">
        <v>0.60111651753526352</v>
      </c>
      <c r="DC55" s="4">
        <v>0.72680206908667411</v>
      </c>
      <c r="DD55" s="4">
        <v>0.64870212253202075</v>
      </c>
      <c r="DE55" s="4">
        <v>0.68431028477902434</v>
      </c>
      <c r="DF55" s="4">
        <v>0.68625113081737754</v>
      </c>
      <c r="DG55" s="4">
        <v>0.7765963742210078</v>
      </c>
      <c r="DH55" s="4">
        <v>0.70460486388007904</v>
      </c>
      <c r="DI55" s="4">
        <v>0.75766075518017817</v>
      </c>
      <c r="DJ55" s="4">
        <v>0.75182896682491318</v>
      </c>
      <c r="DK55" s="4">
        <v>0.64247487151152827</v>
      </c>
      <c r="DL55" s="4"/>
      <c r="DM55" s="4"/>
      <c r="DN55" s="4">
        <v>0.76080115889081168</v>
      </c>
      <c r="DO55" s="4">
        <v>0.7579392051426812</v>
      </c>
      <c r="DP55" s="4"/>
      <c r="DQ55" s="3">
        <v>11.643422714445943</v>
      </c>
      <c r="DR55">
        <f t="shared" si="0"/>
        <v>17</v>
      </c>
      <c r="DS55" s="4">
        <f t="shared" si="1"/>
        <v>0.16190476190476191</v>
      </c>
    </row>
    <row r="56" spans="1:123" x14ac:dyDescent="0.25">
      <c r="A56" t="s">
        <v>81</v>
      </c>
      <c r="B56" t="s">
        <v>92</v>
      </c>
      <c r="C56" t="s">
        <v>93</v>
      </c>
      <c r="D56" t="s">
        <v>14</v>
      </c>
      <c r="E56" t="s">
        <v>59</v>
      </c>
      <c r="F56">
        <v>0.64037416045547535</v>
      </c>
      <c r="G56">
        <v>0.88074832091095079</v>
      </c>
      <c r="H56">
        <v>0.4</v>
      </c>
      <c r="I56">
        <v>21419601000</v>
      </c>
      <c r="J56">
        <v>15.5</v>
      </c>
      <c r="K56">
        <v>15</v>
      </c>
      <c r="O56" s="2" t="s">
        <v>527</v>
      </c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  <c r="CO56" s="4"/>
      <c r="CP56" s="4"/>
      <c r="CQ56" s="4"/>
      <c r="CR56" s="4"/>
      <c r="CS56" s="4"/>
      <c r="CT56" s="4"/>
      <c r="CU56" s="4"/>
      <c r="CV56" s="4"/>
      <c r="CW56" s="4"/>
      <c r="CX56" s="4"/>
      <c r="CY56" s="4"/>
      <c r="CZ56" s="4"/>
      <c r="DA56" s="4"/>
      <c r="DB56" s="4"/>
      <c r="DC56" s="4"/>
      <c r="DD56" s="4"/>
      <c r="DE56" s="4"/>
      <c r="DF56" s="4"/>
      <c r="DG56" s="4"/>
      <c r="DH56" s="4"/>
      <c r="DI56" s="4"/>
      <c r="DJ56" s="4"/>
      <c r="DK56" s="4"/>
      <c r="DL56" s="4"/>
      <c r="DM56" s="4">
        <v>0.73846693512816552</v>
      </c>
      <c r="DN56" s="4"/>
      <c r="DO56" s="4"/>
      <c r="DP56" s="4"/>
      <c r="DQ56" s="3">
        <v>0.73846693512816552</v>
      </c>
      <c r="DR56">
        <f t="shared" si="0"/>
        <v>1</v>
      </c>
      <c r="DS56" s="4">
        <f t="shared" si="1"/>
        <v>9.5238095238095247E-3</v>
      </c>
    </row>
    <row r="57" spans="1:123" x14ac:dyDescent="0.25">
      <c r="A57" t="s">
        <v>81</v>
      </c>
      <c r="B57" t="s">
        <v>43</v>
      </c>
      <c r="C57" t="s">
        <v>44</v>
      </c>
      <c r="D57" t="s">
        <v>14</v>
      </c>
      <c r="E57" t="s">
        <v>15</v>
      </c>
      <c r="F57">
        <v>0.62523626101872942</v>
      </c>
      <c r="G57">
        <v>0.85047252203745882</v>
      </c>
      <c r="H57">
        <v>0.4</v>
      </c>
      <c r="I57">
        <v>2052085000</v>
      </c>
      <c r="J57">
        <v>20.6</v>
      </c>
      <c r="K57">
        <v>16</v>
      </c>
      <c r="O57" s="2" t="s">
        <v>253</v>
      </c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>
        <v>0.58885865834201145</v>
      </c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BV57" s="4"/>
      <c r="BW57" s="4"/>
      <c r="BX57" s="4"/>
      <c r="BY57" s="4"/>
      <c r="BZ57" s="4"/>
      <c r="CA57" s="4"/>
      <c r="CB57" s="4"/>
      <c r="CC57" s="4"/>
      <c r="CD57" s="4"/>
      <c r="CE57" s="4"/>
      <c r="CF57" s="4"/>
      <c r="CG57" s="4"/>
      <c r="CH57" s="4"/>
      <c r="CI57" s="4"/>
      <c r="CJ57" s="4"/>
      <c r="CK57" s="4"/>
      <c r="CL57" s="4"/>
      <c r="CM57" s="4"/>
      <c r="CN57" s="4"/>
      <c r="CO57" s="4"/>
      <c r="CP57" s="4"/>
      <c r="CQ57" s="4"/>
      <c r="CR57" s="4"/>
      <c r="CS57" s="4"/>
      <c r="CT57" s="4"/>
      <c r="CU57" s="4"/>
      <c r="CV57" s="4"/>
      <c r="CW57" s="4"/>
      <c r="CX57" s="4"/>
      <c r="CY57" s="4"/>
      <c r="CZ57" s="4"/>
      <c r="DA57" s="4"/>
      <c r="DB57" s="4"/>
      <c r="DC57" s="4"/>
      <c r="DD57" s="4"/>
      <c r="DE57" s="4"/>
      <c r="DF57" s="4"/>
      <c r="DG57" s="4"/>
      <c r="DH57" s="4"/>
      <c r="DI57" s="4"/>
      <c r="DJ57" s="4"/>
      <c r="DK57" s="4"/>
      <c r="DL57" s="4"/>
      <c r="DM57" s="4"/>
      <c r="DN57" s="4"/>
      <c r="DO57" s="4"/>
      <c r="DP57" s="4"/>
      <c r="DQ57" s="3">
        <v>0.58885865834201145</v>
      </c>
      <c r="DR57">
        <f t="shared" si="0"/>
        <v>1</v>
      </c>
      <c r="DS57" s="4">
        <f t="shared" si="1"/>
        <v>9.5238095238095247E-3</v>
      </c>
    </row>
    <row r="58" spans="1:123" x14ac:dyDescent="0.25">
      <c r="A58" t="s">
        <v>81</v>
      </c>
      <c r="B58" t="s">
        <v>37</v>
      </c>
      <c r="C58" t="s">
        <v>38</v>
      </c>
      <c r="D58" t="s">
        <v>18</v>
      </c>
      <c r="E58" t="s">
        <v>39</v>
      </c>
      <c r="F58">
        <v>0.61898881242055093</v>
      </c>
      <c r="G58">
        <v>0.93797762484110192</v>
      </c>
      <c r="H58">
        <v>0.3</v>
      </c>
      <c r="I58">
        <v>4992249000</v>
      </c>
      <c r="J58">
        <v>40</v>
      </c>
      <c r="K58">
        <v>17</v>
      </c>
      <c r="O58" s="2" t="s">
        <v>298</v>
      </c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>
        <v>0.5854347212990465</v>
      </c>
      <c r="BA58" s="4"/>
      <c r="BB58" s="4"/>
      <c r="BC58" s="4">
        <v>0.55586024731763017</v>
      </c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  <c r="BW58" s="4"/>
      <c r="BX58" s="4"/>
      <c r="BY58" s="4"/>
      <c r="BZ58" s="4"/>
      <c r="CA58" s="4"/>
      <c r="CB58" s="4"/>
      <c r="CC58" s="4"/>
      <c r="CD58" s="4"/>
      <c r="CE58" s="4"/>
      <c r="CF58" s="4"/>
      <c r="CG58" s="4"/>
      <c r="CH58" s="4"/>
      <c r="CI58" s="4"/>
      <c r="CJ58" s="4"/>
      <c r="CK58" s="4"/>
      <c r="CL58" s="4"/>
      <c r="CM58" s="4"/>
      <c r="CN58" s="4"/>
      <c r="CO58" s="4"/>
      <c r="CP58" s="4"/>
      <c r="CQ58" s="4"/>
      <c r="CR58" s="4"/>
      <c r="CS58" s="4"/>
      <c r="CT58" s="4"/>
      <c r="CU58" s="4"/>
      <c r="CV58" s="4"/>
      <c r="CW58" s="4"/>
      <c r="CX58" s="4"/>
      <c r="CY58" s="4"/>
      <c r="CZ58" s="4"/>
      <c r="DA58" s="4"/>
      <c r="DB58" s="4"/>
      <c r="DC58" s="4"/>
      <c r="DD58" s="4"/>
      <c r="DE58" s="4"/>
      <c r="DF58" s="4"/>
      <c r="DG58" s="4"/>
      <c r="DH58" s="4"/>
      <c r="DI58" s="4"/>
      <c r="DJ58" s="4"/>
      <c r="DK58" s="4"/>
      <c r="DL58" s="4"/>
      <c r="DM58" s="4"/>
      <c r="DN58" s="4"/>
      <c r="DO58" s="4"/>
      <c r="DP58" s="4"/>
      <c r="DQ58" s="3">
        <v>1.1412949686166767</v>
      </c>
      <c r="DR58">
        <f t="shared" si="0"/>
        <v>2</v>
      </c>
      <c r="DS58" s="4">
        <f t="shared" si="1"/>
        <v>1.9047619047619049E-2</v>
      </c>
    </row>
    <row r="59" spans="1:123" x14ac:dyDescent="0.25">
      <c r="A59" t="s">
        <v>81</v>
      </c>
      <c r="B59" t="s">
        <v>94</v>
      </c>
      <c r="C59" t="s">
        <v>95</v>
      </c>
      <c r="D59" t="s">
        <v>32</v>
      </c>
      <c r="E59" t="s">
        <v>33</v>
      </c>
      <c r="F59">
        <v>0.61254151374736554</v>
      </c>
      <c r="G59">
        <v>0.72508302749473108</v>
      </c>
      <c r="H59">
        <v>0.5</v>
      </c>
      <c r="I59">
        <v>3278465660</v>
      </c>
      <c r="J59">
        <v>2.11</v>
      </c>
      <c r="K59">
        <v>18</v>
      </c>
      <c r="O59" s="2" t="s">
        <v>176</v>
      </c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>
        <v>0.63372394535166232</v>
      </c>
      <c r="AC59" s="4">
        <v>0.62759637829089077</v>
      </c>
      <c r="AD59" s="4">
        <v>0.62749098851627372</v>
      </c>
      <c r="AE59" s="4">
        <v>0.62992245324691587</v>
      </c>
      <c r="AF59" s="4">
        <v>0.661775254955971</v>
      </c>
      <c r="AG59" s="4">
        <v>0.65715857987390947</v>
      </c>
      <c r="AH59" s="4">
        <v>0.61662383270833476</v>
      </c>
      <c r="AI59" s="4">
        <v>0.61463487490455893</v>
      </c>
      <c r="AJ59" s="4">
        <v>0.57445653542293529</v>
      </c>
      <c r="AK59" s="4">
        <v>0.76103939399328202</v>
      </c>
      <c r="AL59" s="4">
        <v>0.61759958385891778</v>
      </c>
      <c r="AM59" s="4">
        <v>0.602962619582464</v>
      </c>
      <c r="AN59" s="4">
        <v>0.601798943558287</v>
      </c>
      <c r="AO59" s="4"/>
      <c r="AP59" s="4">
        <v>0.57545199368255706</v>
      </c>
      <c r="AQ59" s="4">
        <v>0.7044287185693463</v>
      </c>
      <c r="AR59" s="4">
        <v>0.67435526183345473</v>
      </c>
      <c r="AS59" s="4">
        <v>0.72111352195143485</v>
      </c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>
        <v>0.65958221058018074</v>
      </c>
      <c r="BE59" s="4">
        <v>0.60627643493624095</v>
      </c>
      <c r="BF59" s="4">
        <v>0.60324782959020351</v>
      </c>
      <c r="BG59" s="4">
        <v>0.60375260056407443</v>
      </c>
      <c r="BH59" s="4"/>
      <c r="BI59" s="4">
        <v>0.5984537528456807</v>
      </c>
      <c r="BJ59" s="4"/>
      <c r="BK59" s="4"/>
      <c r="BL59" s="4">
        <v>0.63081828762041503</v>
      </c>
      <c r="BM59" s="4"/>
      <c r="BN59" s="4"/>
      <c r="BO59" s="4"/>
      <c r="BP59" s="4"/>
      <c r="BQ59" s="4">
        <v>0.56992572361004024</v>
      </c>
      <c r="BR59" s="4"/>
      <c r="BS59" s="4"/>
      <c r="BT59" s="4"/>
      <c r="BU59" s="4"/>
      <c r="BV59" s="4">
        <v>0.61010574051370936</v>
      </c>
      <c r="BW59" s="4"/>
      <c r="BX59" s="4"/>
      <c r="BY59" s="4"/>
      <c r="BZ59" s="4"/>
      <c r="CA59" s="4"/>
      <c r="CB59" s="4"/>
      <c r="CC59" s="4"/>
      <c r="CD59" s="4"/>
      <c r="CE59" s="4">
        <v>0.66173327289190143</v>
      </c>
      <c r="CF59" s="4"/>
      <c r="CG59" s="4"/>
      <c r="CH59" s="4"/>
      <c r="CI59" s="4"/>
      <c r="CJ59" s="4">
        <v>0.63021635246823338</v>
      </c>
      <c r="CK59" s="4"/>
      <c r="CL59" s="4"/>
      <c r="CM59" s="4"/>
      <c r="CN59" s="4"/>
      <c r="CO59" s="4"/>
      <c r="CP59" s="4"/>
      <c r="CQ59" s="4"/>
      <c r="CR59" s="4"/>
      <c r="CS59" s="4"/>
      <c r="CT59" s="4"/>
      <c r="CU59" s="4">
        <v>0.57195276763845571</v>
      </c>
      <c r="CV59" s="4"/>
      <c r="CW59" s="4"/>
      <c r="CX59" s="4"/>
      <c r="CY59" s="4"/>
      <c r="CZ59" s="4"/>
      <c r="DA59" s="4"/>
      <c r="DB59" s="4"/>
      <c r="DC59" s="4"/>
      <c r="DD59" s="4">
        <v>0.649397107495153</v>
      </c>
      <c r="DE59" s="4"/>
      <c r="DF59" s="4"/>
      <c r="DG59" s="4"/>
      <c r="DH59" s="4"/>
      <c r="DI59" s="4"/>
      <c r="DJ59" s="4"/>
      <c r="DK59" s="4"/>
      <c r="DL59" s="4"/>
      <c r="DM59" s="4"/>
      <c r="DN59" s="4"/>
      <c r="DO59" s="4"/>
      <c r="DP59" s="4"/>
      <c r="DQ59" s="3">
        <v>18.297594961055491</v>
      </c>
      <c r="DR59">
        <f t="shared" si="0"/>
        <v>29</v>
      </c>
      <c r="DS59" s="4">
        <f t="shared" si="1"/>
        <v>0.27619047619047621</v>
      </c>
    </row>
    <row r="60" spans="1:123" x14ac:dyDescent="0.25">
      <c r="A60" t="s">
        <v>81</v>
      </c>
      <c r="B60" t="s">
        <v>96</v>
      </c>
      <c r="C60" t="s">
        <v>97</v>
      </c>
      <c r="D60" t="s">
        <v>32</v>
      </c>
      <c r="E60" t="s">
        <v>23</v>
      </c>
      <c r="F60">
        <v>0.61139514216571045</v>
      </c>
      <c r="G60">
        <v>0.97279028433142078</v>
      </c>
      <c r="H60">
        <v>0.25</v>
      </c>
      <c r="I60">
        <v>2722466140</v>
      </c>
      <c r="J60">
        <v>6.05</v>
      </c>
      <c r="K60">
        <v>19</v>
      </c>
      <c r="O60" s="2" t="s">
        <v>214</v>
      </c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>
        <v>0.68854044573910089</v>
      </c>
      <c r="AJ60" s="4">
        <v>0.65624966454722733</v>
      </c>
      <c r="AK60" s="4">
        <v>0.67409758382478491</v>
      </c>
      <c r="AL60" s="4">
        <v>0.78626415161134466</v>
      </c>
      <c r="AM60" s="4">
        <v>0.56839008544456404</v>
      </c>
      <c r="AN60" s="4">
        <v>0.63927960326610467</v>
      </c>
      <c r="AO60" s="4">
        <v>0.49919466874004642</v>
      </c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BV60" s="4"/>
      <c r="BW60" s="4"/>
      <c r="BX60" s="4"/>
      <c r="BY60" s="4"/>
      <c r="BZ60" s="4"/>
      <c r="CA60" s="4"/>
      <c r="CB60" s="4"/>
      <c r="CC60" s="4"/>
      <c r="CD60" s="4"/>
      <c r="CE60" s="4"/>
      <c r="CF60" s="4"/>
      <c r="CG60" s="4"/>
      <c r="CH60" s="4"/>
      <c r="CI60" s="4"/>
      <c r="CJ60" s="4"/>
      <c r="CK60" s="4"/>
      <c r="CL60" s="4"/>
      <c r="CM60" s="4"/>
      <c r="CN60" s="4"/>
      <c r="CO60" s="4"/>
      <c r="CP60" s="4"/>
      <c r="CQ60" s="4"/>
      <c r="CR60" s="4"/>
      <c r="CS60" s="4"/>
      <c r="CT60" s="4"/>
      <c r="CU60" s="4"/>
      <c r="CV60" s="4"/>
      <c r="CW60" s="4"/>
      <c r="CX60" s="4"/>
      <c r="CY60" s="4"/>
      <c r="CZ60" s="4"/>
      <c r="DA60" s="4"/>
      <c r="DB60" s="4"/>
      <c r="DC60" s="4"/>
      <c r="DD60" s="4"/>
      <c r="DE60" s="4"/>
      <c r="DF60" s="4"/>
      <c r="DG60" s="4"/>
      <c r="DH60" s="4"/>
      <c r="DI60" s="4"/>
      <c r="DJ60" s="4"/>
      <c r="DK60" s="4"/>
      <c r="DL60" s="4"/>
      <c r="DM60" s="4"/>
      <c r="DN60" s="4"/>
      <c r="DO60" s="4"/>
      <c r="DP60" s="4"/>
      <c r="DQ60" s="3">
        <v>4.5120162031731734</v>
      </c>
      <c r="DR60">
        <f t="shared" si="0"/>
        <v>7</v>
      </c>
      <c r="DS60" s="4">
        <f t="shared" si="1"/>
        <v>6.6666666666666666E-2</v>
      </c>
    </row>
    <row r="61" spans="1:123" x14ac:dyDescent="0.25">
      <c r="A61" t="s">
        <v>81</v>
      </c>
      <c r="B61" t="s">
        <v>66</v>
      </c>
      <c r="C61" t="s">
        <v>67</v>
      </c>
      <c r="D61" t="s">
        <v>14</v>
      </c>
      <c r="E61" t="s">
        <v>39</v>
      </c>
      <c r="F61">
        <v>0.60069653116430799</v>
      </c>
      <c r="G61">
        <v>0.75139306232861602</v>
      </c>
      <c r="H61">
        <v>0.45</v>
      </c>
      <c r="I61">
        <v>43587885000</v>
      </c>
      <c r="J61">
        <v>7.5</v>
      </c>
      <c r="K61">
        <v>20</v>
      </c>
      <c r="O61" s="2" t="s">
        <v>315</v>
      </c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>
        <v>0.60204530396571754</v>
      </c>
      <c r="BF61" s="4">
        <v>0.61619149774418092</v>
      </c>
      <c r="BG61" s="4">
        <v>0.67672222877020316</v>
      </c>
      <c r="BH61" s="4">
        <v>0.6471366514996385</v>
      </c>
      <c r="BI61" s="4">
        <v>0.58209034001053794</v>
      </c>
      <c r="BJ61" s="4"/>
      <c r="BK61" s="4"/>
      <c r="BL61" s="4"/>
      <c r="BM61" s="4"/>
      <c r="BN61" s="4"/>
      <c r="BO61" s="4"/>
      <c r="BP61" s="4"/>
      <c r="BQ61" s="4"/>
      <c r="BR61" s="4"/>
      <c r="BS61" s="4"/>
      <c r="BT61" s="4"/>
      <c r="BU61" s="4"/>
      <c r="BV61" s="4"/>
      <c r="BW61" s="4"/>
      <c r="BX61" s="4"/>
      <c r="BY61" s="4"/>
      <c r="BZ61" s="4"/>
      <c r="CA61" s="4"/>
      <c r="CB61" s="4"/>
      <c r="CC61" s="4"/>
      <c r="CD61" s="4"/>
      <c r="CE61" s="4">
        <v>0.67220664241147832</v>
      </c>
      <c r="CF61" s="4"/>
      <c r="CG61" s="4"/>
      <c r="CH61" s="4"/>
      <c r="CI61" s="4"/>
      <c r="CJ61" s="4"/>
      <c r="CK61" s="4"/>
      <c r="CL61" s="4"/>
      <c r="CM61" s="4"/>
      <c r="CN61" s="4"/>
      <c r="CO61" s="4"/>
      <c r="CP61" s="4"/>
      <c r="CQ61" s="4"/>
      <c r="CR61" s="4"/>
      <c r="CS61" s="4"/>
      <c r="CT61" s="4"/>
      <c r="CU61" s="4"/>
      <c r="CV61" s="4"/>
      <c r="CW61" s="4"/>
      <c r="CX61" s="4"/>
      <c r="CY61" s="4"/>
      <c r="CZ61" s="4"/>
      <c r="DA61" s="4"/>
      <c r="DB61" s="4"/>
      <c r="DC61" s="4"/>
      <c r="DD61" s="4"/>
      <c r="DE61" s="4"/>
      <c r="DF61" s="4"/>
      <c r="DG61" s="4"/>
      <c r="DH61" s="4"/>
      <c r="DI61" s="4"/>
      <c r="DJ61" s="4"/>
      <c r="DK61" s="4"/>
      <c r="DL61" s="4"/>
      <c r="DM61" s="4"/>
      <c r="DN61" s="4"/>
      <c r="DO61" s="4"/>
      <c r="DP61" s="4"/>
      <c r="DQ61" s="3">
        <v>3.7963926644017563</v>
      </c>
      <c r="DR61">
        <f t="shared" si="0"/>
        <v>6</v>
      </c>
      <c r="DS61" s="4">
        <f t="shared" si="1"/>
        <v>5.7142857142857141E-2</v>
      </c>
    </row>
    <row r="62" spans="1:123" x14ac:dyDescent="0.25">
      <c r="A62" t="s">
        <v>98</v>
      </c>
      <c r="B62" t="s">
        <v>24</v>
      </c>
      <c r="C62" t="s">
        <v>25</v>
      </c>
      <c r="D62" t="s">
        <v>18</v>
      </c>
      <c r="E62" t="s">
        <v>26</v>
      </c>
      <c r="F62">
        <v>0.74658145154958522</v>
      </c>
      <c r="G62">
        <v>0.89316290309917046</v>
      </c>
      <c r="H62">
        <v>0.6</v>
      </c>
      <c r="I62">
        <v>5866700600</v>
      </c>
      <c r="J62">
        <v>13.3</v>
      </c>
      <c r="K62">
        <v>1</v>
      </c>
      <c r="O62" s="2" t="s">
        <v>489</v>
      </c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  <c r="CO62" s="4"/>
      <c r="CP62" s="4"/>
      <c r="CQ62" s="4"/>
      <c r="CR62" s="4"/>
      <c r="CS62" s="4"/>
      <c r="CT62" s="4"/>
      <c r="CU62" s="4"/>
      <c r="CV62" s="4"/>
      <c r="CW62" s="4"/>
      <c r="CX62" s="4"/>
      <c r="CY62" s="4">
        <v>0.58102138728031028</v>
      </c>
      <c r="CZ62" s="4">
        <v>0.6912696186144941</v>
      </c>
      <c r="DA62" s="4">
        <v>0.62044676105970187</v>
      </c>
      <c r="DB62" s="4">
        <v>0.65888331058086314</v>
      </c>
      <c r="DC62" s="4"/>
      <c r="DD62" s="4"/>
      <c r="DE62" s="4"/>
      <c r="DF62" s="4"/>
      <c r="DG62" s="4"/>
      <c r="DH62" s="4"/>
      <c r="DI62" s="4"/>
      <c r="DJ62" s="4"/>
      <c r="DK62" s="4"/>
      <c r="DL62" s="4"/>
      <c r="DM62" s="4"/>
      <c r="DN62" s="4"/>
      <c r="DO62" s="4"/>
      <c r="DP62" s="4"/>
      <c r="DQ62" s="3">
        <v>2.5516210775353692</v>
      </c>
      <c r="DR62">
        <f t="shared" si="0"/>
        <v>4</v>
      </c>
      <c r="DS62" s="4">
        <f t="shared" si="1"/>
        <v>3.8095238095238099E-2</v>
      </c>
    </row>
    <row r="63" spans="1:123" x14ac:dyDescent="0.25">
      <c r="A63" t="s">
        <v>98</v>
      </c>
      <c r="B63" t="s">
        <v>45</v>
      </c>
      <c r="C63" t="s">
        <v>46</v>
      </c>
      <c r="D63" t="s">
        <v>14</v>
      </c>
      <c r="E63" t="s">
        <v>15</v>
      </c>
      <c r="F63">
        <v>0.7375657310888355</v>
      </c>
      <c r="G63">
        <v>0.92513146217767106</v>
      </c>
      <c r="H63">
        <v>0.55000000000000004</v>
      </c>
      <c r="I63">
        <v>3275986800</v>
      </c>
      <c r="J63">
        <v>24</v>
      </c>
      <c r="K63">
        <v>2</v>
      </c>
      <c r="O63" s="2" t="s">
        <v>384</v>
      </c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  <c r="BX63" s="4"/>
      <c r="BY63" s="4"/>
      <c r="BZ63" s="4"/>
      <c r="CA63" s="4">
        <v>0.79606883070991497</v>
      </c>
      <c r="CB63" s="4">
        <v>0.7963768802020843</v>
      </c>
      <c r="CC63" s="4">
        <v>0.82127969248348609</v>
      </c>
      <c r="CD63" s="4">
        <v>0.79305173684960506</v>
      </c>
      <c r="CE63" s="4">
        <v>0.71620596802433101</v>
      </c>
      <c r="CF63" s="4">
        <v>0.73869757539412162</v>
      </c>
      <c r="CG63" s="4">
        <v>0.77029952912947297</v>
      </c>
      <c r="CH63" s="4">
        <v>0.76537696746602679</v>
      </c>
      <c r="CI63" s="4">
        <v>0.74262524177272682</v>
      </c>
      <c r="CJ63" s="4">
        <v>0.71485602634644141</v>
      </c>
      <c r="CK63" s="4">
        <v>0.63639357960256959</v>
      </c>
      <c r="CL63" s="4">
        <v>0.63296076520819411</v>
      </c>
      <c r="CM63" s="4">
        <v>0.68275490695834573</v>
      </c>
      <c r="CN63" s="4">
        <v>0.60806939058307652</v>
      </c>
      <c r="CO63" s="4">
        <v>0.62824436493400493</v>
      </c>
      <c r="CP63" s="4">
        <v>0.59806787998266264</v>
      </c>
      <c r="CQ63" s="4">
        <v>0.60916524830696595</v>
      </c>
      <c r="CR63" s="4">
        <v>0.64343356554455022</v>
      </c>
      <c r="CS63" s="4"/>
      <c r="CT63" s="4"/>
      <c r="CU63" s="4"/>
      <c r="CV63" s="4"/>
      <c r="CW63" s="4"/>
      <c r="CX63" s="4"/>
      <c r="CY63" s="4"/>
      <c r="CZ63" s="4"/>
      <c r="DA63" s="4"/>
      <c r="DB63" s="4"/>
      <c r="DC63" s="4"/>
      <c r="DD63" s="4"/>
      <c r="DE63" s="4"/>
      <c r="DF63" s="4"/>
      <c r="DG63" s="4"/>
      <c r="DH63" s="4"/>
      <c r="DI63" s="4"/>
      <c r="DJ63" s="4"/>
      <c r="DK63" s="4"/>
      <c r="DL63" s="4"/>
      <c r="DM63" s="4"/>
      <c r="DN63" s="4"/>
      <c r="DO63" s="4"/>
      <c r="DP63" s="4"/>
      <c r="DQ63" s="3">
        <v>12.693928149498582</v>
      </c>
      <c r="DR63">
        <f t="shared" si="0"/>
        <v>18</v>
      </c>
      <c r="DS63" s="4">
        <f t="shared" si="1"/>
        <v>0.17142857142857143</v>
      </c>
    </row>
    <row r="64" spans="1:123" x14ac:dyDescent="0.25">
      <c r="A64" t="s">
        <v>98</v>
      </c>
      <c r="B64" t="s">
        <v>99</v>
      </c>
      <c r="C64" t="s">
        <v>100</v>
      </c>
      <c r="D64" t="s">
        <v>32</v>
      </c>
      <c r="E64" t="s">
        <v>29</v>
      </c>
      <c r="F64">
        <v>0.72872781005954756</v>
      </c>
      <c r="G64">
        <v>0.95745562011909502</v>
      </c>
      <c r="H64">
        <v>0.5</v>
      </c>
      <c r="I64">
        <v>23359785800</v>
      </c>
      <c r="J64">
        <v>56.4</v>
      </c>
      <c r="K64">
        <v>3</v>
      </c>
      <c r="O64" s="2" t="s">
        <v>122</v>
      </c>
      <c r="P64" s="4"/>
      <c r="Q64" s="4"/>
      <c r="R64" s="4"/>
      <c r="S64" s="4"/>
      <c r="T64" s="4"/>
      <c r="U64" s="4">
        <v>0.63885484049117414</v>
      </c>
      <c r="V64" s="4">
        <v>0.66714131036640378</v>
      </c>
      <c r="W64" s="4">
        <v>0.68980468684613183</v>
      </c>
      <c r="X64" s="4">
        <v>0.68402720407670903</v>
      </c>
      <c r="Y64" s="4">
        <v>0.71062438331337141</v>
      </c>
      <c r="Z64" s="4">
        <v>0.71160721837133933</v>
      </c>
      <c r="AA64" s="4">
        <v>0.57217572558014285</v>
      </c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>
        <v>0.56559345581604503</v>
      </c>
      <c r="AO64" s="4"/>
      <c r="AP64" s="4">
        <v>0.48876380600128039</v>
      </c>
      <c r="AQ64" s="4"/>
      <c r="AR64" s="4"/>
      <c r="AS64" s="4">
        <v>0.60700783693589944</v>
      </c>
      <c r="AT64" s="4">
        <v>0.66691175473035114</v>
      </c>
      <c r="AU64" s="4">
        <v>0.63412045372678905</v>
      </c>
      <c r="AV64" s="4">
        <v>0.74417257188742991</v>
      </c>
      <c r="AW64" s="4">
        <v>0.76742796582401818</v>
      </c>
      <c r="AX64" s="4">
        <v>0.71498486752665114</v>
      </c>
      <c r="AY64" s="4">
        <v>0.71544259090612483</v>
      </c>
      <c r="AZ64" s="4">
        <v>0.60136619621467058</v>
      </c>
      <c r="BA64" s="4">
        <v>0.60304112565187107</v>
      </c>
      <c r="BB64" s="4">
        <v>0.66758624539356592</v>
      </c>
      <c r="BC64" s="4">
        <v>0.55863662268740677</v>
      </c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>
        <v>0.5758940040801106</v>
      </c>
      <c r="BQ64" s="4"/>
      <c r="BR64" s="4"/>
      <c r="BS64" s="4"/>
      <c r="BT64" s="4"/>
      <c r="BU64" s="4"/>
      <c r="BV64" s="4"/>
      <c r="BW64" s="4"/>
      <c r="BX64" s="4"/>
      <c r="BY64" s="4"/>
      <c r="BZ64" s="4"/>
      <c r="CA64" s="4"/>
      <c r="CB64" s="4"/>
      <c r="CC64" s="4"/>
      <c r="CD64" s="4"/>
      <c r="CE64" s="4"/>
      <c r="CF64" s="4"/>
      <c r="CG64" s="4"/>
      <c r="CH64" s="4"/>
      <c r="CI64" s="4"/>
      <c r="CJ64" s="4"/>
      <c r="CK64" s="4"/>
      <c r="CL64" s="4"/>
      <c r="CM64" s="4">
        <v>0.65869295350763046</v>
      </c>
      <c r="CN64" s="4">
        <v>0.59029253002607662</v>
      </c>
      <c r="CO64" s="4"/>
      <c r="CP64" s="4"/>
      <c r="CQ64" s="4"/>
      <c r="CR64" s="4"/>
      <c r="CS64" s="4"/>
      <c r="CT64" s="4"/>
      <c r="CU64" s="4"/>
      <c r="CV64" s="4"/>
      <c r="CW64" s="4"/>
      <c r="CX64" s="4"/>
      <c r="CY64" s="4"/>
      <c r="CZ64" s="4"/>
      <c r="DA64" s="4"/>
      <c r="DB64" s="4"/>
      <c r="DC64" s="4"/>
      <c r="DD64" s="4"/>
      <c r="DE64" s="4"/>
      <c r="DF64" s="4">
        <v>0.65869007935255253</v>
      </c>
      <c r="DG64" s="4">
        <v>0.68641566665843867</v>
      </c>
      <c r="DH64" s="4"/>
      <c r="DI64" s="4"/>
      <c r="DJ64" s="4"/>
      <c r="DK64" s="4"/>
      <c r="DL64" s="4"/>
      <c r="DM64" s="4"/>
      <c r="DN64" s="4"/>
      <c r="DO64" s="4"/>
      <c r="DP64" s="4"/>
      <c r="DQ64" s="3">
        <v>16.179276095972185</v>
      </c>
      <c r="DR64">
        <f t="shared" si="0"/>
        <v>25</v>
      </c>
      <c r="DS64" s="4">
        <f t="shared" si="1"/>
        <v>0.23809523809523808</v>
      </c>
    </row>
    <row r="65" spans="1:123" x14ac:dyDescent="0.25">
      <c r="A65" t="s">
        <v>98</v>
      </c>
      <c r="B65" t="s">
        <v>57</v>
      </c>
      <c r="C65" t="s">
        <v>58</v>
      </c>
      <c r="D65" t="s">
        <v>32</v>
      </c>
      <c r="E65" t="s">
        <v>59</v>
      </c>
      <c r="F65">
        <v>0.71788713834161533</v>
      </c>
      <c r="G65">
        <v>0.93577427668323065</v>
      </c>
      <c r="H65">
        <v>0.5</v>
      </c>
      <c r="I65">
        <v>21283293200</v>
      </c>
      <c r="J65">
        <v>64.900000000000006</v>
      </c>
      <c r="K65">
        <v>4</v>
      </c>
      <c r="O65" s="2" t="s">
        <v>158</v>
      </c>
      <c r="P65" s="4"/>
      <c r="Q65" s="4"/>
      <c r="R65" s="4"/>
      <c r="S65" s="4"/>
      <c r="T65" s="4"/>
      <c r="U65" s="4"/>
      <c r="V65" s="4"/>
      <c r="W65" s="4"/>
      <c r="X65" s="4"/>
      <c r="Y65" s="4">
        <v>0.58966545974114903</v>
      </c>
      <c r="Z65" s="4"/>
      <c r="AA65" s="4"/>
      <c r="AB65" s="4">
        <v>0.58303377405916224</v>
      </c>
      <c r="AC65" s="4">
        <v>0.6172275125011264</v>
      </c>
      <c r="AD65" s="4">
        <v>0.72821112505541619</v>
      </c>
      <c r="AE65" s="4">
        <v>0.62612768373739525</v>
      </c>
      <c r="AF65" s="4">
        <v>0.65331381828579316</v>
      </c>
      <c r="AG65" s="4">
        <v>0.62186256174963139</v>
      </c>
      <c r="AH65" s="4">
        <v>0.56066132853462669</v>
      </c>
      <c r="AI65" s="4">
        <v>0.70167598323641256</v>
      </c>
      <c r="AJ65" s="4">
        <v>0.62147787290857204</v>
      </c>
      <c r="AK65" s="4">
        <v>0.70954151571182988</v>
      </c>
      <c r="AL65" s="4">
        <v>0.69821126425559221</v>
      </c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>
        <v>0.58609399299470755</v>
      </c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>
        <v>0.57648819505427129</v>
      </c>
      <c r="BQ65" s="4">
        <v>0.60704302572286906</v>
      </c>
      <c r="BR65" s="4"/>
      <c r="BS65" s="4"/>
      <c r="BT65" s="4"/>
      <c r="BU65" s="4"/>
      <c r="BV65" s="4"/>
      <c r="BW65" s="4">
        <v>0.63204094983781478</v>
      </c>
      <c r="BX65" s="4">
        <v>0.5942211796939364</v>
      </c>
      <c r="BY65" s="4">
        <v>0.67225134935114372</v>
      </c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  <c r="CO65" s="4"/>
      <c r="CP65" s="4"/>
      <c r="CQ65" s="4"/>
      <c r="CR65" s="4">
        <v>0.57326750894240353</v>
      </c>
      <c r="CS65" s="4"/>
      <c r="CT65" s="4"/>
      <c r="CU65" s="4"/>
      <c r="CV65" s="4"/>
      <c r="CW65" s="4"/>
      <c r="CX65" s="4"/>
      <c r="CY65" s="4"/>
      <c r="CZ65" s="4"/>
      <c r="DA65" s="4"/>
      <c r="DB65" s="4"/>
      <c r="DC65" s="4"/>
      <c r="DD65" s="4"/>
      <c r="DE65" s="4"/>
      <c r="DF65" s="4"/>
      <c r="DG65" s="4"/>
      <c r="DH65" s="4"/>
      <c r="DI65" s="4"/>
      <c r="DJ65" s="4"/>
      <c r="DK65" s="4"/>
      <c r="DL65" s="4"/>
      <c r="DM65" s="4"/>
      <c r="DN65" s="4"/>
      <c r="DO65" s="4"/>
      <c r="DP65" s="4"/>
      <c r="DQ65" s="3">
        <v>11.952416101373853</v>
      </c>
      <c r="DR65">
        <f t="shared" si="0"/>
        <v>19</v>
      </c>
      <c r="DS65" s="4">
        <f t="shared" si="1"/>
        <v>0.18095238095238095</v>
      </c>
    </row>
    <row r="66" spans="1:123" x14ac:dyDescent="0.25">
      <c r="A66" t="s">
        <v>98</v>
      </c>
      <c r="B66" t="s">
        <v>47</v>
      </c>
      <c r="C66" t="s">
        <v>48</v>
      </c>
      <c r="D66" t="s">
        <v>14</v>
      </c>
      <c r="E66" t="s">
        <v>29</v>
      </c>
      <c r="F66">
        <v>0.67539098535818198</v>
      </c>
      <c r="G66">
        <v>0.90078197071636401</v>
      </c>
      <c r="H66">
        <v>0.45</v>
      </c>
      <c r="I66">
        <v>8070996200</v>
      </c>
      <c r="J66">
        <v>9.1999999999999993</v>
      </c>
      <c r="K66">
        <v>5</v>
      </c>
      <c r="O66" s="2" t="s">
        <v>179</v>
      </c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>
        <v>0.60271942039800297</v>
      </c>
      <c r="AD66" s="4"/>
      <c r="AE66" s="4"/>
      <c r="AF66" s="4">
        <v>0.58416271964717625</v>
      </c>
      <c r="AG66" s="4"/>
      <c r="AH66" s="4"/>
      <c r="AI66" s="4"/>
      <c r="AJ66" s="4"/>
      <c r="AK66" s="4">
        <v>0.64967334936684418</v>
      </c>
      <c r="AL66" s="4">
        <v>0.67827124419192442</v>
      </c>
      <c r="AM66" s="4">
        <v>0.62619616239685816</v>
      </c>
      <c r="AN66" s="4">
        <v>0.64661776218925016</v>
      </c>
      <c r="AO66" s="4">
        <v>0.48073304283408319</v>
      </c>
      <c r="AP66" s="4">
        <v>0.48291322187634322</v>
      </c>
      <c r="AQ66" s="4"/>
      <c r="AR66" s="4">
        <v>0.59723301640453208</v>
      </c>
      <c r="AS66" s="4">
        <v>0.59522932989486221</v>
      </c>
      <c r="AT66" s="4">
        <v>0.6404198326495707</v>
      </c>
      <c r="AU66" s="4">
        <v>0.58152753805428625</v>
      </c>
      <c r="AV66" s="4">
        <v>0.57573994212400048</v>
      </c>
      <c r="AW66" s="4">
        <v>0.58442187724861672</v>
      </c>
      <c r="AX66" s="4">
        <v>0.60351858791526536</v>
      </c>
      <c r="AY66" s="4">
        <v>0.64629709539981017</v>
      </c>
      <c r="AZ66" s="4">
        <v>0.66217373823883652</v>
      </c>
      <c r="BA66" s="4">
        <v>0.7160837413262261</v>
      </c>
      <c r="BB66" s="4">
        <v>0.62163420282120785</v>
      </c>
      <c r="BC66" s="4">
        <v>0.57735821375078344</v>
      </c>
      <c r="BD66" s="4">
        <v>0.63327935669063651</v>
      </c>
      <c r="BE66" s="4">
        <v>0.64800802371097299</v>
      </c>
      <c r="BF66" s="4">
        <v>0.6610152451467981</v>
      </c>
      <c r="BG66" s="4">
        <v>0.62749376247123012</v>
      </c>
      <c r="BH66" s="4">
        <v>0.6054056215811684</v>
      </c>
      <c r="BI66" s="4">
        <v>0.62621766498850961</v>
      </c>
      <c r="BJ66" s="4">
        <v>0.62762733891442934</v>
      </c>
      <c r="BK66" s="4">
        <v>0.62247177487985694</v>
      </c>
      <c r="BL66" s="4">
        <v>0.71997847980103935</v>
      </c>
      <c r="BM66" s="4">
        <v>0.5645013947532419</v>
      </c>
      <c r="BN66" s="4">
        <v>0.73925673554803228</v>
      </c>
      <c r="BO66" s="4">
        <v>0.79818722017448818</v>
      </c>
      <c r="BP66" s="4">
        <v>0.77398493627570275</v>
      </c>
      <c r="BQ66" s="4">
        <v>0.63034135075298237</v>
      </c>
      <c r="BR66" s="4">
        <v>0.64757591812198656</v>
      </c>
      <c r="BS66" s="4">
        <v>0.68169515976197181</v>
      </c>
      <c r="BT66" s="4">
        <v>0.66026299784342268</v>
      </c>
      <c r="BU66" s="4">
        <v>0.6371875246753429</v>
      </c>
      <c r="BV66" s="4">
        <v>0.65905790992155988</v>
      </c>
      <c r="BW66" s="4"/>
      <c r="BX66" s="4">
        <v>0.72877006592361027</v>
      </c>
      <c r="BY66" s="4">
        <v>0.68953494631071588</v>
      </c>
      <c r="BZ66" s="4">
        <v>0.70067229519541785</v>
      </c>
      <c r="CA66" s="4">
        <v>0.70550727434001193</v>
      </c>
      <c r="CB66" s="4">
        <v>0.69778949085010888</v>
      </c>
      <c r="CC66" s="4">
        <v>0.66854045091573955</v>
      </c>
      <c r="CD66" s="4">
        <v>0.67677508267623721</v>
      </c>
      <c r="CE66" s="4">
        <v>0.73607548983382243</v>
      </c>
      <c r="CF66" s="4">
        <v>0.81415785857345546</v>
      </c>
      <c r="CG66" s="4">
        <v>0.79492707719697098</v>
      </c>
      <c r="CH66" s="4">
        <v>0.82581459450283967</v>
      </c>
      <c r="CI66" s="4">
        <v>0.7619185344798467</v>
      </c>
      <c r="CJ66" s="4">
        <v>0.78959314054950591</v>
      </c>
      <c r="CK66" s="4">
        <v>0.85316872093702922</v>
      </c>
      <c r="CL66" s="4">
        <v>0.84400777454573972</v>
      </c>
      <c r="CM66" s="4">
        <v>0.83030231099887897</v>
      </c>
      <c r="CN66" s="4">
        <v>0.69798081014920554</v>
      </c>
      <c r="CO66" s="4">
        <v>0.58924313709446019</v>
      </c>
      <c r="CP66" s="4"/>
      <c r="CQ66" s="4">
        <v>0.59164458939931452</v>
      </c>
      <c r="CR66" s="4">
        <v>0.60986000756020686</v>
      </c>
      <c r="CS66" s="4">
        <v>0.62837632842586055</v>
      </c>
      <c r="CT66" s="4">
        <v>0.7706248513991103</v>
      </c>
      <c r="CU66" s="4">
        <v>0.57110816406896714</v>
      </c>
      <c r="CV66" s="4"/>
      <c r="CW66" s="4"/>
      <c r="CX66" s="4"/>
      <c r="CY66" s="4"/>
      <c r="CZ66" s="4"/>
      <c r="DA66" s="4">
        <v>0.58648492927424289</v>
      </c>
      <c r="DB66" s="4">
        <v>0.60069081826937254</v>
      </c>
      <c r="DC66" s="4">
        <v>0.68034856495927076</v>
      </c>
      <c r="DD66" s="4"/>
      <c r="DE66" s="4"/>
      <c r="DF66" s="4"/>
      <c r="DG66" s="4"/>
      <c r="DH66" s="4"/>
      <c r="DI66" s="4"/>
      <c r="DJ66" s="4"/>
      <c r="DK66" s="4"/>
      <c r="DL66" s="4"/>
      <c r="DM66" s="4"/>
      <c r="DN66" s="4"/>
      <c r="DO66" s="4"/>
      <c r="DP66" s="4"/>
      <c r="DQ66" s="3">
        <v>43.160389763171786</v>
      </c>
      <c r="DR66">
        <f t="shared" si="0"/>
        <v>65</v>
      </c>
      <c r="DS66" s="4">
        <f t="shared" si="1"/>
        <v>0.61904761904761907</v>
      </c>
    </row>
    <row r="67" spans="1:123" x14ac:dyDescent="0.25">
      <c r="A67" t="s">
        <v>98</v>
      </c>
      <c r="B67" t="s">
        <v>27</v>
      </c>
      <c r="C67" t="s">
        <v>28</v>
      </c>
      <c r="D67" t="s">
        <v>14</v>
      </c>
      <c r="E67" t="s">
        <v>29</v>
      </c>
      <c r="F67">
        <v>0.66661942199432933</v>
      </c>
      <c r="G67">
        <v>0.6332388439886586</v>
      </c>
      <c r="H67">
        <v>0.7</v>
      </c>
      <c r="I67">
        <v>3819662000</v>
      </c>
      <c r="J67">
        <v>11.8</v>
      </c>
      <c r="K67">
        <v>6</v>
      </c>
      <c r="O67" s="2" t="s">
        <v>363</v>
      </c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>
        <v>0.63903776803740109</v>
      </c>
      <c r="BV67" s="4"/>
      <c r="BW67" s="4"/>
      <c r="BX67" s="4"/>
      <c r="BY67" s="4"/>
      <c r="BZ67" s="4"/>
      <c r="CA67" s="4"/>
      <c r="CB67" s="4"/>
      <c r="CC67" s="4"/>
      <c r="CD67" s="4"/>
      <c r="CE67" s="4"/>
      <c r="CF67" s="4"/>
      <c r="CG67" s="4"/>
      <c r="CH67" s="4"/>
      <c r="CI67" s="4"/>
      <c r="CJ67" s="4"/>
      <c r="CK67" s="4"/>
      <c r="CL67" s="4"/>
      <c r="CM67" s="4"/>
      <c r="CN67" s="4"/>
      <c r="CO67" s="4"/>
      <c r="CP67" s="4"/>
      <c r="CQ67" s="4"/>
      <c r="CR67" s="4"/>
      <c r="CS67" s="4"/>
      <c r="CT67" s="4"/>
      <c r="CU67" s="4"/>
      <c r="CV67" s="4">
        <v>0.64688368633627302</v>
      </c>
      <c r="CW67" s="4"/>
      <c r="CX67" s="4">
        <v>0.64631691608494335</v>
      </c>
      <c r="CY67" s="4">
        <v>0.62996427210454842</v>
      </c>
      <c r="CZ67" s="4"/>
      <c r="DA67" s="4"/>
      <c r="DB67" s="4"/>
      <c r="DC67" s="4"/>
      <c r="DD67" s="4"/>
      <c r="DE67" s="4"/>
      <c r="DF67" s="4"/>
      <c r="DG67" s="4"/>
      <c r="DH67" s="4"/>
      <c r="DI67" s="4"/>
      <c r="DJ67" s="4"/>
      <c r="DK67" s="4"/>
      <c r="DL67" s="4"/>
      <c r="DM67" s="4"/>
      <c r="DN67" s="4"/>
      <c r="DO67" s="4"/>
      <c r="DP67" s="4"/>
      <c r="DQ67" s="3">
        <v>2.5622026425631659</v>
      </c>
      <c r="DR67">
        <f t="shared" ref="DR67:DR130" si="2">COUNT(P67:DP67)</f>
        <v>4</v>
      </c>
      <c r="DS67" s="4">
        <f t="shared" si="1"/>
        <v>3.8095238095238099E-2</v>
      </c>
    </row>
    <row r="68" spans="1:123" x14ac:dyDescent="0.25">
      <c r="A68" t="s">
        <v>98</v>
      </c>
      <c r="B68" t="s">
        <v>96</v>
      </c>
      <c r="C68" t="s">
        <v>97</v>
      </c>
      <c r="D68" t="s">
        <v>32</v>
      </c>
      <c r="E68" t="s">
        <v>23</v>
      </c>
      <c r="F68">
        <v>0.66472358326243197</v>
      </c>
      <c r="G68">
        <v>0.97944716652486397</v>
      </c>
      <c r="H68">
        <v>0.35</v>
      </c>
      <c r="I68">
        <v>2866008940</v>
      </c>
      <c r="J68">
        <v>6.15</v>
      </c>
      <c r="K68">
        <v>7</v>
      </c>
      <c r="O68" s="2" t="s">
        <v>166</v>
      </c>
      <c r="P68" s="4"/>
      <c r="Q68" s="4"/>
      <c r="R68" s="4"/>
      <c r="S68" s="4"/>
      <c r="T68" s="4"/>
      <c r="U68" s="4"/>
      <c r="V68" s="4"/>
      <c r="W68" s="4"/>
      <c r="X68" s="4"/>
      <c r="Y68" s="4"/>
      <c r="Z68" s="4">
        <v>0.58284622497177896</v>
      </c>
      <c r="AA68" s="4"/>
      <c r="AB68" s="4">
        <v>0.6291853405531862</v>
      </c>
      <c r="AC68" s="4">
        <v>0.59909133334223053</v>
      </c>
      <c r="AD68" s="4">
        <v>0.57409433803748444</v>
      </c>
      <c r="AE68" s="4"/>
      <c r="AF68" s="4">
        <v>0.57700438956166888</v>
      </c>
      <c r="AG68" s="4">
        <v>0.60050077079032937</v>
      </c>
      <c r="AH68" s="4">
        <v>0.55274189816701003</v>
      </c>
      <c r="AI68" s="4">
        <v>0.64213568115179509</v>
      </c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  <c r="CO68" s="4"/>
      <c r="CP68" s="4">
        <v>0.63421191038110303</v>
      </c>
      <c r="CQ68" s="4"/>
      <c r="CR68" s="4"/>
      <c r="CS68" s="4">
        <v>0.56727508729094989</v>
      </c>
      <c r="CT68" s="4">
        <v>0.62008050794993796</v>
      </c>
      <c r="CU68" s="4">
        <v>0.62934936582515466</v>
      </c>
      <c r="CV68" s="4"/>
      <c r="CW68" s="4"/>
      <c r="CX68" s="4"/>
      <c r="CY68" s="4"/>
      <c r="CZ68" s="4"/>
      <c r="DA68" s="4"/>
      <c r="DB68" s="4"/>
      <c r="DC68" s="4">
        <v>0.62583268705335671</v>
      </c>
      <c r="DD68" s="4"/>
      <c r="DE68" s="4"/>
      <c r="DF68" s="4"/>
      <c r="DG68" s="4"/>
      <c r="DH68" s="4"/>
      <c r="DI68" s="4"/>
      <c r="DJ68" s="4"/>
      <c r="DK68" s="4"/>
      <c r="DL68" s="4"/>
      <c r="DM68" s="4"/>
      <c r="DN68" s="4"/>
      <c r="DO68" s="4"/>
      <c r="DP68" s="4"/>
      <c r="DQ68" s="3">
        <v>7.8343495350759857</v>
      </c>
      <c r="DR68">
        <f t="shared" si="2"/>
        <v>13</v>
      </c>
      <c r="DS68" s="4">
        <f t="shared" ref="DS68:DS131" si="3">DR68/$DR$2</f>
        <v>0.12380952380952381</v>
      </c>
    </row>
    <row r="69" spans="1:123" x14ac:dyDescent="0.25">
      <c r="A69" t="s">
        <v>98</v>
      </c>
      <c r="B69" t="s">
        <v>82</v>
      </c>
      <c r="C69" t="s">
        <v>83</v>
      </c>
      <c r="D69" t="s">
        <v>32</v>
      </c>
      <c r="E69" t="s">
        <v>39</v>
      </c>
      <c r="F69">
        <v>0.6599276543060042</v>
      </c>
      <c r="G69">
        <v>0.8198553086120085</v>
      </c>
      <c r="H69">
        <v>0.5</v>
      </c>
      <c r="I69">
        <v>27564482700</v>
      </c>
      <c r="J69">
        <v>14.4</v>
      </c>
      <c r="K69">
        <v>8</v>
      </c>
      <c r="O69" s="2" t="s">
        <v>261</v>
      </c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>
        <v>0.66411878793936507</v>
      </c>
      <c r="AT69" s="4">
        <v>0.77354315520790595</v>
      </c>
      <c r="AU69" s="4">
        <v>0.71885401951469863</v>
      </c>
      <c r="AV69" s="4">
        <v>0.73046790649204807</v>
      </c>
      <c r="AW69" s="4">
        <v>0.71457318916932711</v>
      </c>
      <c r="AX69" s="4">
        <v>0.70167506552568726</v>
      </c>
      <c r="AY69" s="4">
        <v>0.79803629481980531</v>
      </c>
      <c r="AZ69" s="4">
        <v>0.67661130837397121</v>
      </c>
      <c r="BA69" s="4">
        <v>0.61884316020046537</v>
      </c>
      <c r="BB69" s="4">
        <v>0.67955061055193811</v>
      </c>
      <c r="BC69" s="4">
        <v>0.6770364919251155</v>
      </c>
      <c r="BD69" s="4">
        <v>0.80751216744890297</v>
      </c>
      <c r="BE69" s="4">
        <v>0.75677046955789518</v>
      </c>
      <c r="BF69" s="4">
        <v>0.7873719261347909</v>
      </c>
      <c r="BG69" s="4">
        <v>0.75649196816115138</v>
      </c>
      <c r="BH69" s="4">
        <v>0.7547442797885795</v>
      </c>
      <c r="BI69" s="4">
        <v>0.77591895855322712</v>
      </c>
      <c r="BJ69" s="4">
        <v>0.73144054703162908</v>
      </c>
      <c r="BK69" s="4">
        <v>0.78025590600598782</v>
      </c>
      <c r="BL69" s="4">
        <v>0.68827595839200995</v>
      </c>
      <c r="BM69" s="4"/>
      <c r="BN69" s="4">
        <v>0.58949133280274846</v>
      </c>
      <c r="BO69" s="4"/>
      <c r="BP69" s="4">
        <v>0.74182639326948929</v>
      </c>
      <c r="BQ69" s="4">
        <v>0.71484333228874775</v>
      </c>
      <c r="BR69" s="4">
        <v>0.73188311324027788</v>
      </c>
      <c r="BS69" s="4">
        <v>0.78354420970036753</v>
      </c>
      <c r="BT69" s="4">
        <v>0.78213464187269244</v>
      </c>
      <c r="BU69" s="4">
        <v>0.84196126508167901</v>
      </c>
      <c r="BV69" s="4">
        <v>0.76307756369220314</v>
      </c>
      <c r="BW69" s="4">
        <v>0.75548479993578799</v>
      </c>
      <c r="BX69" s="4">
        <v>0.72078902049905158</v>
      </c>
      <c r="BY69" s="4"/>
      <c r="BZ69" s="4">
        <v>0.68676850725293326</v>
      </c>
      <c r="CA69" s="4"/>
      <c r="CB69" s="4"/>
      <c r="CC69" s="4"/>
      <c r="CD69" s="4"/>
      <c r="CE69" s="4"/>
      <c r="CF69" s="4"/>
      <c r="CG69" s="4"/>
      <c r="CH69" s="4"/>
      <c r="CI69" s="4"/>
      <c r="CJ69" s="4"/>
      <c r="CK69" s="4"/>
      <c r="CL69" s="4"/>
      <c r="CM69" s="4"/>
      <c r="CN69" s="4"/>
      <c r="CO69" s="4"/>
      <c r="CP69" s="4"/>
      <c r="CQ69" s="4"/>
      <c r="CR69" s="4"/>
      <c r="CS69" s="4"/>
      <c r="CT69" s="4"/>
      <c r="CU69" s="4"/>
      <c r="CV69" s="4"/>
      <c r="CW69" s="4"/>
      <c r="CX69" s="4"/>
      <c r="CY69" s="4"/>
      <c r="CZ69" s="4"/>
      <c r="DA69" s="4"/>
      <c r="DB69" s="4"/>
      <c r="DC69" s="4"/>
      <c r="DD69" s="4"/>
      <c r="DE69" s="4"/>
      <c r="DF69" s="4"/>
      <c r="DG69" s="4"/>
      <c r="DH69" s="4"/>
      <c r="DI69" s="4"/>
      <c r="DJ69" s="4"/>
      <c r="DK69" s="4"/>
      <c r="DL69" s="4">
        <v>0.71062117219831367</v>
      </c>
      <c r="DM69" s="4">
        <v>0.71619583615179461</v>
      </c>
      <c r="DN69" s="4"/>
      <c r="DO69" s="4"/>
      <c r="DP69" s="4"/>
      <c r="DQ69" s="3">
        <v>24.130713358780586</v>
      </c>
      <c r="DR69">
        <f t="shared" si="2"/>
        <v>33</v>
      </c>
      <c r="DS69" s="4">
        <f t="shared" si="3"/>
        <v>0.31428571428571428</v>
      </c>
    </row>
    <row r="70" spans="1:123" x14ac:dyDescent="0.25">
      <c r="A70" t="s">
        <v>98</v>
      </c>
      <c r="B70" t="s">
        <v>101</v>
      </c>
      <c r="C70" t="s">
        <v>102</v>
      </c>
      <c r="D70" t="s">
        <v>18</v>
      </c>
      <c r="E70" t="s">
        <v>15</v>
      </c>
      <c r="F70">
        <v>0.65606311473850176</v>
      </c>
      <c r="G70">
        <v>0.9121262294770035</v>
      </c>
      <c r="H70">
        <v>0.4</v>
      </c>
      <c r="I70">
        <v>2028803800</v>
      </c>
      <c r="J70">
        <v>58</v>
      </c>
      <c r="K70">
        <v>9</v>
      </c>
      <c r="O70" s="2" t="s">
        <v>413</v>
      </c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  <c r="BW70" s="4"/>
      <c r="BX70" s="4"/>
      <c r="BY70" s="4"/>
      <c r="BZ70" s="4"/>
      <c r="CA70" s="4"/>
      <c r="CB70" s="4"/>
      <c r="CC70" s="4"/>
      <c r="CD70" s="4"/>
      <c r="CE70" s="4"/>
      <c r="CF70" s="4">
        <v>0.63060177467934464</v>
      </c>
      <c r="CG70" s="4">
        <v>0.62449155897213782</v>
      </c>
      <c r="CH70" s="4"/>
      <c r="CI70" s="4"/>
      <c r="CJ70" s="4"/>
      <c r="CK70" s="4"/>
      <c r="CL70" s="4"/>
      <c r="CM70" s="4"/>
      <c r="CN70" s="4"/>
      <c r="CO70" s="4"/>
      <c r="CP70" s="4"/>
      <c r="CQ70" s="4"/>
      <c r="CR70" s="4"/>
      <c r="CS70" s="4"/>
      <c r="CT70" s="4"/>
      <c r="CU70" s="4"/>
      <c r="CV70" s="4"/>
      <c r="CW70" s="4"/>
      <c r="CX70" s="4"/>
      <c r="CY70" s="4"/>
      <c r="CZ70" s="4"/>
      <c r="DA70" s="4"/>
      <c r="DB70" s="4"/>
      <c r="DC70" s="4"/>
      <c r="DD70" s="4"/>
      <c r="DE70" s="4"/>
      <c r="DF70" s="4"/>
      <c r="DG70" s="4"/>
      <c r="DH70" s="4"/>
      <c r="DI70" s="4"/>
      <c r="DJ70" s="4"/>
      <c r="DK70" s="4"/>
      <c r="DL70" s="4"/>
      <c r="DM70" s="4"/>
      <c r="DN70" s="4"/>
      <c r="DO70" s="4"/>
      <c r="DP70" s="4"/>
      <c r="DQ70" s="3">
        <v>1.2550933336514825</v>
      </c>
      <c r="DR70">
        <f t="shared" si="2"/>
        <v>2</v>
      </c>
      <c r="DS70" s="4">
        <f t="shared" si="3"/>
        <v>1.9047619047619049E-2</v>
      </c>
    </row>
    <row r="71" spans="1:123" x14ac:dyDescent="0.25">
      <c r="A71" t="s">
        <v>98</v>
      </c>
      <c r="B71" t="s">
        <v>66</v>
      </c>
      <c r="C71" t="s">
        <v>67</v>
      </c>
      <c r="D71" t="s">
        <v>14</v>
      </c>
      <c r="E71" t="s">
        <v>39</v>
      </c>
      <c r="F71">
        <v>0.65476041242573246</v>
      </c>
      <c r="G71">
        <v>0.70952082485146484</v>
      </c>
      <c r="H71">
        <v>0.6</v>
      </c>
      <c r="I71">
        <v>43622499800</v>
      </c>
      <c r="J71">
        <v>7.6</v>
      </c>
      <c r="K71">
        <v>10</v>
      </c>
      <c r="O71" s="2" t="s">
        <v>129</v>
      </c>
      <c r="P71" s="4"/>
      <c r="Q71" s="4"/>
      <c r="R71" s="4"/>
      <c r="S71" s="4"/>
      <c r="T71" s="4"/>
      <c r="U71" s="4"/>
      <c r="V71" s="4">
        <v>0.66061146548032257</v>
      </c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  <c r="CO71" s="4"/>
      <c r="CP71" s="4"/>
      <c r="CQ71" s="4"/>
      <c r="CR71" s="4"/>
      <c r="CS71" s="4"/>
      <c r="CT71" s="4"/>
      <c r="CU71" s="4"/>
      <c r="CV71" s="4"/>
      <c r="CW71" s="4"/>
      <c r="CX71" s="4"/>
      <c r="CY71" s="4"/>
      <c r="CZ71" s="4"/>
      <c r="DA71" s="4"/>
      <c r="DB71" s="4"/>
      <c r="DC71" s="4"/>
      <c r="DD71" s="4"/>
      <c r="DE71" s="4"/>
      <c r="DF71" s="4"/>
      <c r="DG71" s="4"/>
      <c r="DH71" s="4"/>
      <c r="DI71" s="4"/>
      <c r="DJ71" s="4"/>
      <c r="DK71" s="4"/>
      <c r="DL71" s="4"/>
      <c r="DM71" s="4"/>
      <c r="DN71" s="4"/>
      <c r="DO71" s="4"/>
      <c r="DP71" s="4"/>
      <c r="DQ71" s="3">
        <v>0.66061146548032257</v>
      </c>
      <c r="DR71">
        <f t="shared" si="2"/>
        <v>1</v>
      </c>
      <c r="DS71" s="4">
        <f t="shared" si="3"/>
        <v>9.5238095238095247E-3</v>
      </c>
    </row>
    <row r="72" spans="1:123" x14ac:dyDescent="0.25">
      <c r="A72" t="s">
        <v>98</v>
      </c>
      <c r="B72" t="s">
        <v>75</v>
      </c>
      <c r="C72" t="s">
        <v>76</v>
      </c>
      <c r="D72" t="s">
        <v>18</v>
      </c>
      <c r="E72" t="s">
        <v>33</v>
      </c>
      <c r="F72">
        <v>0.65218295813500593</v>
      </c>
      <c r="G72">
        <v>0.95436591627001188</v>
      </c>
      <c r="H72">
        <v>0.35</v>
      </c>
      <c r="I72">
        <v>5306979200</v>
      </c>
      <c r="J72">
        <v>5.9</v>
      </c>
      <c r="K72">
        <v>11</v>
      </c>
      <c r="O72" s="2" t="s">
        <v>156</v>
      </c>
      <c r="P72" s="4"/>
      <c r="Q72" s="4"/>
      <c r="R72" s="4"/>
      <c r="S72" s="4"/>
      <c r="T72" s="4"/>
      <c r="U72" s="4"/>
      <c r="V72" s="4"/>
      <c r="W72" s="4"/>
      <c r="X72" s="4"/>
      <c r="Y72" s="4">
        <v>0.60246912565106003</v>
      </c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4"/>
      <c r="BU72" s="4"/>
      <c r="BV72" s="4"/>
      <c r="BW72" s="4"/>
      <c r="BX72" s="4"/>
      <c r="BY72" s="4"/>
      <c r="BZ72" s="4"/>
      <c r="CA72" s="4"/>
      <c r="CB72" s="4"/>
      <c r="CC72" s="4"/>
      <c r="CD72" s="4"/>
      <c r="CE72" s="4"/>
      <c r="CF72" s="4"/>
      <c r="CG72" s="4"/>
      <c r="CH72" s="4"/>
      <c r="CI72" s="4"/>
      <c r="CJ72" s="4"/>
      <c r="CK72" s="4"/>
      <c r="CL72" s="4"/>
      <c r="CM72" s="4"/>
      <c r="CN72" s="4"/>
      <c r="CO72" s="4"/>
      <c r="CP72" s="4"/>
      <c r="CQ72" s="4"/>
      <c r="CR72" s="4"/>
      <c r="CS72" s="4"/>
      <c r="CT72" s="4"/>
      <c r="CU72" s="4"/>
      <c r="CV72" s="4"/>
      <c r="CW72" s="4"/>
      <c r="CX72" s="4"/>
      <c r="CY72" s="4">
        <v>0.64656598516279273</v>
      </c>
      <c r="CZ72" s="4"/>
      <c r="DA72" s="4">
        <v>0.57146043955660153</v>
      </c>
      <c r="DB72" s="4"/>
      <c r="DC72" s="4"/>
      <c r="DD72" s="4"/>
      <c r="DE72" s="4"/>
      <c r="DF72" s="4"/>
      <c r="DG72" s="4"/>
      <c r="DH72" s="4"/>
      <c r="DI72" s="4"/>
      <c r="DJ72" s="4"/>
      <c r="DK72" s="4"/>
      <c r="DL72" s="4"/>
      <c r="DM72" s="4"/>
      <c r="DN72" s="4"/>
      <c r="DO72" s="4"/>
      <c r="DP72" s="4"/>
      <c r="DQ72" s="3">
        <v>1.8204955503704543</v>
      </c>
      <c r="DR72">
        <f t="shared" si="2"/>
        <v>3</v>
      </c>
      <c r="DS72" s="4">
        <f t="shared" si="3"/>
        <v>2.8571428571428571E-2</v>
      </c>
    </row>
    <row r="73" spans="1:123" x14ac:dyDescent="0.25">
      <c r="A73" t="s">
        <v>98</v>
      </c>
      <c r="B73" t="s">
        <v>37</v>
      </c>
      <c r="C73" t="s">
        <v>38</v>
      </c>
      <c r="D73" t="s">
        <v>18</v>
      </c>
      <c r="E73" t="s">
        <v>39</v>
      </c>
      <c r="F73">
        <v>0.64740583798101148</v>
      </c>
      <c r="G73">
        <v>0.844811675962023</v>
      </c>
      <c r="H73">
        <v>0.45</v>
      </c>
      <c r="I73">
        <v>4956677800</v>
      </c>
      <c r="J73">
        <v>38</v>
      </c>
      <c r="K73">
        <v>12</v>
      </c>
      <c r="O73" s="2" t="s">
        <v>506</v>
      </c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  <c r="BY73" s="4"/>
      <c r="BZ73" s="4"/>
      <c r="CA73" s="4"/>
      <c r="CB73" s="4"/>
      <c r="CC73" s="4"/>
      <c r="CD73" s="4"/>
      <c r="CE73" s="4"/>
      <c r="CF73" s="4"/>
      <c r="CG73" s="4"/>
      <c r="CH73" s="4"/>
      <c r="CI73" s="4"/>
      <c r="CJ73" s="4"/>
      <c r="CK73" s="4"/>
      <c r="CL73" s="4"/>
      <c r="CM73" s="4"/>
      <c r="CN73" s="4"/>
      <c r="CO73" s="4"/>
      <c r="CP73" s="4"/>
      <c r="CQ73" s="4"/>
      <c r="CR73" s="4"/>
      <c r="CS73" s="4"/>
      <c r="CT73" s="4"/>
      <c r="CU73" s="4"/>
      <c r="CV73" s="4"/>
      <c r="CW73" s="4"/>
      <c r="CX73" s="4"/>
      <c r="CY73" s="4"/>
      <c r="CZ73" s="4"/>
      <c r="DA73" s="4"/>
      <c r="DB73" s="4"/>
      <c r="DC73" s="4"/>
      <c r="DD73" s="4">
        <v>0.66516569769034284</v>
      </c>
      <c r="DE73" s="4">
        <v>0.67554073604378428</v>
      </c>
      <c r="DF73" s="4">
        <v>0.73315145487230171</v>
      </c>
      <c r="DG73" s="4">
        <v>0.69736628015114277</v>
      </c>
      <c r="DH73" s="4">
        <v>0.72938262824193734</v>
      </c>
      <c r="DI73" s="4">
        <v>0.73251108689170907</v>
      </c>
      <c r="DJ73" s="4">
        <v>0.78361384161899572</v>
      </c>
      <c r="DK73" s="4">
        <v>0.73395750294415218</v>
      </c>
      <c r="DL73" s="4">
        <v>0.73271061558348827</v>
      </c>
      <c r="DM73" s="4"/>
      <c r="DN73" s="4">
        <v>0.70310870239249823</v>
      </c>
      <c r="DO73" s="4">
        <v>0.76336012856312552</v>
      </c>
      <c r="DP73" s="4">
        <v>0.6650053249215846</v>
      </c>
      <c r="DQ73" s="3">
        <v>8.6148739999150621</v>
      </c>
      <c r="DR73">
        <f t="shared" si="2"/>
        <v>12</v>
      </c>
      <c r="DS73" s="4">
        <f t="shared" si="3"/>
        <v>0.11428571428571428</v>
      </c>
    </row>
    <row r="74" spans="1:123" x14ac:dyDescent="0.25">
      <c r="A74" t="s">
        <v>98</v>
      </c>
      <c r="B74" t="s">
        <v>92</v>
      </c>
      <c r="C74" t="s">
        <v>93</v>
      </c>
      <c r="D74" t="s">
        <v>14</v>
      </c>
      <c r="E74" t="s">
        <v>59</v>
      </c>
      <c r="F74">
        <v>0.64472050320495522</v>
      </c>
      <c r="G74">
        <v>0.88944100640991053</v>
      </c>
      <c r="H74">
        <v>0.4</v>
      </c>
      <c r="I74">
        <v>21617811800</v>
      </c>
      <c r="J74">
        <v>15.8</v>
      </c>
      <c r="K74">
        <v>13</v>
      </c>
      <c r="O74" s="2" t="s">
        <v>19</v>
      </c>
      <c r="P74" s="4">
        <v>0.79591828399952802</v>
      </c>
      <c r="Q74" s="4">
        <v>0.63604816430064726</v>
      </c>
      <c r="R74" s="4">
        <v>0.65232305697908544</v>
      </c>
      <c r="S74" s="4"/>
      <c r="T74" s="4"/>
      <c r="U74" s="4">
        <v>0.67295266905259621</v>
      </c>
      <c r="V74" s="4"/>
      <c r="W74" s="4"/>
      <c r="X74" s="4"/>
      <c r="Y74" s="4"/>
      <c r="Z74" s="4"/>
      <c r="AA74" s="4"/>
      <c r="AB74" s="4"/>
      <c r="AC74" s="4">
        <v>0.56393662565699487</v>
      </c>
      <c r="AD74" s="4">
        <v>0.59805408251919356</v>
      </c>
      <c r="AE74" s="4">
        <v>0.64737642851560151</v>
      </c>
      <c r="AF74" s="4"/>
      <c r="AG74" s="4"/>
      <c r="AH74" s="4"/>
      <c r="AI74" s="4"/>
      <c r="AJ74" s="4"/>
      <c r="AK74" s="4">
        <v>0.59374837950532466</v>
      </c>
      <c r="AL74" s="4"/>
      <c r="AM74" s="4">
        <v>0.64443410680986046</v>
      </c>
      <c r="AN74" s="4">
        <v>0.60708531639540508</v>
      </c>
      <c r="AO74" s="4">
        <v>0.54226046788215565</v>
      </c>
      <c r="AP74" s="4">
        <v>0.58170369979204706</v>
      </c>
      <c r="AQ74" s="4">
        <v>0.64043796550097809</v>
      </c>
      <c r="AR74" s="4">
        <v>0.673922497220656</v>
      </c>
      <c r="AS74" s="4"/>
      <c r="AT74" s="4"/>
      <c r="AU74" s="4">
        <v>0.61826114355383532</v>
      </c>
      <c r="AV74" s="4">
        <v>0.61885374289458428</v>
      </c>
      <c r="AW74" s="4">
        <v>0.63612978648114371</v>
      </c>
      <c r="AX74" s="4">
        <v>0.59030620422512703</v>
      </c>
      <c r="AY74" s="4">
        <v>0.69372975461836872</v>
      </c>
      <c r="AZ74" s="4">
        <v>0.59483886068281466</v>
      </c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  <c r="CO74" s="4"/>
      <c r="CP74" s="4"/>
      <c r="CQ74" s="4"/>
      <c r="CR74" s="4"/>
      <c r="CS74" s="4"/>
      <c r="CT74" s="4"/>
      <c r="CU74" s="4"/>
      <c r="CV74" s="4"/>
      <c r="CW74" s="4"/>
      <c r="CX74" s="4"/>
      <c r="CY74" s="4"/>
      <c r="CZ74" s="4"/>
      <c r="DA74" s="4"/>
      <c r="DB74" s="4"/>
      <c r="DC74" s="4"/>
      <c r="DD74" s="4"/>
      <c r="DE74" s="4"/>
      <c r="DF74" s="4"/>
      <c r="DG74" s="4"/>
      <c r="DH74" s="4"/>
      <c r="DI74" s="4"/>
      <c r="DJ74" s="4"/>
      <c r="DK74" s="4"/>
      <c r="DL74" s="4"/>
      <c r="DM74" s="4"/>
      <c r="DN74" s="4"/>
      <c r="DO74" s="4"/>
      <c r="DP74" s="4"/>
      <c r="DQ74" s="3">
        <v>12.602321236585949</v>
      </c>
      <c r="DR74">
        <f t="shared" si="2"/>
        <v>20</v>
      </c>
      <c r="DS74" s="4">
        <f t="shared" si="3"/>
        <v>0.19047619047619047</v>
      </c>
    </row>
    <row r="75" spans="1:123" x14ac:dyDescent="0.25">
      <c r="A75" t="s">
        <v>98</v>
      </c>
      <c r="B75" t="s">
        <v>86</v>
      </c>
      <c r="C75" t="s">
        <v>87</v>
      </c>
      <c r="D75" t="s">
        <v>32</v>
      </c>
      <c r="E75" t="s">
        <v>33</v>
      </c>
      <c r="F75">
        <v>0.64186436491945931</v>
      </c>
      <c r="G75">
        <v>0.93372872983891864</v>
      </c>
      <c r="H75">
        <v>0.35</v>
      </c>
      <c r="I75">
        <v>4217002800</v>
      </c>
      <c r="J75">
        <v>108</v>
      </c>
      <c r="K75">
        <v>14</v>
      </c>
      <c r="O75" s="2" t="s">
        <v>88</v>
      </c>
      <c r="P75" s="4"/>
      <c r="Q75" s="4"/>
      <c r="R75" s="4">
        <v>0.66356155870410061</v>
      </c>
      <c r="S75" s="4"/>
      <c r="T75" s="4">
        <v>0.63179473916693218</v>
      </c>
      <c r="U75" s="4"/>
      <c r="V75" s="4"/>
      <c r="W75" s="4"/>
      <c r="X75" s="4"/>
      <c r="Y75" s="4"/>
      <c r="Z75" s="4">
        <v>0.63349474744259648</v>
      </c>
      <c r="AA75" s="4">
        <v>0.6198611153397553</v>
      </c>
      <c r="AB75" s="4">
        <v>0.5642567154887187</v>
      </c>
      <c r="AC75" s="4">
        <v>0.58668420926749665</v>
      </c>
      <c r="AD75" s="4"/>
      <c r="AE75" s="4">
        <v>0.56327535146526042</v>
      </c>
      <c r="AF75" s="4">
        <v>0.59216055539858659</v>
      </c>
      <c r="AG75" s="4">
        <v>0.55324779225055054</v>
      </c>
      <c r="AH75" s="4">
        <v>0.57193750352815609</v>
      </c>
      <c r="AI75" s="4">
        <v>0.7396791507876247</v>
      </c>
      <c r="AJ75" s="4">
        <v>0.81684554164555168</v>
      </c>
      <c r="AK75" s="4">
        <v>0.81516029755408703</v>
      </c>
      <c r="AL75" s="4">
        <v>0.71937147176134086</v>
      </c>
      <c r="AM75" s="4">
        <v>0.78949297821183184</v>
      </c>
      <c r="AN75" s="4">
        <v>0.74025137967989996</v>
      </c>
      <c r="AO75" s="4">
        <v>0.56519221219680238</v>
      </c>
      <c r="AP75" s="4">
        <v>0.55353833930974616</v>
      </c>
      <c r="AQ75" s="4">
        <v>0.51957976982898468</v>
      </c>
      <c r="AR75" s="4">
        <v>0.68765774276653757</v>
      </c>
      <c r="AS75" s="4">
        <v>0.66045953627907306</v>
      </c>
      <c r="AT75" s="4">
        <v>0.65080665930773129</v>
      </c>
      <c r="AU75" s="4">
        <v>0.62272334397744089</v>
      </c>
      <c r="AV75" s="4">
        <v>0.6892279753863586</v>
      </c>
      <c r="AW75" s="4">
        <v>0.60680850483280779</v>
      </c>
      <c r="AX75" s="4"/>
      <c r="AY75" s="4"/>
      <c r="AZ75" s="4"/>
      <c r="BA75" s="4">
        <v>0.55475852567502348</v>
      </c>
      <c r="BB75" s="4"/>
      <c r="BC75" s="4"/>
      <c r="BD75" s="4"/>
      <c r="BE75" s="4"/>
      <c r="BF75" s="4"/>
      <c r="BG75" s="4"/>
      <c r="BH75" s="4"/>
      <c r="BI75" s="4">
        <v>0.63222013490533546</v>
      </c>
      <c r="BJ75" s="4">
        <v>0.71834928771327333</v>
      </c>
      <c r="BK75" s="4">
        <v>0.76466051691044634</v>
      </c>
      <c r="BL75" s="4">
        <v>0.6594438200087045</v>
      </c>
      <c r="BM75" s="4">
        <v>0.7095248928205321</v>
      </c>
      <c r="BN75" s="4">
        <v>0.65760122561584777</v>
      </c>
      <c r="BO75" s="4">
        <v>0.6016503140382643</v>
      </c>
      <c r="BP75" s="4"/>
      <c r="BQ75" s="4"/>
      <c r="BR75" s="4"/>
      <c r="BS75" s="4">
        <v>0.68231161944908902</v>
      </c>
      <c r="BT75" s="4">
        <v>0.76427643346923357</v>
      </c>
      <c r="BU75" s="4">
        <v>0.80822228765637205</v>
      </c>
      <c r="BV75" s="4">
        <v>0.80711036388040613</v>
      </c>
      <c r="BW75" s="4">
        <v>0.80969136502443961</v>
      </c>
      <c r="BX75" s="4">
        <v>0.83244591451606031</v>
      </c>
      <c r="BY75" s="4">
        <v>0.78795993930106079</v>
      </c>
      <c r="BZ75" s="4">
        <v>0.81070249188715748</v>
      </c>
      <c r="CA75" s="4">
        <v>0.72743240790828079</v>
      </c>
      <c r="CB75" s="4">
        <v>0.61905223278318466</v>
      </c>
      <c r="CC75" s="4">
        <v>0.62429416205563337</v>
      </c>
      <c r="CD75" s="4">
        <v>0.60150993359732452</v>
      </c>
      <c r="CE75" s="4"/>
      <c r="CF75" s="4">
        <v>0.58743267020821444</v>
      </c>
      <c r="CG75" s="4">
        <v>0.62000990614661933</v>
      </c>
      <c r="CH75" s="4">
        <v>0.64047536186370357</v>
      </c>
      <c r="CI75" s="4">
        <v>0.60282642399849462</v>
      </c>
      <c r="CJ75" s="4">
        <v>0.63140026516114567</v>
      </c>
      <c r="CK75" s="4">
        <v>0.59600101090782731</v>
      </c>
      <c r="CL75" s="4">
        <v>0.54850959443583758</v>
      </c>
      <c r="CM75" s="4"/>
      <c r="CN75" s="4"/>
      <c r="CO75" s="4"/>
      <c r="CP75" s="4"/>
      <c r="CQ75" s="4"/>
      <c r="CR75" s="4"/>
      <c r="CS75" s="4"/>
      <c r="CT75" s="4">
        <v>0.61245656876343735</v>
      </c>
      <c r="CU75" s="4"/>
      <c r="CV75" s="4">
        <v>0.58774175386222138</v>
      </c>
      <c r="CW75" s="4">
        <v>0.66743127392889989</v>
      </c>
      <c r="CX75" s="4">
        <v>0.63647703169061254</v>
      </c>
      <c r="CY75" s="4"/>
      <c r="CZ75" s="4">
        <v>0.61727259625959929</v>
      </c>
      <c r="DA75" s="4">
        <v>0.58030568278592887</v>
      </c>
      <c r="DB75" s="4"/>
      <c r="DC75" s="4">
        <v>0.62160935492527258</v>
      </c>
      <c r="DD75" s="4"/>
      <c r="DE75" s="4"/>
      <c r="DF75" s="4"/>
      <c r="DG75" s="4"/>
      <c r="DH75" s="4"/>
      <c r="DI75" s="4"/>
      <c r="DJ75" s="4"/>
      <c r="DK75" s="4"/>
      <c r="DL75" s="4"/>
      <c r="DM75" s="4"/>
      <c r="DN75" s="4"/>
      <c r="DO75" s="4"/>
      <c r="DP75" s="4"/>
      <c r="DQ75" s="3">
        <v>38.880236555731443</v>
      </c>
      <c r="DR75">
        <f t="shared" si="2"/>
        <v>59</v>
      </c>
      <c r="DS75" s="4">
        <f t="shared" si="3"/>
        <v>0.56190476190476191</v>
      </c>
    </row>
    <row r="76" spans="1:123" x14ac:dyDescent="0.25">
      <c r="A76" t="s">
        <v>98</v>
      </c>
      <c r="B76" t="s">
        <v>16</v>
      </c>
      <c r="C76" t="s">
        <v>17</v>
      </c>
      <c r="D76" t="s">
        <v>18</v>
      </c>
      <c r="E76" t="s">
        <v>15</v>
      </c>
      <c r="F76">
        <v>0.6340722747616262</v>
      </c>
      <c r="G76">
        <v>0.46814454952325241</v>
      </c>
      <c r="H76">
        <v>0.8</v>
      </c>
      <c r="I76">
        <v>16097237400</v>
      </c>
      <c r="J76">
        <v>204.5</v>
      </c>
      <c r="K76">
        <v>15</v>
      </c>
      <c r="O76" s="2" t="s">
        <v>149</v>
      </c>
      <c r="P76" s="4"/>
      <c r="Q76" s="4"/>
      <c r="R76" s="4"/>
      <c r="S76" s="4"/>
      <c r="T76" s="4"/>
      <c r="U76" s="4"/>
      <c r="V76" s="4"/>
      <c r="W76" s="4"/>
      <c r="X76" s="4">
        <v>0.60463872773598759</v>
      </c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  <c r="CO76" s="4"/>
      <c r="CP76" s="4"/>
      <c r="CQ76" s="4"/>
      <c r="CR76" s="4"/>
      <c r="CS76" s="4"/>
      <c r="CT76" s="4"/>
      <c r="CU76" s="4"/>
      <c r="CV76" s="4"/>
      <c r="CW76" s="4"/>
      <c r="CX76" s="4"/>
      <c r="CY76" s="4"/>
      <c r="CZ76" s="4"/>
      <c r="DA76" s="4"/>
      <c r="DB76" s="4"/>
      <c r="DC76" s="4"/>
      <c r="DD76" s="4"/>
      <c r="DE76" s="4"/>
      <c r="DF76" s="4"/>
      <c r="DG76" s="4"/>
      <c r="DH76" s="4"/>
      <c r="DI76" s="4"/>
      <c r="DJ76" s="4"/>
      <c r="DK76" s="4"/>
      <c r="DL76" s="4"/>
      <c r="DM76" s="4"/>
      <c r="DN76" s="4"/>
      <c r="DO76" s="4"/>
      <c r="DP76" s="4"/>
      <c r="DQ76" s="3">
        <v>0.60463872773598759</v>
      </c>
      <c r="DR76">
        <f t="shared" si="2"/>
        <v>1</v>
      </c>
      <c r="DS76" s="4">
        <f t="shared" si="3"/>
        <v>9.5238095238095247E-3</v>
      </c>
    </row>
    <row r="77" spans="1:123" x14ac:dyDescent="0.25">
      <c r="A77" t="s">
        <v>98</v>
      </c>
      <c r="B77" t="s">
        <v>103</v>
      </c>
      <c r="C77" t="s">
        <v>104</v>
      </c>
      <c r="D77" t="s">
        <v>32</v>
      </c>
      <c r="E77" t="s">
        <v>39</v>
      </c>
      <c r="F77">
        <v>0.63377172907126056</v>
      </c>
      <c r="G77">
        <v>0.76754345814252112</v>
      </c>
      <c r="H77">
        <v>0.5</v>
      </c>
      <c r="I77">
        <v>38318548400</v>
      </c>
      <c r="J77">
        <v>28.35</v>
      </c>
      <c r="K77">
        <v>16</v>
      </c>
      <c r="O77" s="2" t="s">
        <v>66</v>
      </c>
      <c r="P77" s="4"/>
      <c r="Q77" s="4">
        <v>0.67724181086231128</v>
      </c>
      <c r="R77" s="4">
        <v>0.60069653116430799</v>
      </c>
      <c r="S77" s="4">
        <v>0.65476041242573246</v>
      </c>
      <c r="T77" s="4">
        <v>0.65496957739016193</v>
      </c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4"/>
      <c r="BZ77" s="4"/>
      <c r="CA77" s="4"/>
      <c r="CB77" s="4"/>
      <c r="CC77" s="4"/>
      <c r="CD77" s="4"/>
      <c r="CE77" s="4"/>
      <c r="CF77" s="4"/>
      <c r="CG77" s="4"/>
      <c r="CH77" s="4"/>
      <c r="CI77" s="4"/>
      <c r="CJ77" s="4"/>
      <c r="CK77" s="4"/>
      <c r="CL77" s="4"/>
      <c r="CM77" s="4"/>
      <c r="CN77" s="4"/>
      <c r="CO77" s="4"/>
      <c r="CP77" s="4"/>
      <c r="CQ77" s="4"/>
      <c r="CR77" s="4"/>
      <c r="CS77" s="4"/>
      <c r="CT77" s="4"/>
      <c r="CU77" s="4"/>
      <c r="CV77" s="4"/>
      <c r="CW77" s="4"/>
      <c r="CX77" s="4"/>
      <c r="CY77" s="4"/>
      <c r="CZ77" s="4"/>
      <c r="DA77" s="4"/>
      <c r="DB77" s="4"/>
      <c r="DC77" s="4"/>
      <c r="DD77" s="4"/>
      <c r="DE77" s="4"/>
      <c r="DF77" s="4"/>
      <c r="DG77" s="4"/>
      <c r="DH77" s="4"/>
      <c r="DI77" s="4"/>
      <c r="DJ77" s="4"/>
      <c r="DK77" s="4"/>
      <c r="DL77" s="4"/>
      <c r="DM77" s="4"/>
      <c r="DN77" s="4"/>
      <c r="DO77" s="4"/>
      <c r="DP77" s="4"/>
      <c r="DQ77" s="3">
        <v>2.5876683318425138</v>
      </c>
      <c r="DR77">
        <f t="shared" si="2"/>
        <v>4</v>
      </c>
      <c r="DS77" s="4">
        <f t="shared" si="3"/>
        <v>3.8095238095238099E-2</v>
      </c>
    </row>
    <row r="78" spans="1:123" x14ac:dyDescent="0.25">
      <c r="A78" t="s">
        <v>98</v>
      </c>
      <c r="B78" t="s">
        <v>12</v>
      </c>
      <c r="C78" t="s">
        <v>13</v>
      </c>
      <c r="D78" t="s">
        <v>14</v>
      </c>
      <c r="E78" t="s">
        <v>15</v>
      </c>
      <c r="F78">
        <v>0.62781838974683524</v>
      </c>
      <c r="G78">
        <v>0.95563677949367043</v>
      </c>
      <c r="H78">
        <v>0.3</v>
      </c>
      <c r="I78">
        <v>38587230400</v>
      </c>
      <c r="J78">
        <v>21.1</v>
      </c>
      <c r="K78">
        <v>17</v>
      </c>
      <c r="O78" s="2" t="s">
        <v>193</v>
      </c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>
        <v>0.68920554422987235</v>
      </c>
      <c r="AF78" s="4"/>
      <c r="AG78" s="4">
        <v>0.65116167010818771</v>
      </c>
      <c r="AH78" s="4"/>
      <c r="AI78" s="4"/>
      <c r="AJ78" s="4">
        <v>0.58080686983321805</v>
      </c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>
        <v>0.6969278781042787</v>
      </c>
      <c r="BK78" s="4">
        <v>0.6812262105349387</v>
      </c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  <c r="CO78" s="4"/>
      <c r="CP78" s="4"/>
      <c r="CQ78" s="4"/>
      <c r="CR78" s="4"/>
      <c r="CS78" s="4"/>
      <c r="CT78" s="4"/>
      <c r="CU78" s="4"/>
      <c r="CV78" s="4"/>
      <c r="CW78" s="4"/>
      <c r="CX78" s="4"/>
      <c r="CY78" s="4"/>
      <c r="CZ78" s="4"/>
      <c r="DA78" s="4"/>
      <c r="DB78" s="4">
        <v>0.62571237002330715</v>
      </c>
      <c r="DC78" s="4"/>
      <c r="DD78" s="4"/>
      <c r="DE78" s="4"/>
      <c r="DF78" s="4">
        <v>0.65013429641700604</v>
      </c>
      <c r="DG78" s="4"/>
      <c r="DH78" s="4"/>
      <c r="DI78" s="4"/>
      <c r="DJ78" s="4"/>
      <c r="DK78" s="4"/>
      <c r="DL78" s="4"/>
      <c r="DM78" s="4"/>
      <c r="DN78" s="4"/>
      <c r="DO78" s="4"/>
      <c r="DP78" s="4"/>
      <c r="DQ78" s="3">
        <v>4.5751748392508089</v>
      </c>
      <c r="DR78">
        <f t="shared" si="2"/>
        <v>7</v>
      </c>
      <c r="DS78" s="4">
        <f t="shared" si="3"/>
        <v>6.6666666666666666E-2</v>
      </c>
    </row>
    <row r="79" spans="1:123" x14ac:dyDescent="0.25">
      <c r="A79" t="s">
        <v>98</v>
      </c>
      <c r="B79" t="s">
        <v>21</v>
      </c>
      <c r="C79" t="s">
        <v>22</v>
      </c>
      <c r="D79" t="s">
        <v>14</v>
      </c>
      <c r="E79" t="s">
        <v>23</v>
      </c>
      <c r="F79">
        <v>0.62518046852662379</v>
      </c>
      <c r="G79">
        <v>0.65036093705324749</v>
      </c>
      <c r="H79">
        <v>0.6</v>
      </c>
      <c r="I79">
        <v>5068619000</v>
      </c>
      <c r="J79">
        <v>9.1999999999999993</v>
      </c>
      <c r="K79">
        <v>18</v>
      </c>
      <c r="O79" s="2" t="s">
        <v>345</v>
      </c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>
        <v>0.65221786439721541</v>
      </c>
      <c r="BO79" s="4">
        <v>0.58175872598285272</v>
      </c>
      <c r="BP79" s="4"/>
      <c r="BQ79" s="4"/>
      <c r="BR79" s="4"/>
      <c r="BS79" s="4">
        <v>0.5626729335533005</v>
      </c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  <c r="CO79" s="4"/>
      <c r="CP79" s="4"/>
      <c r="CQ79" s="4"/>
      <c r="CR79" s="4"/>
      <c r="CS79" s="4"/>
      <c r="CT79" s="4"/>
      <c r="CU79" s="4"/>
      <c r="CV79" s="4"/>
      <c r="CW79" s="4"/>
      <c r="CX79" s="4"/>
      <c r="CY79" s="4"/>
      <c r="CZ79" s="4"/>
      <c r="DA79" s="4"/>
      <c r="DB79" s="4"/>
      <c r="DC79" s="4"/>
      <c r="DD79" s="4"/>
      <c r="DE79" s="4"/>
      <c r="DF79" s="4"/>
      <c r="DG79" s="4"/>
      <c r="DH79" s="4"/>
      <c r="DI79" s="4"/>
      <c r="DJ79" s="4">
        <v>0.77779485650742497</v>
      </c>
      <c r="DK79" s="4"/>
      <c r="DL79" s="4"/>
      <c r="DM79" s="4">
        <v>0.72918239442027</v>
      </c>
      <c r="DN79" s="4"/>
      <c r="DO79" s="4"/>
      <c r="DP79" s="4"/>
      <c r="DQ79" s="3">
        <v>3.3036267748610637</v>
      </c>
      <c r="DR79">
        <f t="shared" si="2"/>
        <v>5</v>
      </c>
      <c r="DS79" s="4">
        <f t="shared" si="3"/>
        <v>4.7619047619047616E-2</v>
      </c>
    </row>
    <row r="80" spans="1:123" x14ac:dyDescent="0.25">
      <c r="A80" t="s">
        <v>98</v>
      </c>
      <c r="B80" t="s">
        <v>34</v>
      </c>
      <c r="C80" t="s">
        <v>35</v>
      </c>
      <c r="D80" t="s">
        <v>14</v>
      </c>
      <c r="E80" t="s">
        <v>36</v>
      </c>
      <c r="F80">
        <v>0.60809747370932388</v>
      </c>
      <c r="G80">
        <v>0.81619494741864762</v>
      </c>
      <c r="H80">
        <v>0.4</v>
      </c>
      <c r="I80">
        <v>4096531400</v>
      </c>
      <c r="J80">
        <v>28.8</v>
      </c>
      <c r="K80">
        <v>19</v>
      </c>
      <c r="O80" s="2" t="s">
        <v>140</v>
      </c>
      <c r="P80" s="4"/>
      <c r="Q80" s="4"/>
      <c r="R80" s="4"/>
      <c r="S80" s="4"/>
      <c r="T80" s="4"/>
      <c r="U80" s="4"/>
      <c r="V80" s="4"/>
      <c r="W80" s="4">
        <v>0.65692938037775972</v>
      </c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>
        <v>0.67026579000474173</v>
      </c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  <c r="CO80" s="4"/>
      <c r="CP80" s="4"/>
      <c r="CQ80" s="4"/>
      <c r="CR80" s="4"/>
      <c r="CS80" s="4"/>
      <c r="CT80" s="4"/>
      <c r="CU80" s="4"/>
      <c r="CV80" s="4">
        <v>0.58589206335357391</v>
      </c>
      <c r="CW80" s="4"/>
      <c r="CX80" s="4"/>
      <c r="CY80" s="4"/>
      <c r="CZ80" s="4">
        <v>0.62177315761183527</v>
      </c>
      <c r="DA80" s="4"/>
      <c r="DB80" s="4"/>
      <c r="DC80" s="4">
        <v>0.62713436334466444</v>
      </c>
      <c r="DD80" s="4"/>
      <c r="DE80" s="4">
        <v>0.67028493196053773</v>
      </c>
      <c r="DF80" s="4">
        <v>0.6971711587777526</v>
      </c>
      <c r="DG80" s="4">
        <v>0.68239533558390009</v>
      </c>
      <c r="DH80" s="4"/>
      <c r="DI80" s="4"/>
      <c r="DJ80" s="4"/>
      <c r="DK80" s="4"/>
      <c r="DL80" s="4"/>
      <c r="DM80" s="4"/>
      <c r="DN80" s="4"/>
      <c r="DO80" s="4"/>
      <c r="DP80" s="4"/>
      <c r="DQ80" s="3">
        <v>5.2118461810147654</v>
      </c>
      <c r="DR80">
        <f t="shared" si="2"/>
        <v>8</v>
      </c>
      <c r="DS80" s="4">
        <f t="shared" si="3"/>
        <v>7.6190476190476197E-2</v>
      </c>
    </row>
    <row r="81" spans="1:123" x14ac:dyDescent="0.25">
      <c r="A81" t="s">
        <v>98</v>
      </c>
      <c r="B81" t="s">
        <v>79</v>
      </c>
      <c r="C81" t="s">
        <v>80</v>
      </c>
      <c r="D81" t="s">
        <v>32</v>
      </c>
      <c r="E81" t="s">
        <v>59</v>
      </c>
      <c r="F81">
        <v>0.60078692147386337</v>
      </c>
      <c r="G81">
        <v>0.90157384294772669</v>
      </c>
      <c r="H81">
        <v>0.3</v>
      </c>
      <c r="I81">
        <v>16766841600</v>
      </c>
      <c r="J81">
        <v>84.1</v>
      </c>
      <c r="K81">
        <v>20</v>
      </c>
      <c r="O81" s="2" t="s">
        <v>535</v>
      </c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  <c r="CO81" s="4"/>
      <c r="CP81" s="4"/>
      <c r="CQ81" s="4"/>
      <c r="CR81" s="4"/>
      <c r="CS81" s="4"/>
      <c r="CT81" s="4"/>
      <c r="CU81" s="4"/>
      <c r="CV81" s="4"/>
      <c r="CW81" s="4"/>
      <c r="CX81" s="4"/>
      <c r="CY81" s="4"/>
      <c r="CZ81" s="4"/>
      <c r="DA81" s="4"/>
      <c r="DB81" s="4"/>
      <c r="DC81" s="4"/>
      <c r="DD81" s="4"/>
      <c r="DE81" s="4"/>
      <c r="DF81" s="4"/>
      <c r="DG81" s="4"/>
      <c r="DH81" s="4"/>
      <c r="DI81" s="4"/>
      <c r="DJ81" s="4"/>
      <c r="DK81" s="4"/>
      <c r="DL81" s="4"/>
      <c r="DM81" s="4"/>
      <c r="DN81" s="4"/>
      <c r="DO81" s="4">
        <v>0.71980397392072049</v>
      </c>
      <c r="DP81" s="4"/>
      <c r="DQ81" s="3">
        <v>0.71980397392072049</v>
      </c>
      <c r="DR81">
        <f t="shared" si="2"/>
        <v>1</v>
      </c>
      <c r="DS81" s="4">
        <f t="shared" si="3"/>
        <v>9.5238095238095247E-3</v>
      </c>
    </row>
    <row r="82" spans="1:123" x14ac:dyDescent="0.25">
      <c r="A82" t="s">
        <v>105</v>
      </c>
      <c r="B82" t="s">
        <v>24</v>
      </c>
      <c r="C82" t="s">
        <v>25</v>
      </c>
      <c r="D82" t="s">
        <v>18</v>
      </c>
      <c r="E82" t="s">
        <v>26</v>
      </c>
      <c r="F82">
        <v>0.77683068617012374</v>
      </c>
      <c r="G82">
        <v>0.90366137234024757</v>
      </c>
      <c r="H82">
        <v>0.65</v>
      </c>
      <c r="I82">
        <v>6032199800</v>
      </c>
      <c r="J82">
        <v>13.3</v>
      </c>
      <c r="K82">
        <v>1</v>
      </c>
      <c r="O82" s="2" t="s">
        <v>199</v>
      </c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>
        <v>0.58222530590767319</v>
      </c>
      <c r="AG82" s="4">
        <v>0.56523126634718623</v>
      </c>
      <c r="AH82" s="4">
        <v>0.61343017352283091</v>
      </c>
      <c r="AI82" s="4">
        <v>0.64431375942138469</v>
      </c>
      <c r="AJ82" s="4">
        <v>0.61542697583756156</v>
      </c>
      <c r="AK82" s="4">
        <v>0.67061081438686898</v>
      </c>
      <c r="AL82" s="4">
        <v>0.69477817890949956</v>
      </c>
      <c r="AM82" s="4">
        <v>0.58681965365992916</v>
      </c>
      <c r="AN82" s="4"/>
      <c r="AO82" s="4"/>
      <c r="AP82" s="4">
        <v>0.54763898403171518</v>
      </c>
      <c r="AQ82" s="4">
        <v>0.62030655018621161</v>
      </c>
      <c r="AR82" s="4">
        <v>0.5802325883241658</v>
      </c>
      <c r="AS82" s="4">
        <v>0.76424829726850407</v>
      </c>
      <c r="AT82" s="4">
        <v>0.72003995064074011</v>
      </c>
      <c r="AU82" s="4">
        <v>0.74243612060176734</v>
      </c>
      <c r="AV82" s="4">
        <v>0.74359223972377109</v>
      </c>
      <c r="AW82" s="4">
        <v>0.76438015927157732</v>
      </c>
      <c r="AX82" s="4">
        <v>0.76493469111129664</v>
      </c>
      <c r="AY82" s="4">
        <v>0.7676362422620433</v>
      </c>
      <c r="AZ82" s="4">
        <v>0.66062378531357313</v>
      </c>
      <c r="BA82" s="4"/>
      <c r="BB82" s="4">
        <v>0.58589079589862481</v>
      </c>
      <c r="BC82" s="4"/>
      <c r="BD82" s="4">
        <v>0.55651231972283799</v>
      </c>
      <c r="BE82" s="4">
        <v>0.5701150446949057</v>
      </c>
      <c r="BF82" s="4"/>
      <c r="BG82" s="4"/>
      <c r="BH82" s="4"/>
      <c r="BI82" s="4">
        <v>0.56287665260143582</v>
      </c>
      <c r="BJ82" s="4"/>
      <c r="BK82" s="4">
        <v>0.5510999661799415</v>
      </c>
      <c r="BL82" s="4"/>
      <c r="BM82" s="4">
        <v>0.61709187635673857</v>
      </c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  <c r="CO82" s="4"/>
      <c r="CP82" s="4"/>
      <c r="CQ82" s="4"/>
      <c r="CR82" s="4"/>
      <c r="CS82" s="4"/>
      <c r="CT82" s="4"/>
      <c r="CU82" s="4"/>
      <c r="CV82" s="4"/>
      <c r="CW82" s="4"/>
      <c r="CX82" s="4"/>
      <c r="CY82" s="4"/>
      <c r="CZ82" s="4"/>
      <c r="DA82" s="4"/>
      <c r="DB82" s="4"/>
      <c r="DC82" s="4"/>
      <c r="DD82" s="4"/>
      <c r="DE82" s="4"/>
      <c r="DF82" s="4"/>
      <c r="DG82" s="4"/>
      <c r="DH82" s="4"/>
      <c r="DI82" s="4"/>
      <c r="DJ82" s="4"/>
      <c r="DK82" s="4"/>
      <c r="DL82" s="4"/>
      <c r="DM82" s="4"/>
      <c r="DN82" s="4"/>
      <c r="DO82" s="4"/>
      <c r="DP82" s="4"/>
      <c r="DQ82" s="3">
        <v>16.092492392182784</v>
      </c>
      <c r="DR82">
        <f t="shared" si="2"/>
        <v>25</v>
      </c>
      <c r="DS82" s="4">
        <f t="shared" si="3"/>
        <v>0.23809523809523808</v>
      </c>
    </row>
    <row r="83" spans="1:123" x14ac:dyDescent="0.25">
      <c r="A83" t="s">
        <v>105</v>
      </c>
      <c r="B83" t="s">
        <v>75</v>
      </c>
      <c r="C83" t="s">
        <v>76</v>
      </c>
      <c r="D83" t="s">
        <v>18</v>
      </c>
      <c r="E83" t="s">
        <v>33</v>
      </c>
      <c r="F83">
        <v>0.73671294267171716</v>
      </c>
      <c r="G83">
        <v>0.92342588534343428</v>
      </c>
      <c r="H83">
        <v>0.55000000000000004</v>
      </c>
      <c r="I83">
        <v>5339976800</v>
      </c>
      <c r="J83">
        <v>5.8</v>
      </c>
      <c r="K83">
        <v>2</v>
      </c>
      <c r="O83" s="2" t="s">
        <v>263</v>
      </c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>
        <v>0.6349660223517718</v>
      </c>
      <c r="AT83" s="4">
        <v>0.59327634446725197</v>
      </c>
      <c r="AU83" s="4"/>
      <c r="AV83" s="4">
        <v>0.77257291340249812</v>
      </c>
      <c r="AW83" s="4"/>
      <c r="AX83" s="4"/>
      <c r="AY83" s="4"/>
      <c r="AZ83" s="4"/>
      <c r="BA83" s="4"/>
      <c r="BB83" s="4"/>
      <c r="BC83" s="4"/>
      <c r="BD83" s="4"/>
      <c r="BE83" s="4">
        <v>0.54647040003182301</v>
      </c>
      <c r="BF83" s="4">
        <v>0.57902376309246417</v>
      </c>
      <c r="BG83" s="4">
        <v>0.88023769064778468</v>
      </c>
      <c r="BH83" s="4"/>
      <c r="BI83" s="4"/>
      <c r="BJ83" s="4">
        <v>0.59688515159835376</v>
      </c>
      <c r="BK83" s="4">
        <v>0.57450665409046842</v>
      </c>
      <c r="BL83" s="4"/>
      <c r="BM83" s="4">
        <v>0.59386398785720274</v>
      </c>
      <c r="BN83" s="4">
        <v>0.69533170298862834</v>
      </c>
      <c r="BO83" s="4">
        <v>0.59098487973991343</v>
      </c>
      <c r="BP83" s="4"/>
      <c r="BQ83" s="4">
        <v>0.59962551251723495</v>
      </c>
      <c r="BR83" s="4">
        <v>0.8126149736756787</v>
      </c>
      <c r="BS83" s="4">
        <v>0.6706239355470629</v>
      </c>
      <c r="BT83" s="4">
        <v>0.64300564686929806</v>
      </c>
      <c r="BU83" s="4">
        <v>0.85967469820953146</v>
      </c>
      <c r="BV83" s="4">
        <v>0.87956066128692756</v>
      </c>
      <c r="BW83" s="4">
        <v>0.74626014784467487</v>
      </c>
      <c r="BX83" s="4">
        <v>0.62292343892786839</v>
      </c>
      <c r="BY83" s="4">
        <v>0.62095355514240058</v>
      </c>
      <c r="BZ83" s="4"/>
      <c r="CA83" s="4"/>
      <c r="CB83" s="4"/>
      <c r="CC83" s="4"/>
      <c r="CD83" s="4"/>
      <c r="CE83" s="4">
        <v>0.58235380243366941</v>
      </c>
      <c r="CF83" s="4">
        <v>0.72666479982585641</v>
      </c>
      <c r="CG83" s="4">
        <v>0.78810908595732443</v>
      </c>
      <c r="CH83" s="4"/>
      <c r="CI83" s="4">
        <v>0.66655620724879894</v>
      </c>
      <c r="CJ83" s="4">
        <v>0.63482470687024206</v>
      </c>
      <c r="CK83" s="4">
        <v>0.66052046887818161</v>
      </c>
      <c r="CL83" s="4"/>
      <c r="CM83" s="4"/>
      <c r="CN83" s="4"/>
      <c r="CO83" s="4"/>
      <c r="CP83" s="4"/>
      <c r="CQ83" s="4"/>
      <c r="CR83" s="4"/>
      <c r="CS83" s="4"/>
      <c r="CT83" s="4">
        <v>0.57524134376683655</v>
      </c>
      <c r="CU83" s="4"/>
      <c r="CV83" s="4"/>
      <c r="CW83" s="4"/>
      <c r="CX83" s="4"/>
      <c r="CY83" s="4"/>
      <c r="CZ83" s="4"/>
      <c r="DA83" s="4"/>
      <c r="DB83" s="4"/>
      <c r="DC83" s="4"/>
      <c r="DD83" s="4"/>
      <c r="DE83" s="4"/>
      <c r="DF83" s="4"/>
      <c r="DG83" s="4"/>
      <c r="DH83" s="4"/>
      <c r="DI83" s="4"/>
      <c r="DJ83" s="4"/>
      <c r="DK83" s="4"/>
      <c r="DL83" s="4"/>
      <c r="DM83" s="4"/>
      <c r="DN83" s="4"/>
      <c r="DO83" s="4"/>
      <c r="DP83" s="4"/>
      <c r="DQ83" s="3">
        <v>18.147632495269747</v>
      </c>
      <c r="DR83">
        <f t="shared" si="2"/>
        <v>27</v>
      </c>
      <c r="DS83" s="4">
        <f t="shared" si="3"/>
        <v>0.25714285714285712</v>
      </c>
    </row>
    <row r="84" spans="1:123" x14ac:dyDescent="0.25">
      <c r="A84" t="s">
        <v>105</v>
      </c>
      <c r="B84" t="s">
        <v>45</v>
      </c>
      <c r="C84" t="s">
        <v>46</v>
      </c>
      <c r="D84" t="s">
        <v>14</v>
      </c>
      <c r="E84" t="s">
        <v>15</v>
      </c>
      <c r="F84">
        <v>0.73548513136055604</v>
      </c>
      <c r="G84">
        <v>0.87097026272111211</v>
      </c>
      <c r="H84">
        <v>0.6</v>
      </c>
      <c r="I84">
        <v>3278132800</v>
      </c>
      <c r="J84">
        <v>23</v>
      </c>
      <c r="K84">
        <v>3</v>
      </c>
      <c r="O84" s="2" t="s">
        <v>337</v>
      </c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>
        <v>0.54165192540667928</v>
      </c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  <c r="CO84" s="4"/>
      <c r="CP84" s="4"/>
      <c r="CQ84" s="4"/>
      <c r="CR84" s="4"/>
      <c r="CS84" s="4"/>
      <c r="CT84" s="4"/>
      <c r="CU84" s="4"/>
      <c r="CV84" s="4"/>
      <c r="CW84" s="4"/>
      <c r="CX84" s="4"/>
      <c r="CY84" s="4"/>
      <c r="CZ84" s="4"/>
      <c r="DA84" s="4"/>
      <c r="DB84" s="4"/>
      <c r="DC84" s="4"/>
      <c r="DD84" s="4"/>
      <c r="DE84" s="4">
        <v>0.6438708420156678</v>
      </c>
      <c r="DF84" s="4">
        <v>0.81286887932989704</v>
      </c>
      <c r="DG84" s="4">
        <v>0.68187198189467846</v>
      </c>
      <c r="DH84" s="4"/>
      <c r="DI84" s="4"/>
      <c r="DJ84" s="4"/>
      <c r="DK84" s="4"/>
      <c r="DL84" s="4"/>
      <c r="DM84" s="4"/>
      <c r="DN84" s="4">
        <v>0.68437944693208141</v>
      </c>
      <c r="DO84" s="4">
        <v>0.81928410460206968</v>
      </c>
      <c r="DP84" s="4">
        <v>0.72182430915408413</v>
      </c>
      <c r="DQ84" s="3">
        <v>4.9057514893351577</v>
      </c>
      <c r="DR84">
        <f t="shared" si="2"/>
        <v>7</v>
      </c>
      <c r="DS84" s="4">
        <f t="shared" si="3"/>
        <v>6.6666666666666666E-2</v>
      </c>
    </row>
    <row r="85" spans="1:123" x14ac:dyDescent="0.25">
      <c r="A85" t="s">
        <v>105</v>
      </c>
      <c r="B85" t="s">
        <v>37</v>
      </c>
      <c r="C85" t="s">
        <v>38</v>
      </c>
      <c r="D85" t="s">
        <v>18</v>
      </c>
      <c r="E85" t="s">
        <v>39</v>
      </c>
      <c r="F85">
        <v>0.72125979962253428</v>
      </c>
      <c r="G85">
        <v>0.89251959924506863</v>
      </c>
      <c r="H85">
        <v>0.55000000000000004</v>
      </c>
      <c r="I85">
        <v>4876505800</v>
      </c>
      <c r="J85">
        <v>39</v>
      </c>
      <c r="K85">
        <v>4</v>
      </c>
      <c r="O85" s="2" t="s">
        <v>138</v>
      </c>
      <c r="P85" s="4"/>
      <c r="Q85" s="4"/>
      <c r="R85" s="4"/>
      <c r="S85" s="4"/>
      <c r="T85" s="4"/>
      <c r="U85" s="4"/>
      <c r="V85" s="4"/>
      <c r="W85" s="4">
        <v>0.71634506494168915</v>
      </c>
      <c r="X85" s="4"/>
      <c r="Y85" s="4"/>
      <c r="Z85" s="4">
        <v>0.5952075862426186</v>
      </c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  <c r="CO85" s="4"/>
      <c r="CP85" s="4"/>
      <c r="CQ85" s="4"/>
      <c r="CR85" s="4"/>
      <c r="CS85" s="4"/>
      <c r="CT85" s="4"/>
      <c r="CU85" s="4"/>
      <c r="CV85" s="4"/>
      <c r="CW85" s="4"/>
      <c r="CX85" s="4"/>
      <c r="CY85" s="4"/>
      <c r="CZ85" s="4"/>
      <c r="DA85" s="4"/>
      <c r="DB85" s="4"/>
      <c r="DC85" s="4"/>
      <c r="DD85" s="4"/>
      <c r="DE85" s="4"/>
      <c r="DF85" s="4"/>
      <c r="DG85" s="4"/>
      <c r="DH85" s="4"/>
      <c r="DI85" s="4"/>
      <c r="DJ85" s="4"/>
      <c r="DK85" s="4"/>
      <c r="DL85" s="4"/>
      <c r="DM85" s="4"/>
      <c r="DN85" s="4"/>
      <c r="DO85" s="4"/>
      <c r="DP85" s="4"/>
      <c r="DQ85" s="3">
        <v>1.3115526511843076</v>
      </c>
      <c r="DR85">
        <f t="shared" si="2"/>
        <v>2</v>
      </c>
      <c r="DS85" s="4">
        <f t="shared" si="3"/>
        <v>1.9047619047619049E-2</v>
      </c>
    </row>
    <row r="86" spans="1:123" x14ac:dyDescent="0.25">
      <c r="A86" t="s">
        <v>105</v>
      </c>
      <c r="B86" t="s">
        <v>72</v>
      </c>
      <c r="C86" t="s">
        <v>73</v>
      </c>
      <c r="D86" t="s">
        <v>32</v>
      </c>
      <c r="E86" t="s">
        <v>74</v>
      </c>
      <c r="F86">
        <v>0.71468385501176102</v>
      </c>
      <c r="G86">
        <v>0.77936771002352201</v>
      </c>
      <c r="H86">
        <v>0.65</v>
      </c>
      <c r="I86">
        <v>276030208700</v>
      </c>
      <c r="J86">
        <v>42.4</v>
      </c>
      <c r="K86">
        <v>5</v>
      </c>
      <c r="O86" s="2" t="s">
        <v>240</v>
      </c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>
        <v>0.48690070281360692</v>
      </c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  <c r="CO86" s="4"/>
      <c r="CP86" s="4"/>
      <c r="CQ86" s="4"/>
      <c r="CR86" s="4"/>
      <c r="CS86" s="4"/>
      <c r="CT86" s="4"/>
      <c r="CU86" s="4"/>
      <c r="CV86" s="4"/>
      <c r="CW86" s="4"/>
      <c r="CX86" s="4"/>
      <c r="CY86" s="4"/>
      <c r="CZ86" s="4"/>
      <c r="DA86" s="4"/>
      <c r="DB86" s="4"/>
      <c r="DC86" s="4"/>
      <c r="DD86" s="4"/>
      <c r="DE86" s="4"/>
      <c r="DF86" s="4"/>
      <c r="DG86" s="4"/>
      <c r="DH86" s="4"/>
      <c r="DI86" s="4"/>
      <c r="DJ86" s="4"/>
      <c r="DK86" s="4"/>
      <c r="DL86" s="4"/>
      <c r="DM86" s="4"/>
      <c r="DN86" s="4"/>
      <c r="DO86" s="4"/>
      <c r="DP86" s="4"/>
      <c r="DQ86" s="3">
        <v>0.48690070281360692</v>
      </c>
      <c r="DR86">
        <f t="shared" si="2"/>
        <v>1</v>
      </c>
      <c r="DS86" s="4">
        <f t="shared" si="3"/>
        <v>9.5238095238095247E-3</v>
      </c>
    </row>
    <row r="87" spans="1:123" x14ac:dyDescent="0.25">
      <c r="A87" t="s">
        <v>105</v>
      </c>
      <c r="B87" t="s">
        <v>101</v>
      </c>
      <c r="C87" t="s">
        <v>102</v>
      </c>
      <c r="D87" t="s">
        <v>18</v>
      </c>
      <c r="E87" t="s">
        <v>15</v>
      </c>
      <c r="F87">
        <v>0.71284460225660551</v>
      </c>
      <c r="G87">
        <v>0.87568920451321097</v>
      </c>
      <c r="H87">
        <v>0.55000000000000004</v>
      </c>
      <c r="I87">
        <v>2102044000</v>
      </c>
      <c r="J87">
        <v>53.1</v>
      </c>
      <c r="K87">
        <v>6</v>
      </c>
      <c r="O87" s="2" t="s">
        <v>132</v>
      </c>
      <c r="P87" s="4"/>
      <c r="Q87" s="4"/>
      <c r="R87" s="4"/>
      <c r="S87" s="4"/>
      <c r="T87" s="4"/>
      <c r="U87" s="4"/>
      <c r="V87" s="4">
        <v>0.65706494754620826</v>
      </c>
      <c r="W87" s="4">
        <v>0.74505843439889641</v>
      </c>
      <c r="X87" s="4">
        <v>0.73313830542043124</v>
      </c>
      <c r="Y87" s="4">
        <v>0.69713321308771725</v>
      </c>
      <c r="Z87" s="4">
        <v>0.6849811693050325</v>
      </c>
      <c r="AA87" s="4">
        <v>0.65761381272929287</v>
      </c>
      <c r="AB87" s="4">
        <v>0.66409520175133152</v>
      </c>
      <c r="AC87" s="4">
        <v>0.6552385896096814</v>
      </c>
      <c r="AD87" s="4">
        <v>0.62028580517687226</v>
      </c>
      <c r="AE87" s="4">
        <v>0.61399725941011718</v>
      </c>
      <c r="AF87" s="4">
        <v>0.63646155152598027</v>
      </c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>
        <v>0.65284576768864122</v>
      </c>
      <c r="BV87" s="4"/>
      <c r="BW87" s="4"/>
      <c r="BX87" s="4"/>
      <c r="BY87" s="4"/>
      <c r="BZ87" s="4">
        <v>0.69395296469633838</v>
      </c>
      <c r="CA87" s="4">
        <v>0.6400631998695181</v>
      </c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  <c r="CO87" s="4"/>
      <c r="CP87" s="4"/>
      <c r="CQ87" s="4"/>
      <c r="CR87" s="4"/>
      <c r="CS87" s="4"/>
      <c r="CT87" s="4"/>
      <c r="CU87" s="4"/>
      <c r="CV87" s="4"/>
      <c r="CW87" s="4"/>
      <c r="CX87" s="4"/>
      <c r="CY87" s="4"/>
      <c r="CZ87" s="4"/>
      <c r="DA87" s="4"/>
      <c r="DB87" s="4"/>
      <c r="DC87" s="4"/>
      <c r="DD87" s="4"/>
      <c r="DE87" s="4"/>
      <c r="DF87" s="4"/>
      <c r="DG87" s="4"/>
      <c r="DH87" s="4"/>
      <c r="DI87" s="4"/>
      <c r="DJ87" s="4"/>
      <c r="DK87" s="4"/>
      <c r="DL87" s="4"/>
      <c r="DM87" s="4"/>
      <c r="DN87" s="4"/>
      <c r="DO87" s="4"/>
      <c r="DP87" s="4"/>
      <c r="DQ87" s="3">
        <v>9.3519302222160583</v>
      </c>
      <c r="DR87">
        <f t="shared" si="2"/>
        <v>14</v>
      </c>
      <c r="DS87" s="4">
        <f t="shared" si="3"/>
        <v>0.13333333333333333</v>
      </c>
    </row>
    <row r="88" spans="1:123" x14ac:dyDescent="0.25">
      <c r="A88" t="s">
        <v>105</v>
      </c>
      <c r="B88" t="s">
        <v>57</v>
      </c>
      <c r="C88" t="s">
        <v>58</v>
      </c>
      <c r="D88" t="s">
        <v>32</v>
      </c>
      <c r="E88" t="s">
        <v>59</v>
      </c>
      <c r="F88">
        <v>0.70924083276292638</v>
      </c>
      <c r="G88">
        <v>0.91848166552585275</v>
      </c>
      <c r="H88">
        <v>0.5</v>
      </c>
      <c r="I88">
        <v>22106617200</v>
      </c>
      <c r="J88">
        <v>65</v>
      </c>
      <c r="K88">
        <v>7</v>
      </c>
      <c r="O88" s="2" t="s">
        <v>211</v>
      </c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>
        <v>0.59847655941189226</v>
      </c>
      <c r="AI88" s="4"/>
      <c r="AJ88" s="4">
        <v>0.60001819613132024</v>
      </c>
      <c r="AK88" s="4">
        <v>0.5886343599042414</v>
      </c>
      <c r="AL88" s="4">
        <v>0.60709846858719252</v>
      </c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>
        <v>0.62426254488756605</v>
      </c>
      <c r="BP88" s="4"/>
      <c r="BQ88" s="4">
        <v>0.56715789655461535</v>
      </c>
      <c r="BR88" s="4">
        <v>0.66249777755415096</v>
      </c>
      <c r="BS88" s="4">
        <v>0.6512184701520578</v>
      </c>
      <c r="BT88" s="4">
        <v>0.66972428521513083</v>
      </c>
      <c r="BU88" s="4">
        <v>0.66712480661072882</v>
      </c>
      <c r="BV88" s="4">
        <v>0.66434391649106495</v>
      </c>
      <c r="BW88" s="4">
        <v>0.614324988948729</v>
      </c>
      <c r="BX88" s="4">
        <v>0.67059292243695368</v>
      </c>
      <c r="BY88" s="4"/>
      <c r="BZ88" s="4"/>
      <c r="CA88" s="4"/>
      <c r="CB88" s="4">
        <v>0.64073414013255026</v>
      </c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"/>
      <c r="CS88" s="4"/>
      <c r="CT88" s="4"/>
      <c r="CU88" s="4"/>
      <c r="CV88" s="4"/>
      <c r="CW88" s="4"/>
      <c r="CX88" s="4"/>
      <c r="CY88" s="4"/>
      <c r="CZ88" s="4"/>
      <c r="DA88" s="4"/>
      <c r="DB88" s="4"/>
      <c r="DC88" s="4"/>
      <c r="DD88" s="4"/>
      <c r="DE88" s="4"/>
      <c r="DF88" s="4"/>
      <c r="DG88" s="4"/>
      <c r="DH88" s="4"/>
      <c r="DI88" s="4"/>
      <c r="DJ88" s="4"/>
      <c r="DK88" s="4"/>
      <c r="DL88" s="4"/>
      <c r="DM88" s="4"/>
      <c r="DN88" s="4"/>
      <c r="DO88" s="4"/>
      <c r="DP88" s="4"/>
      <c r="DQ88" s="3">
        <v>8.8262093330181948</v>
      </c>
      <c r="DR88">
        <f t="shared" si="2"/>
        <v>14</v>
      </c>
      <c r="DS88" s="4">
        <f t="shared" si="3"/>
        <v>0.13333333333333333</v>
      </c>
    </row>
    <row r="89" spans="1:123" x14ac:dyDescent="0.25">
      <c r="A89" t="s">
        <v>105</v>
      </c>
      <c r="B89" t="s">
        <v>82</v>
      </c>
      <c r="C89" t="s">
        <v>83</v>
      </c>
      <c r="D89" t="s">
        <v>32</v>
      </c>
      <c r="E89" t="s">
        <v>39</v>
      </c>
      <c r="F89">
        <v>0.68173182303270607</v>
      </c>
      <c r="G89">
        <v>0.8134636460654121</v>
      </c>
      <c r="H89">
        <v>0.55000000000000004</v>
      </c>
      <c r="I89">
        <v>28139321900</v>
      </c>
      <c r="J89">
        <v>14.6</v>
      </c>
      <c r="K89">
        <v>8</v>
      </c>
      <c r="O89" s="2" t="s">
        <v>110</v>
      </c>
      <c r="P89" s="4"/>
      <c r="Q89" s="4"/>
      <c r="R89" s="4"/>
      <c r="S89" s="4"/>
      <c r="T89" s="4">
        <v>0.64149084932567546</v>
      </c>
      <c r="U89" s="4">
        <v>0.75536062595275166</v>
      </c>
      <c r="V89" s="4">
        <v>0.79858863906740651</v>
      </c>
      <c r="W89" s="4">
        <v>0.73414705204588904</v>
      </c>
      <c r="X89" s="4">
        <v>0.73127182446223282</v>
      </c>
      <c r="Y89" s="4">
        <v>0.77413996418206121</v>
      </c>
      <c r="Z89" s="4">
        <v>0.77425853394345667</v>
      </c>
      <c r="AA89" s="4">
        <v>0.76575042726530196</v>
      </c>
      <c r="AB89" s="4">
        <v>0.71670909667415161</v>
      </c>
      <c r="AC89" s="4">
        <v>0.81164551335694968</v>
      </c>
      <c r="AD89" s="4">
        <v>0.8015200330032527</v>
      </c>
      <c r="AE89" s="4">
        <v>0.74935224662509103</v>
      </c>
      <c r="AF89" s="4">
        <v>0.68733190571478131</v>
      </c>
      <c r="AG89" s="4">
        <v>0.69038547158505081</v>
      </c>
      <c r="AH89" s="4">
        <v>0.6798218108269557</v>
      </c>
      <c r="AI89" s="4">
        <v>0.6116342490916078</v>
      </c>
      <c r="AJ89" s="4">
        <v>0.54716202200476294</v>
      </c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>
        <v>0.57813698344937414</v>
      </c>
      <c r="BQ89" s="4">
        <v>0.71380610548068768</v>
      </c>
      <c r="BR89" s="4">
        <v>0.63160654247243431</v>
      </c>
      <c r="BS89" s="4">
        <v>0.73931271626226613</v>
      </c>
      <c r="BT89" s="4">
        <v>0.76281950742940619</v>
      </c>
      <c r="BU89" s="4">
        <v>0.64588150577584247</v>
      </c>
      <c r="BV89" s="4">
        <v>0.70611425612697598</v>
      </c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"/>
      <c r="CS89" s="4">
        <v>0.5468082445890895</v>
      </c>
      <c r="CT89" s="4"/>
      <c r="CU89" s="4"/>
      <c r="CV89" s="4"/>
      <c r="CW89" s="4"/>
      <c r="CX89" s="4"/>
      <c r="CY89" s="4"/>
      <c r="CZ89" s="4"/>
      <c r="DA89" s="4"/>
      <c r="DB89" s="4"/>
      <c r="DC89" s="4"/>
      <c r="DD89" s="4"/>
      <c r="DE89" s="4"/>
      <c r="DF89" s="4">
        <v>0.65254965633538231</v>
      </c>
      <c r="DG89" s="4"/>
      <c r="DH89" s="4">
        <v>0.70926603979215497</v>
      </c>
      <c r="DI89" s="4">
        <v>0.71033634211194996</v>
      </c>
      <c r="DJ89" s="4">
        <v>0.76009213122061614</v>
      </c>
      <c r="DK89" s="4">
        <v>0.79505697568637268</v>
      </c>
      <c r="DL89" s="4">
        <v>0.73697177646232592</v>
      </c>
      <c r="DM89" s="4"/>
      <c r="DN89" s="4"/>
      <c r="DO89" s="4"/>
      <c r="DP89" s="4"/>
      <c r="DQ89" s="3">
        <v>21.959329048322257</v>
      </c>
      <c r="DR89">
        <f t="shared" si="2"/>
        <v>31</v>
      </c>
      <c r="DS89" s="4">
        <f t="shared" si="3"/>
        <v>0.29523809523809524</v>
      </c>
    </row>
    <row r="90" spans="1:123" x14ac:dyDescent="0.25">
      <c r="A90" t="s">
        <v>105</v>
      </c>
      <c r="B90" t="s">
        <v>99</v>
      </c>
      <c r="C90" t="s">
        <v>100</v>
      </c>
      <c r="D90" t="s">
        <v>32</v>
      </c>
      <c r="E90" t="s">
        <v>29</v>
      </c>
      <c r="F90">
        <v>0.67974667465039595</v>
      </c>
      <c r="G90">
        <v>0.90949334930079195</v>
      </c>
      <c r="H90">
        <v>0.45</v>
      </c>
      <c r="I90">
        <v>23895565000</v>
      </c>
      <c r="J90">
        <v>55.9</v>
      </c>
      <c r="K90">
        <v>9</v>
      </c>
      <c r="O90" s="2" t="s">
        <v>43</v>
      </c>
      <c r="P90" s="4">
        <v>0.68339008022991854</v>
      </c>
      <c r="Q90" s="4">
        <v>0.66746277191546655</v>
      </c>
      <c r="R90" s="4">
        <v>0.62523626101872942</v>
      </c>
      <c r="S90" s="4"/>
      <c r="T90" s="4"/>
      <c r="U90" s="4">
        <v>0.66347469636527956</v>
      </c>
      <c r="V90" s="4">
        <v>0.6313487983989805</v>
      </c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"/>
      <c r="CS90" s="4"/>
      <c r="CT90" s="4"/>
      <c r="CU90" s="4"/>
      <c r="CV90" s="4"/>
      <c r="CW90" s="4"/>
      <c r="CX90" s="4"/>
      <c r="CY90" s="4"/>
      <c r="CZ90" s="4"/>
      <c r="DA90" s="4"/>
      <c r="DB90" s="4"/>
      <c r="DC90" s="4"/>
      <c r="DD90" s="4"/>
      <c r="DE90" s="4"/>
      <c r="DF90" s="4"/>
      <c r="DG90" s="4"/>
      <c r="DH90" s="4"/>
      <c r="DI90" s="4"/>
      <c r="DJ90" s="4"/>
      <c r="DK90" s="4"/>
      <c r="DL90" s="4"/>
      <c r="DM90" s="4"/>
      <c r="DN90" s="4"/>
      <c r="DO90" s="4"/>
      <c r="DP90" s="4"/>
      <c r="DQ90" s="3">
        <v>3.2709126079283743</v>
      </c>
      <c r="DR90">
        <f t="shared" si="2"/>
        <v>5</v>
      </c>
      <c r="DS90" s="4">
        <f t="shared" si="3"/>
        <v>4.7619047619047616E-2</v>
      </c>
    </row>
    <row r="91" spans="1:123" x14ac:dyDescent="0.25">
      <c r="A91" t="s">
        <v>105</v>
      </c>
      <c r="B91" t="s">
        <v>106</v>
      </c>
      <c r="C91" t="s">
        <v>107</v>
      </c>
      <c r="D91" t="s">
        <v>32</v>
      </c>
      <c r="E91" t="s">
        <v>29</v>
      </c>
      <c r="F91">
        <v>0.66274066634936968</v>
      </c>
      <c r="G91">
        <v>0.77548133269873931</v>
      </c>
      <c r="H91">
        <v>0.55000000000000004</v>
      </c>
      <c r="I91">
        <v>30257698000</v>
      </c>
      <c r="J91">
        <v>20.8</v>
      </c>
      <c r="K91">
        <v>10</v>
      </c>
      <c r="O91" s="2" t="s">
        <v>439</v>
      </c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>
        <v>0.58161764457187981</v>
      </c>
      <c r="CO91" s="4"/>
      <c r="CP91" s="4"/>
      <c r="CQ91" s="4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4"/>
      <c r="DP91" s="4"/>
      <c r="DQ91" s="3">
        <v>0.58161764457187981</v>
      </c>
      <c r="DR91">
        <f t="shared" si="2"/>
        <v>1</v>
      </c>
      <c r="DS91" s="4">
        <f t="shared" si="3"/>
        <v>9.5238095238095247E-3</v>
      </c>
    </row>
    <row r="92" spans="1:123" x14ac:dyDescent="0.25">
      <c r="A92" t="s">
        <v>105</v>
      </c>
      <c r="B92" t="s">
        <v>66</v>
      </c>
      <c r="C92" t="s">
        <v>67</v>
      </c>
      <c r="D92" t="s">
        <v>14</v>
      </c>
      <c r="E92" t="s">
        <v>39</v>
      </c>
      <c r="F92">
        <v>0.65496957739016193</v>
      </c>
      <c r="G92">
        <v>0.70993915478032388</v>
      </c>
      <c r="H92">
        <v>0.6</v>
      </c>
      <c r="I92">
        <v>42900365000</v>
      </c>
      <c r="J92">
        <v>7.6</v>
      </c>
      <c r="K92">
        <v>11</v>
      </c>
      <c r="O92" s="2" t="s">
        <v>405</v>
      </c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>
        <v>0.60014348644970317</v>
      </c>
      <c r="CE92" s="4">
        <v>0.61474307058661004</v>
      </c>
      <c r="CF92" s="4"/>
      <c r="CG92" s="4">
        <v>0.61258207182673952</v>
      </c>
      <c r="CH92" s="4"/>
      <c r="CI92" s="4"/>
      <c r="CJ92" s="4"/>
      <c r="CK92" s="4"/>
      <c r="CL92" s="4"/>
      <c r="CM92" s="4"/>
      <c r="CN92" s="4"/>
      <c r="CO92" s="4"/>
      <c r="CP92" s="4"/>
      <c r="CQ92" s="4"/>
      <c r="CR92" s="4"/>
      <c r="CS92" s="4"/>
      <c r="CT92" s="4"/>
      <c r="CU92" s="4"/>
      <c r="CV92" s="4"/>
      <c r="CW92" s="4"/>
      <c r="CX92" s="4"/>
      <c r="CY92" s="4"/>
      <c r="CZ92" s="4"/>
      <c r="DA92" s="4"/>
      <c r="DB92" s="4"/>
      <c r="DC92" s="4"/>
      <c r="DD92" s="4"/>
      <c r="DE92" s="4"/>
      <c r="DF92" s="4"/>
      <c r="DG92" s="4"/>
      <c r="DH92" s="4"/>
      <c r="DI92" s="4"/>
      <c r="DJ92" s="4"/>
      <c r="DK92" s="4"/>
      <c r="DL92" s="4"/>
      <c r="DM92" s="4"/>
      <c r="DN92" s="4"/>
      <c r="DO92" s="4"/>
      <c r="DP92" s="4"/>
      <c r="DQ92" s="3">
        <v>1.8274686288630528</v>
      </c>
      <c r="DR92">
        <f t="shared" si="2"/>
        <v>3</v>
      </c>
      <c r="DS92" s="4">
        <f t="shared" si="3"/>
        <v>2.8571428571428571E-2</v>
      </c>
    </row>
    <row r="93" spans="1:123" x14ac:dyDescent="0.25">
      <c r="A93" t="s">
        <v>105</v>
      </c>
      <c r="B93" t="s">
        <v>27</v>
      </c>
      <c r="C93" t="s">
        <v>28</v>
      </c>
      <c r="D93" t="s">
        <v>14</v>
      </c>
      <c r="E93" t="s">
        <v>29</v>
      </c>
      <c r="F93">
        <v>0.6502786664091954</v>
      </c>
      <c r="G93">
        <v>0.60055733281839085</v>
      </c>
      <c r="H93">
        <v>0.7</v>
      </c>
      <c r="I93">
        <v>3896977000</v>
      </c>
      <c r="J93">
        <v>11.9</v>
      </c>
      <c r="K93">
        <v>12</v>
      </c>
      <c r="O93" s="2" t="s">
        <v>301</v>
      </c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>
        <v>0.54780001343643181</v>
      </c>
      <c r="BB93" s="4"/>
      <c r="BC93" s="4"/>
      <c r="BD93" s="4">
        <v>0.56845172514173725</v>
      </c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>
        <v>0.61869606946551814</v>
      </c>
      <c r="BU93" s="4">
        <v>0.59601022430166728</v>
      </c>
      <c r="BV93" s="4"/>
      <c r="BW93" s="4">
        <v>0.5940336555130955</v>
      </c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>
        <v>0.62868850119861786</v>
      </c>
      <c r="CJ93" s="4"/>
      <c r="CK93" s="4">
        <v>0.624033375890235</v>
      </c>
      <c r="CL93" s="4">
        <v>0.61293900380074973</v>
      </c>
      <c r="CM93" s="4">
        <v>0.59883455057426294</v>
      </c>
      <c r="CN93" s="4"/>
      <c r="CO93" s="4"/>
      <c r="CP93" s="4"/>
      <c r="CQ93" s="4">
        <v>0.55401099241610718</v>
      </c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>
        <v>0.68087252275899413</v>
      </c>
      <c r="DF93" s="4"/>
      <c r="DG93" s="4">
        <v>0.67039288550122422</v>
      </c>
      <c r="DH93" s="4">
        <v>0.66139945065843797</v>
      </c>
      <c r="DI93" s="4">
        <v>0.74578956333541735</v>
      </c>
      <c r="DJ93" s="4">
        <v>0.68017639813510711</v>
      </c>
      <c r="DK93" s="4">
        <v>0.66737756166274653</v>
      </c>
      <c r="DL93" s="4">
        <v>0.75987634839460849</v>
      </c>
      <c r="DM93" s="4"/>
      <c r="DN93" s="4"/>
      <c r="DO93" s="4">
        <v>0.66186086828357094</v>
      </c>
      <c r="DP93" s="4"/>
      <c r="DQ93" s="3">
        <v>11.47124371046853</v>
      </c>
      <c r="DR93">
        <f t="shared" si="2"/>
        <v>18</v>
      </c>
      <c r="DS93" s="4">
        <f t="shared" si="3"/>
        <v>0.17142857142857143</v>
      </c>
    </row>
    <row r="94" spans="1:123" x14ac:dyDescent="0.25">
      <c r="A94" t="s">
        <v>105</v>
      </c>
      <c r="B94" t="s">
        <v>108</v>
      </c>
      <c r="C94" t="s">
        <v>109</v>
      </c>
      <c r="D94" t="s">
        <v>32</v>
      </c>
      <c r="E94" t="s">
        <v>33</v>
      </c>
      <c r="F94">
        <v>0.64860844611755053</v>
      </c>
      <c r="G94">
        <v>0.84721689223510099</v>
      </c>
      <c r="H94">
        <v>0.45</v>
      </c>
      <c r="I94">
        <v>73115612000</v>
      </c>
      <c r="J94">
        <v>17.75</v>
      </c>
      <c r="K94">
        <v>13</v>
      </c>
      <c r="O94" s="2" t="s">
        <v>16</v>
      </c>
      <c r="P94" s="4">
        <v>0.84795222600404729</v>
      </c>
      <c r="Q94" s="4">
        <v>0.8112272836570058</v>
      </c>
      <c r="R94" s="4">
        <v>0.76955126299789844</v>
      </c>
      <c r="S94" s="4">
        <v>0.6340722747616262</v>
      </c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>
        <v>0.6088853044095166</v>
      </c>
      <c r="AM94" s="4">
        <v>0.78801668487986865</v>
      </c>
      <c r="AN94" s="4">
        <v>0.81140327980449611</v>
      </c>
      <c r="AO94" s="4">
        <v>0.65402117595854925</v>
      </c>
      <c r="AP94" s="4">
        <v>0.51139236665372989</v>
      </c>
      <c r="AQ94" s="4">
        <v>0.6295219141990932</v>
      </c>
      <c r="AR94" s="4">
        <v>0.6734890572168627</v>
      </c>
      <c r="AS94" s="4">
        <v>0.63300077197947957</v>
      </c>
      <c r="AT94" s="4">
        <v>0.71180009466110417</v>
      </c>
      <c r="AU94" s="4">
        <v>0.63858830303467906</v>
      </c>
      <c r="AV94" s="4">
        <v>0.63894996804201076</v>
      </c>
      <c r="AW94" s="4">
        <v>0.71873773457990686</v>
      </c>
      <c r="AX94" s="4">
        <v>0.69722514836809668</v>
      </c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  <c r="CO94" s="4"/>
      <c r="CP94" s="4"/>
      <c r="CQ94" s="4"/>
      <c r="CR94" s="4"/>
      <c r="CS94" s="4"/>
      <c r="CT94" s="4"/>
      <c r="CU94" s="4"/>
      <c r="CV94" s="4"/>
      <c r="CW94" s="4"/>
      <c r="CX94" s="4"/>
      <c r="CY94" s="4"/>
      <c r="CZ94" s="4"/>
      <c r="DA94" s="4"/>
      <c r="DB94" s="4"/>
      <c r="DC94" s="4"/>
      <c r="DD94" s="4"/>
      <c r="DE94" s="4"/>
      <c r="DF94" s="4"/>
      <c r="DG94" s="4"/>
      <c r="DH94" s="4"/>
      <c r="DI94" s="4"/>
      <c r="DJ94" s="4"/>
      <c r="DK94" s="4"/>
      <c r="DL94" s="4"/>
      <c r="DM94" s="4"/>
      <c r="DN94" s="4"/>
      <c r="DO94" s="4"/>
      <c r="DP94" s="4"/>
      <c r="DQ94" s="3">
        <v>11.77783485120797</v>
      </c>
      <c r="DR94">
        <f t="shared" si="2"/>
        <v>17</v>
      </c>
      <c r="DS94" s="4">
        <f t="shared" si="3"/>
        <v>0.16190476190476191</v>
      </c>
    </row>
    <row r="95" spans="1:123" x14ac:dyDescent="0.25">
      <c r="A95" t="s">
        <v>105</v>
      </c>
      <c r="B95" t="s">
        <v>79</v>
      </c>
      <c r="C95" t="s">
        <v>80</v>
      </c>
      <c r="D95" t="s">
        <v>32</v>
      </c>
      <c r="E95" t="s">
        <v>59</v>
      </c>
      <c r="F95">
        <v>0.64591578767694058</v>
      </c>
      <c r="G95">
        <v>0.89183157535388102</v>
      </c>
      <c r="H95">
        <v>0.4</v>
      </c>
      <c r="I95">
        <v>16998102800</v>
      </c>
      <c r="J95">
        <v>82.6</v>
      </c>
      <c r="K95">
        <v>14</v>
      </c>
      <c r="O95" s="2" t="s">
        <v>77</v>
      </c>
      <c r="P95" s="4"/>
      <c r="Q95" s="4">
        <v>0.61632785390484179</v>
      </c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  <c r="CO95" s="4"/>
      <c r="CP95" s="4"/>
      <c r="CQ95" s="4"/>
      <c r="CR95" s="4"/>
      <c r="CS95" s="4"/>
      <c r="CT95" s="4"/>
      <c r="CU95" s="4"/>
      <c r="CV95" s="4"/>
      <c r="CW95" s="4"/>
      <c r="CX95" s="4"/>
      <c r="CY95" s="4"/>
      <c r="CZ95" s="4"/>
      <c r="DA95" s="4"/>
      <c r="DB95" s="4"/>
      <c r="DC95" s="4"/>
      <c r="DD95" s="4"/>
      <c r="DE95" s="4"/>
      <c r="DF95" s="4"/>
      <c r="DG95" s="4"/>
      <c r="DH95" s="4"/>
      <c r="DI95" s="4"/>
      <c r="DJ95" s="4"/>
      <c r="DK95" s="4"/>
      <c r="DL95" s="4"/>
      <c r="DM95" s="4"/>
      <c r="DN95" s="4"/>
      <c r="DO95" s="4"/>
      <c r="DP95" s="4"/>
      <c r="DQ95" s="3">
        <v>0.61632785390484179</v>
      </c>
      <c r="DR95">
        <f t="shared" si="2"/>
        <v>1</v>
      </c>
      <c r="DS95" s="4">
        <f t="shared" si="3"/>
        <v>9.5238095238095247E-3</v>
      </c>
    </row>
    <row r="96" spans="1:123" x14ac:dyDescent="0.25">
      <c r="A96" t="s">
        <v>105</v>
      </c>
      <c r="B96" t="s">
        <v>47</v>
      </c>
      <c r="C96" t="s">
        <v>48</v>
      </c>
      <c r="D96" t="s">
        <v>14</v>
      </c>
      <c r="E96" t="s">
        <v>29</v>
      </c>
      <c r="F96">
        <v>0.64338469464109438</v>
      </c>
      <c r="G96">
        <v>0.88676938928218885</v>
      </c>
      <c r="H96">
        <v>0.4</v>
      </c>
      <c r="I96">
        <v>8405892200</v>
      </c>
      <c r="J96">
        <v>9.1999999999999993</v>
      </c>
      <c r="K96">
        <v>15</v>
      </c>
      <c r="O96" s="2" t="s">
        <v>329</v>
      </c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>
        <v>0.56893427877162228</v>
      </c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>
        <v>0.62111087003224119</v>
      </c>
      <c r="BZ96" s="4">
        <v>0.63314899403834346</v>
      </c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  <c r="CO96" s="4"/>
      <c r="CP96" s="4"/>
      <c r="CQ96" s="4"/>
      <c r="CR96" s="4"/>
      <c r="CS96" s="4"/>
      <c r="CT96" s="4"/>
      <c r="CU96" s="4"/>
      <c r="CV96" s="4"/>
      <c r="CW96" s="4"/>
      <c r="CX96" s="4"/>
      <c r="CY96" s="4"/>
      <c r="CZ96" s="4"/>
      <c r="DA96" s="4"/>
      <c r="DB96" s="4"/>
      <c r="DC96" s="4"/>
      <c r="DD96" s="4"/>
      <c r="DE96" s="4"/>
      <c r="DF96" s="4"/>
      <c r="DG96" s="4">
        <v>0.72704590925749857</v>
      </c>
      <c r="DH96" s="4">
        <v>0.66520559576030314</v>
      </c>
      <c r="DI96" s="4"/>
      <c r="DJ96" s="4"/>
      <c r="DK96" s="4"/>
      <c r="DL96" s="4"/>
      <c r="DM96" s="4">
        <v>0.72337608400448938</v>
      </c>
      <c r="DN96" s="4"/>
      <c r="DO96" s="4"/>
      <c r="DP96" s="4"/>
      <c r="DQ96" s="3">
        <v>3.9388217318644978</v>
      </c>
      <c r="DR96">
        <f t="shared" si="2"/>
        <v>6</v>
      </c>
      <c r="DS96" s="4">
        <f t="shared" si="3"/>
        <v>5.7142857142857141E-2</v>
      </c>
    </row>
    <row r="97" spans="1:123" x14ac:dyDescent="0.25">
      <c r="A97" t="s">
        <v>105</v>
      </c>
      <c r="B97" t="s">
        <v>84</v>
      </c>
      <c r="C97" t="s">
        <v>85</v>
      </c>
      <c r="D97" t="s">
        <v>14</v>
      </c>
      <c r="E97" t="s">
        <v>42</v>
      </c>
      <c r="F97">
        <v>0.64235618906039593</v>
      </c>
      <c r="G97">
        <v>0.78471237812079198</v>
      </c>
      <c r="H97">
        <v>0.5</v>
      </c>
      <c r="I97">
        <v>7658076400</v>
      </c>
      <c r="J97">
        <v>137.5</v>
      </c>
      <c r="K97">
        <v>16</v>
      </c>
      <c r="O97" s="2" t="s">
        <v>360</v>
      </c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>
        <v>0.57008691433413505</v>
      </c>
      <c r="BU97" s="4"/>
      <c r="BV97" s="4"/>
      <c r="BW97" s="4"/>
      <c r="BX97" s="4"/>
      <c r="BY97" s="4"/>
      <c r="BZ97" s="4"/>
      <c r="CA97" s="4"/>
      <c r="CB97" s="4"/>
      <c r="CC97" s="4"/>
      <c r="CD97" s="4">
        <v>0.59605855646756956</v>
      </c>
      <c r="CE97" s="4"/>
      <c r="CF97" s="4"/>
      <c r="CG97" s="4">
        <v>0.62235364149037875</v>
      </c>
      <c r="CH97" s="4">
        <v>0.6672037627203794</v>
      </c>
      <c r="CI97" s="4">
        <v>0.68553549757834509</v>
      </c>
      <c r="CJ97" s="4">
        <v>0.62956092920643991</v>
      </c>
      <c r="CK97" s="4"/>
      <c r="CL97" s="4">
        <v>0.66718109152590399</v>
      </c>
      <c r="CM97" s="4">
        <v>0.65841315259471089</v>
      </c>
      <c r="CN97" s="4"/>
      <c r="CO97" s="4"/>
      <c r="CP97" s="4"/>
      <c r="CQ97" s="4"/>
      <c r="CR97" s="4"/>
      <c r="CS97" s="4"/>
      <c r="CT97" s="4"/>
      <c r="CU97" s="4"/>
      <c r="CV97" s="4"/>
      <c r="CW97" s="4"/>
      <c r="CX97" s="4"/>
      <c r="CY97" s="4"/>
      <c r="CZ97" s="4"/>
      <c r="DA97" s="4"/>
      <c r="DB97" s="4"/>
      <c r="DC97" s="4"/>
      <c r="DD97" s="4"/>
      <c r="DE97" s="4"/>
      <c r="DF97" s="4"/>
      <c r="DG97" s="4"/>
      <c r="DH97" s="4"/>
      <c r="DI97" s="4"/>
      <c r="DJ97" s="4"/>
      <c r="DK97" s="4"/>
      <c r="DL97" s="4"/>
      <c r="DM97" s="4"/>
      <c r="DN97" s="4"/>
      <c r="DO97" s="4"/>
      <c r="DP97" s="4"/>
      <c r="DQ97" s="3">
        <v>5.096393545917862</v>
      </c>
      <c r="DR97">
        <f t="shared" si="2"/>
        <v>8</v>
      </c>
      <c r="DS97" s="4">
        <f t="shared" si="3"/>
        <v>7.6190476190476197E-2</v>
      </c>
    </row>
    <row r="98" spans="1:123" x14ac:dyDescent="0.25">
      <c r="A98" t="s">
        <v>105</v>
      </c>
      <c r="B98" t="s">
        <v>110</v>
      </c>
      <c r="C98" t="s">
        <v>111</v>
      </c>
      <c r="D98" t="s">
        <v>32</v>
      </c>
      <c r="E98" t="s">
        <v>112</v>
      </c>
      <c r="F98">
        <v>0.64149084932567546</v>
      </c>
      <c r="G98">
        <v>0.98298169865135088</v>
      </c>
      <c r="H98">
        <v>0.3</v>
      </c>
      <c r="I98">
        <v>3432328640</v>
      </c>
      <c r="J98">
        <v>5.33</v>
      </c>
      <c r="K98">
        <v>17</v>
      </c>
      <c r="O98" s="2" t="s">
        <v>94</v>
      </c>
      <c r="P98" s="4"/>
      <c r="Q98" s="4"/>
      <c r="R98" s="4">
        <v>0.61254151374736554</v>
      </c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>
        <v>0.62014339541628216</v>
      </c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>
        <v>0.60229072924816829</v>
      </c>
      <c r="BW98" s="4">
        <v>0.61249880066193541</v>
      </c>
      <c r="BX98" s="4"/>
      <c r="BY98" s="4"/>
      <c r="BZ98" s="4"/>
      <c r="CA98" s="4">
        <v>0.74944458314087226</v>
      </c>
      <c r="CB98" s="4">
        <v>0.68658134931934156</v>
      </c>
      <c r="CC98" s="4"/>
      <c r="CD98" s="4"/>
      <c r="CE98" s="4"/>
      <c r="CF98" s="4"/>
      <c r="CG98" s="4"/>
      <c r="CH98" s="4"/>
      <c r="CI98" s="4"/>
      <c r="CJ98" s="4"/>
      <c r="CK98" s="4"/>
      <c r="CL98" s="4">
        <v>0.71333941736934026</v>
      </c>
      <c r="CM98" s="4">
        <v>0.70252520359804771</v>
      </c>
      <c r="CN98" s="4">
        <v>0.67230584120075954</v>
      </c>
      <c r="CO98" s="4">
        <v>0.57998601867526478</v>
      </c>
      <c r="CP98" s="4"/>
      <c r="CQ98" s="4">
        <v>0.7108907416842194</v>
      </c>
      <c r="CR98" s="4">
        <v>0.86655206096881443</v>
      </c>
      <c r="CS98" s="4">
        <v>0.94467734136083747</v>
      </c>
      <c r="CT98" s="4">
        <v>0.81745529645521087</v>
      </c>
      <c r="CU98" s="4">
        <v>0.6930680567855888</v>
      </c>
      <c r="CV98" s="4">
        <v>0.72056592844459855</v>
      </c>
      <c r="CW98" s="4">
        <v>0.72146375287337228</v>
      </c>
      <c r="CX98" s="4"/>
      <c r="CY98" s="4">
        <v>0.59665357453785761</v>
      </c>
      <c r="CZ98" s="4"/>
      <c r="DA98" s="4"/>
      <c r="DB98" s="4"/>
      <c r="DC98" s="4"/>
      <c r="DD98" s="4"/>
      <c r="DE98" s="4"/>
      <c r="DF98" s="4"/>
      <c r="DG98" s="4"/>
      <c r="DH98" s="4"/>
      <c r="DI98" s="4"/>
      <c r="DJ98" s="4"/>
      <c r="DK98" s="4"/>
      <c r="DL98" s="4"/>
      <c r="DM98" s="4"/>
      <c r="DN98" s="4"/>
      <c r="DO98" s="4"/>
      <c r="DP98" s="4"/>
      <c r="DQ98" s="3">
        <v>12.622983605487875</v>
      </c>
      <c r="DR98">
        <f t="shared" si="2"/>
        <v>18</v>
      </c>
      <c r="DS98" s="4">
        <f t="shared" si="3"/>
        <v>0.17142857142857143</v>
      </c>
    </row>
    <row r="99" spans="1:123" x14ac:dyDescent="0.25">
      <c r="A99" t="s">
        <v>105</v>
      </c>
      <c r="B99" t="s">
        <v>88</v>
      </c>
      <c r="C99" t="s">
        <v>89</v>
      </c>
      <c r="D99" t="s">
        <v>32</v>
      </c>
      <c r="E99" t="s">
        <v>33</v>
      </c>
      <c r="F99">
        <v>0.63179473916693218</v>
      </c>
      <c r="G99">
        <v>0.71358947833386432</v>
      </c>
      <c r="H99">
        <v>0.55000000000000004</v>
      </c>
      <c r="I99">
        <v>11548686840</v>
      </c>
      <c r="J99">
        <v>8.35</v>
      </c>
      <c r="K99">
        <v>18</v>
      </c>
      <c r="O99" s="2" t="s">
        <v>453</v>
      </c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  <c r="CO99" s="4"/>
      <c r="CP99" s="4">
        <v>0.63660349088662316</v>
      </c>
      <c r="CQ99" s="4"/>
      <c r="CR99" s="4"/>
      <c r="CS99" s="4"/>
      <c r="CT99" s="4">
        <v>0.62205223330169679</v>
      </c>
      <c r="CU99" s="4">
        <v>0.57039834528142797</v>
      </c>
      <c r="CV99" s="4"/>
      <c r="CW99" s="4"/>
      <c r="CX99" s="4"/>
      <c r="CY99" s="4">
        <v>0.71820146966879272</v>
      </c>
      <c r="CZ99" s="4"/>
      <c r="DA99" s="4"/>
      <c r="DB99" s="4"/>
      <c r="DC99" s="4"/>
      <c r="DD99" s="4"/>
      <c r="DE99" s="4"/>
      <c r="DF99" s="4"/>
      <c r="DG99" s="4"/>
      <c r="DH99" s="4"/>
      <c r="DI99" s="4"/>
      <c r="DJ99" s="4">
        <v>0.67360146414103506</v>
      </c>
      <c r="DK99" s="4"/>
      <c r="DL99" s="4"/>
      <c r="DM99" s="4"/>
      <c r="DN99" s="4"/>
      <c r="DO99" s="4"/>
      <c r="DP99" s="4"/>
      <c r="DQ99" s="3">
        <v>3.2208570032795758</v>
      </c>
      <c r="DR99">
        <f t="shared" si="2"/>
        <v>5</v>
      </c>
      <c r="DS99" s="4">
        <f t="shared" si="3"/>
        <v>4.7619047619047616E-2</v>
      </c>
    </row>
    <row r="100" spans="1:123" x14ac:dyDescent="0.25">
      <c r="A100" t="s">
        <v>105</v>
      </c>
      <c r="B100" t="s">
        <v>113</v>
      </c>
      <c r="C100" t="s">
        <v>114</v>
      </c>
      <c r="D100" t="s">
        <v>32</v>
      </c>
      <c r="E100" t="s">
        <v>74</v>
      </c>
      <c r="F100">
        <v>0.62994840184871836</v>
      </c>
      <c r="G100">
        <v>0.45989680369743657</v>
      </c>
      <c r="H100">
        <v>0.8</v>
      </c>
      <c r="I100">
        <v>107307892400</v>
      </c>
      <c r="J100">
        <v>35.4</v>
      </c>
      <c r="K100">
        <v>19</v>
      </c>
      <c r="O100" s="2" t="s">
        <v>486</v>
      </c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  <c r="CO100" s="4"/>
      <c r="CP100" s="4"/>
      <c r="CQ100" s="4"/>
      <c r="CR100" s="4"/>
      <c r="CS100" s="4"/>
      <c r="CT100" s="4"/>
      <c r="CU100" s="4"/>
      <c r="CV100" s="4"/>
      <c r="CW100" s="4"/>
      <c r="CX100" s="4">
        <v>0.60770815174573622</v>
      </c>
      <c r="CY100" s="4"/>
      <c r="CZ100" s="4">
        <v>0.62126736723028786</v>
      </c>
      <c r="DA100" s="4"/>
      <c r="DB100" s="4"/>
      <c r="DC100" s="4"/>
      <c r="DD100" s="4"/>
      <c r="DE100" s="4"/>
      <c r="DF100" s="4"/>
      <c r="DG100" s="4">
        <v>0.6576703964394125</v>
      </c>
      <c r="DH100" s="4">
        <v>0.70034430432375239</v>
      </c>
      <c r="DI100" s="4">
        <v>0.80480086065139367</v>
      </c>
      <c r="DJ100" s="4">
        <v>0.73902020006388613</v>
      </c>
      <c r="DK100" s="4"/>
      <c r="DL100" s="4">
        <v>0.71561522817872347</v>
      </c>
      <c r="DM100" s="4">
        <v>0.71162618018095603</v>
      </c>
      <c r="DN100" s="4">
        <v>0.73307413302841584</v>
      </c>
      <c r="DO100" s="4"/>
      <c r="DP100" s="4"/>
      <c r="DQ100" s="3">
        <v>6.2911268218425649</v>
      </c>
      <c r="DR100">
        <f t="shared" si="2"/>
        <v>9</v>
      </c>
      <c r="DS100" s="4">
        <f t="shared" si="3"/>
        <v>8.5714285714285715E-2</v>
      </c>
    </row>
    <row r="101" spans="1:123" x14ac:dyDescent="0.25">
      <c r="A101" t="s">
        <v>105</v>
      </c>
      <c r="B101" t="s">
        <v>115</v>
      </c>
      <c r="C101" t="s">
        <v>116</v>
      </c>
      <c r="D101" t="s">
        <v>32</v>
      </c>
      <c r="E101" t="s">
        <v>42</v>
      </c>
      <c r="F101">
        <v>0.62068420534880331</v>
      </c>
      <c r="G101">
        <v>0.74136841069760673</v>
      </c>
      <c r="H101">
        <v>0.5</v>
      </c>
      <c r="I101">
        <v>2854442900</v>
      </c>
      <c r="J101">
        <v>12.65</v>
      </c>
      <c r="K101">
        <v>20</v>
      </c>
      <c r="O101" s="2" t="s">
        <v>113</v>
      </c>
      <c r="P101" s="4"/>
      <c r="Q101" s="4"/>
      <c r="R101" s="4"/>
      <c r="S101" s="4"/>
      <c r="T101" s="4">
        <v>0.62994840184871836</v>
      </c>
      <c r="U101" s="4"/>
      <c r="V101" s="4"/>
      <c r="W101" s="4"/>
      <c r="X101" s="4"/>
      <c r="Y101" s="4"/>
      <c r="Z101" s="4"/>
      <c r="AA101" s="4"/>
      <c r="AB101" s="4">
        <v>0.57658937798558041</v>
      </c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>
        <v>0.58306272792263569</v>
      </c>
      <c r="BN101" s="4">
        <v>0.62736114672501564</v>
      </c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  <c r="CO101" s="4"/>
      <c r="CP101" s="4"/>
      <c r="CQ101" s="4"/>
      <c r="CR101" s="4"/>
      <c r="CS101" s="4"/>
      <c r="CT101" s="4"/>
      <c r="CU101" s="4"/>
      <c r="CV101" s="4"/>
      <c r="CW101" s="4"/>
      <c r="CX101" s="4"/>
      <c r="CY101" s="4"/>
      <c r="CZ101" s="4"/>
      <c r="DA101" s="4"/>
      <c r="DB101" s="4"/>
      <c r="DC101" s="4"/>
      <c r="DD101" s="4"/>
      <c r="DE101" s="4"/>
      <c r="DF101" s="4"/>
      <c r="DG101" s="4"/>
      <c r="DH101" s="4"/>
      <c r="DI101" s="4"/>
      <c r="DJ101" s="4"/>
      <c r="DK101" s="4"/>
      <c r="DL101" s="4"/>
      <c r="DM101" s="4"/>
      <c r="DN101" s="4"/>
      <c r="DO101" s="4"/>
      <c r="DP101" s="4"/>
      <c r="DQ101" s="3">
        <v>2.4169616544819501</v>
      </c>
      <c r="DR101">
        <f t="shared" si="2"/>
        <v>4</v>
      </c>
      <c r="DS101" s="4">
        <f t="shared" si="3"/>
        <v>3.8095238095238099E-2</v>
      </c>
    </row>
    <row r="102" spans="1:123" x14ac:dyDescent="0.25">
      <c r="A102" t="s">
        <v>117</v>
      </c>
      <c r="B102" t="s">
        <v>45</v>
      </c>
      <c r="C102" t="s">
        <v>46</v>
      </c>
      <c r="D102" t="s">
        <v>14</v>
      </c>
      <c r="E102" t="s">
        <v>15</v>
      </c>
      <c r="F102">
        <v>0.76934656372779353</v>
      </c>
      <c r="G102">
        <v>0.93869312745558708</v>
      </c>
      <c r="H102">
        <v>0.6</v>
      </c>
      <c r="I102">
        <v>3362348800</v>
      </c>
      <c r="J102">
        <v>25.3</v>
      </c>
      <c r="K102">
        <v>1</v>
      </c>
      <c r="O102" s="2" t="s">
        <v>498</v>
      </c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  <c r="CO102" s="4"/>
      <c r="CP102" s="4"/>
      <c r="CQ102" s="4"/>
      <c r="CR102" s="4"/>
      <c r="CS102" s="4"/>
      <c r="CT102" s="4"/>
      <c r="CU102" s="4"/>
      <c r="CV102" s="4"/>
      <c r="CW102" s="4"/>
      <c r="CX102" s="4"/>
      <c r="CY102" s="4"/>
      <c r="CZ102" s="4"/>
      <c r="DA102" s="4"/>
      <c r="DB102" s="4">
        <v>0.6446335713130138</v>
      </c>
      <c r="DC102" s="4"/>
      <c r="DD102" s="4"/>
      <c r="DE102" s="4"/>
      <c r="DF102" s="4"/>
      <c r="DG102" s="4"/>
      <c r="DH102" s="4">
        <v>0.72862380435668639</v>
      </c>
      <c r="DI102" s="4"/>
      <c r="DJ102" s="4"/>
      <c r="DK102" s="4">
        <v>0.64519811870704924</v>
      </c>
      <c r="DL102" s="4"/>
      <c r="DM102" s="4"/>
      <c r="DN102" s="4"/>
      <c r="DO102" s="4"/>
      <c r="DP102" s="4"/>
      <c r="DQ102" s="3">
        <v>2.0184554943767496</v>
      </c>
      <c r="DR102">
        <f t="shared" si="2"/>
        <v>3</v>
      </c>
      <c r="DS102" s="4">
        <f t="shared" si="3"/>
        <v>2.8571428571428571E-2</v>
      </c>
    </row>
    <row r="103" spans="1:123" x14ac:dyDescent="0.25">
      <c r="A103" t="s">
        <v>117</v>
      </c>
      <c r="B103" t="s">
        <v>82</v>
      </c>
      <c r="C103" t="s">
        <v>83</v>
      </c>
      <c r="D103" t="s">
        <v>32</v>
      </c>
      <c r="E103" t="s">
        <v>39</v>
      </c>
      <c r="F103">
        <v>0.76061700659068054</v>
      </c>
      <c r="G103">
        <v>0.87123401318136118</v>
      </c>
      <c r="H103">
        <v>0.65</v>
      </c>
      <c r="I103">
        <v>28897527100</v>
      </c>
      <c r="J103">
        <v>15</v>
      </c>
      <c r="K103">
        <v>2</v>
      </c>
      <c r="O103" s="2" t="s">
        <v>522</v>
      </c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  <c r="CO103" s="4"/>
      <c r="CP103" s="4"/>
      <c r="CQ103" s="4"/>
      <c r="CR103" s="4"/>
      <c r="CS103" s="4"/>
      <c r="CT103" s="4"/>
      <c r="CU103" s="4"/>
      <c r="CV103" s="4"/>
      <c r="CW103" s="4"/>
      <c r="CX103" s="4"/>
      <c r="CY103" s="4"/>
      <c r="CZ103" s="4"/>
      <c r="DA103" s="4"/>
      <c r="DB103" s="4"/>
      <c r="DC103" s="4"/>
      <c r="DD103" s="4"/>
      <c r="DE103" s="4"/>
      <c r="DF103" s="4"/>
      <c r="DG103" s="4"/>
      <c r="DH103" s="4"/>
      <c r="DI103" s="4"/>
      <c r="DJ103" s="4"/>
      <c r="DK103" s="4"/>
      <c r="DL103" s="4">
        <v>0.7345356864282101</v>
      </c>
      <c r="DM103" s="4">
        <v>0.73055488268640878</v>
      </c>
      <c r="DN103" s="4"/>
      <c r="DO103" s="4"/>
      <c r="DP103" s="4"/>
      <c r="DQ103" s="3">
        <v>1.465090569114619</v>
      </c>
      <c r="DR103">
        <f t="shared" si="2"/>
        <v>2</v>
      </c>
      <c r="DS103" s="4">
        <f t="shared" si="3"/>
        <v>1.9047619047619049E-2</v>
      </c>
    </row>
    <row r="104" spans="1:123" x14ac:dyDescent="0.25">
      <c r="A104" t="s">
        <v>117</v>
      </c>
      <c r="B104" t="s">
        <v>110</v>
      </c>
      <c r="C104" t="s">
        <v>111</v>
      </c>
      <c r="D104" t="s">
        <v>32</v>
      </c>
      <c r="E104" t="s">
        <v>112</v>
      </c>
      <c r="F104">
        <v>0.75536062595275166</v>
      </c>
      <c r="G104">
        <v>0.96072125190550339</v>
      </c>
      <c r="H104">
        <v>0.55000000000000004</v>
      </c>
      <c r="I104">
        <v>3504046800</v>
      </c>
      <c r="J104">
        <v>5.22</v>
      </c>
      <c r="K104">
        <v>3</v>
      </c>
      <c r="O104" s="2" t="s">
        <v>304</v>
      </c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>
        <v>0.6510230957094747</v>
      </c>
      <c r="BC104" s="4">
        <v>0.65190452476034744</v>
      </c>
      <c r="BD104" s="4">
        <v>0.67006199432854152</v>
      </c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  <c r="CO104" s="4"/>
      <c r="CP104" s="4"/>
      <c r="CQ104" s="4"/>
      <c r="CR104" s="4"/>
      <c r="CS104" s="4"/>
      <c r="CT104" s="4"/>
      <c r="CU104" s="4"/>
      <c r="CV104" s="4"/>
      <c r="CW104" s="4"/>
      <c r="CX104" s="4"/>
      <c r="CY104" s="4"/>
      <c r="CZ104" s="4"/>
      <c r="DA104" s="4"/>
      <c r="DB104" s="4"/>
      <c r="DC104" s="4"/>
      <c r="DD104" s="4"/>
      <c r="DE104" s="4"/>
      <c r="DF104" s="4"/>
      <c r="DG104" s="4"/>
      <c r="DH104" s="4"/>
      <c r="DI104" s="4"/>
      <c r="DJ104" s="4"/>
      <c r="DK104" s="4"/>
      <c r="DL104" s="4"/>
      <c r="DM104" s="4"/>
      <c r="DN104" s="4"/>
      <c r="DO104" s="4"/>
      <c r="DP104" s="4"/>
      <c r="DQ104" s="3">
        <v>1.9729896147983637</v>
      </c>
      <c r="DR104">
        <f t="shared" si="2"/>
        <v>3</v>
      </c>
      <c r="DS104" s="4">
        <f t="shared" si="3"/>
        <v>2.8571428571428571E-2</v>
      </c>
    </row>
    <row r="105" spans="1:123" x14ac:dyDescent="0.25">
      <c r="A105" t="s">
        <v>117</v>
      </c>
      <c r="B105" t="s">
        <v>24</v>
      </c>
      <c r="C105" t="s">
        <v>25</v>
      </c>
      <c r="D105" t="s">
        <v>18</v>
      </c>
      <c r="E105" t="s">
        <v>26</v>
      </c>
      <c r="F105">
        <v>0.73437424529926099</v>
      </c>
      <c r="G105">
        <v>0.86874849059852199</v>
      </c>
      <c r="H105">
        <v>0.6</v>
      </c>
      <c r="I105">
        <v>6097244400</v>
      </c>
      <c r="J105">
        <v>13.3</v>
      </c>
      <c r="K105">
        <v>4</v>
      </c>
      <c r="O105" s="2" t="s">
        <v>530</v>
      </c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  <c r="CO105" s="4"/>
      <c r="CP105" s="4"/>
      <c r="CQ105" s="4"/>
      <c r="CR105" s="4"/>
      <c r="CS105" s="4"/>
      <c r="CT105" s="4"/>
      <c r="CU105" s="4"/>
      <c r="CV105" s="4"/>
      <c r="CW105" s="4"/>
      <c r="CX105" s="4"/>
      <c r="CY105" s="4"/>
      <c r="CZ105" s="4"/>
      <c r="DA105" s="4"/>
      <c r="DB105" s="4"/>
      <c r="DC105" s="4"/>
      <c r="DD105" s="4"/>
      <c r="DE105" s="4"/>
      <c r="DF105" s="4"/>
      <c r="DG105" s="4"/>
      <c r="DH105" s="4"/>
      <c r="DI105" s="4"/>
      <c r="DJ105" s="4"/>
      <c r="DK105" s="4"/>
      <c r="DL105" s="4"/>
      <c r="DM105" s="4"/>
      <c r="DN105" s="4">
        <v>0.74026973951090391</v>
      </c>
      <c r="DO105" s="4"/>
      <c r="DP105" s="4">
        <v>0.69674653153735755</v>
      </c>
      <c r="DQ105" s="3">
        <v>1.4370162710482615</v>
      </c>
      <c r="DR105">
        <f t="shared" si="2"/>
        <v>2</v>
      </c>
      <c r="DS105" s="4">
        <f t="shared" si="3"/>
        <v>1.9047619047619049E-2</v>
      </c>
    </row>
    <row r="106" spans="1:123" x14ac:dyDescent="0.25">
      <c r="A106" t="s">
        <v>117</v>
      </c>
      <c r="B106" t="s">
        <v>30</v>
      </c>
      <c r="C106" t="s">
        <v>31</v>
      </c>
      <c r="D106" t="s">
        <v>32</v>
      </c>
      <c r="E106" t="s">
        <v>33</v>
      </c>
      <c r="F106">
        <v>0.73206998794578659</v>
      </c>
      <c r="G106">
        <v>0.86413997589157321</v>
      </c>
      <c r="H106">
        <v>0.6</v>
      </c>
      <c r="I106">
        <v>14579932100</v>
      </c>
      <c r="J106">
        <v>13.1</v>
      </c>
      <c r="K106">
        <v>5</v>
      </c>
      <c r="O106" s="2" t="s">
        <v>53</v>
      </c>
      <c r="P106" s="4">
        <v>0.66825746212551218</v>
      </c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  <c r="CO106" s="4"/>
      <c r="CP106" s="4"/>
      <c r="CQ106" s="4"/>
      <c r="CR106" s="4"/>
      <c r="CS106" s="4"/>
      <c r="CT106" s="4"/>
      <c r="CU106" s="4"/>
      <c r="CV106" s="4"/>
      <c r="CW106" s="4"/>
      <c r="CX106" s="4"/>
      <c r="CY106" s="4"/>
      <c r="CZ106" s="4"/>
      <c r="DA106" s="4"/>
      <c r="DB106" s="4"/>
      <c r="DC106" s="4"/>
      <c r="DD106" s="4"/>
      <c r="DE106" s="4"/>
      <c r="DF106" s="4"/>
      <c r="DG106" s="4"/>
      <c r="DH106" s="4"/>
      <c r="DI106" s="4"/>
      <c r="DJ106" s="4"/>
      <c r="DK106" s="4"/>
      <c r="DL106" s="4"/>
      <c r="DM106" s="4"/>
      <c r="DN106" s="4"/>
      <c r="DO106" s="4"/>
      <c r="DP106" s="4"/>
      <c r="DQ106" s="3">
        <v>0.66825746212551218</v>
      </c>
      <c r="DR106">
        <f t="shared" si="2"/>
        <v>1</v>
      </c>
      <c r="DS106" s="4">
        <f t="shared" si="3"/>
        <v>9.5238095238095247E-3</v>
      </c>
    </row>
    <row r="107" spans="1:123" x14ac:dyDescent="0.25">
      <c r="A107" t="s">
        <v>117</v>
      </c>
      <c r="B107" t="s">
        <v>84</v>
      </c>
      <c r="C107" t="s">
        <v>85</v>
      </c>
      <c r="D107" t="s">
        <v>14</v>
      </c>
      <c r="E107" t="s">
        <v>42</v>
      </c>
      <c r="F107">
        <v>0.70606664262090524</v>
      </c>
      <c r="G107">
        <v>0.76213328524181057</v>
      </c>
      <c r="H107">
        <v>0.65</v>
      </c>
      <c r="I107">
        <v>7674205800</v>
      </c>
      <c r="J107">
        <v>135.9</v>
      </c>
      <c r="K107">
        <v>6</v>
      </c>
      <c r="O107" s="2" t="s">
        <v>476</v>
      </c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  <c r="CO107" s="4"/>
      <c r="CP107" s="4"/>
      <c r="CQ107" s="4"/>
      <c r="CR107" s="4"/>
      <c r="CS107" s="4"/>
      <c r="CT107" s="4"/>
      <c r="CU107" s="4"/>
      <c r="CV107" s="4">
        <v>0.57937088639537593</v>
      </c>
      <c r="CW107" s="4">
        <v>0.57446791801250119</v>
      </c>
      <c r="CX107" s="4"/>
      <c r="CY107" s="4"/>
      <c r="CZ107" s="4"/>
      <c r="DA107" s="4"/>
      <c r="DB107" s="4"/>
      <c r="DC107" s="4"/>
      <c r="DD107" s="4"/>
      <c r="DE107" s="4"/>
      <c r="DF107" s="4"/>
      <c r="DG107" s="4"/>
      <c r="DH107" s="4"/>
      <c r="DI107" s="4"/>
      <c r="DJ107" s="4"/>
      <c r="DK107" s="4"/>
      <c r="DL107" s="4"/>
      <c r="DM107" s="4"/>
      <c r="DN107" s="4"/>
      <c r="DO107" s="4"/>
      <c r="DP107" s="4"/>
      <c r="DQ107" s="3">
        <v>1.1538388044078771</v>
      </c>
      <c r="DR107">
        <f t="shared" si="2"/>
        <v>2</v>
      </c>
      <c r="DS107" s="4">
        <f t="shared" si="3"/>
        <v>1.9047619047619049E-2</v>
      </c>
    </row>
    <row r="108" spans="1:123" x14ac:dyDescent="0.25">
      <c r="A108" t="s">
        <v>117</v>
      </c>
      <c r="B108" t="s">
        <v>47</v>
      </c>
      <c r="C108" t="s">
        <v>48</v>
      </c>
      <c r="D108" t="s">
        <v>14</v>
      </c>
      <c r="E108" t="s">
        <v>29</v>
      </c>
      <c r="F108">
        <v>0.68839094834203873</v>
      </c>
      <c r="G108">
        <v>0.82678189668407753</v>
      </c>
      <c r="H108">
        <v>0.55000000000000004</v>
      </c>
      <c r="I108">
        <v>8460728400</v>
      </c>
      <c r="J108">
        <v>9</v>
      </c>
      <c r="K108">
        <v>7</v>
      </c>
      <c r="O108" s="2" t="s">
        <v>465</v>
      </c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  <c r="CO108" s="4"/>
      <c r="CP108" s="4"/>
      <c r="CQ108" s="4"/>
      <c r="CR108" s="4">
        <v>0.57437365306809873</v>
      </c>
      <c r="CS108" s="4">
        <v>0.58662219403262816</v>
      </c>
      <c r="CT108" s="4">
        <v>0.63456894634628547</v>
      </c>
      <c r="CU108" s="4">
        <v>0.64575628300800569</v>
      </c>
      <c r="CV108" s="4"/>
      <c r="CW108" s="4">
        <v>0.5797253902724494</v>
      </c>
      <c r="CX108" s="4">
        <v>0.59280871837264326</v>
      </c>
      <c r="CY108" s="4"/>
      <c r="CZ108" s="4">
        <v>0.58711010489731863</v>
      </c>
      <c r="DA108" s="4">
        <v>0.65968692618583835</v>
      </c>
      <c r="DB108" s="4">
        <v>0.63163258961658653</v>
      </c>
      <c r="DC108" s="4"/>
      <c r="DD108" s="4"/>
      <c r="DE108" s="4"/>
      <c r="DF108" s="4"/>
      <c r="DG108" s="4"/>
      <c r="DH108" s="4"/>
      <c r="DI108" s="4"/>
      <c r="DJ108" s="4"/>
      <c r="DK108" s="4"/>
      <c r="DL108" s="4"/>
      <c r="DM108" s="4"/>
      <c r="DN108" s="4"/>
      <c r="DO108" s="4"/>
      <c r="DP108" s="4"/>
      <c r="DQ108" s="3">
        <v>5.4922848057998532</v>
      </c>
      <c r="DR108">
        <f t="shared" si="2"/>
        <v>9</v>
      </c>
      <c r="DS108" s="4">
        <f t="shared" si="3"/>
        <v>8.5714285714285715E-2</v>
      </c>
    </row>
    <row r="109" spans="1:123" x14ac:dyDescent="0.25">
      <c r="A109" t="s">
        <v>117</v>
      </c>
      <c r="B109" t="s">
        <v>75</v>
      </c>
      <c r="C109" t="s">
        <v>76</v>
      </c>
      <c r="D109" t="s">
        <v>18</v>
      </c>
      <c r="E109" t="s">
        <v>33</v>
      </c>
      <c r="F109">
        <v>0.68669869747409462</v>
      </c>
      <c r="G109">
        <v>0.92339739494818918</v>
      </c>
      <c r="H109">
        <v>0.45</v>
      </c>
      <c r="I109">
        <v>5540890200</v>
      </c>
      <c r="J109">
        <v>5.9</v>
      </c>
      <c r="K109">
        <v>8</v>
      </c>
      <c r="O109" s="2" t="s">
        <v>12</v>
      </c>
      <c r="P109" s="4">
        <v>0.85376097404630769</v>
      </c>
      <c r="Q109" s="4">
        <v>0.87604969491202911</v>
      </c>
      <c r="R109" s="4">
        <v>0.82620330417851284</v>
      </c>
      <c r="S109" s="4">
        <v>0.62781838974683524</v>
      </c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  <c r="CO109" s="4"/>
      <c r="CP109" s="4"/>
      <c r="CQ109" s="4"/>
      <c r="CR109" s="4"/>
      <c r="CS109" s="4"/>
      <c r="CT109" s="4"/>
      <c r="CU109" s="4"/>
      <c r="CV109" s="4"/>
      <c r="CW109" s="4"/>
      <c r="CX109" s="4"/>
      <c r="CY109" s="4"/>
      <c r="CZ109" s="4"/>
      <c r="DA109" s="4"/>
      <c r="DB109" s="4"/>
      <c r="DC109" s="4"/>
      <c r="DD109" s="4"/>
      <c r="DE109" s="4"/>
      <c r="DF109" s="4"/>
      <c r="DG109" s="4"/>
      <c r="DH109" s="4"/>
      <c r="DI109" s="4"/>
      <c r="DJ109" s="4"/>
      <c r="DK109" s="4"/>
      <c r="DL109" s="4"/>
      <c r="DM109" s="4"/>
      <c r="DN109" s="4"/>
      <c r="DO109" s="4"/>
      <c r="DP109" s="4"/>
      <c r="DQ109" s="3">
        <v>3.1838323628836847</v>
      </c>
      <c r="DR109">
        <f t="shared" si="2"/>
        <v>4</v>
      </c>
      <c r="DS109" s="4">
        <f t="shared" si="3"/>
        <v>3.8095238095238099E-2</v>
      </c>
    </row>
    <row r="110" spans="1:123" x14ac:dyDescent="0.25">
      <c r="A110" t="s">
        <v>117</v>
      </c>
      <c r="B110" t="s">
        <v>118</v>
      </c>
      <c r="C110" t="s">
        <v>119</v>
      </c>
      <c r="D110" t="s">
        <v>32</v>
      </c>
      <c r="E110" t="s">
        <v>33</v>
      </c>
      <c r="F110">
        <v>0.68661238189701967</v>
      </c>
      <c r="G110">
        <v>0.92322476379403939</v>
      </c>
      <c r="H110">
        <v>0.45</v>
      </c>
      <c r="I110">
        <v>28249632600</v>
      </c>
      <c r="J110">
        <v>80.2</v>
      </c>
      <c r="K110">
        <v>9</v>
      </c>
      <c r="O110" s="2" t="s">
        <v>436</v>
      </c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>
        <v>0.58557673099145169</v>
      </c>
      <c r="CN110" s="4">
        <v>0.56599822796555488</v>
      </c>
      <c r="CO110" s="4"/>
      <c r="CP110" s="4"/>
      <c r="CQ110" s="4"/>
      <c r="CR110" s="4"/>
      <c r="CS110" s="4"/>
      <c r="CT110" s="4"/>
      <c r="CU110" s="4"/>
      <c r="CV110" s="4"/>
      <c r="CW110" s="4"/>
      <c r="CX110" s="4"/>
      <c r="CY110" s="4"/>
      <c r="CZ110" s="4"/>
      <c r="DA110" s="4"/>
      <c r="DB110" s="4"/>
      <c r="DC110" s="4"/>
      <c r="DD110" s="4"/>
      <c r="DE110" s="4"/>
      <c r="DF110" s="4"/>
      <c r="DG110" s="4"/>
      <c r="DH110" s="4"/>
      <c r="DI110" s="4"/>
      <c r="DJ110" s="4"/>
      <c r="DK110" s="4"/>
      <c r="DL110" s="4"/>
      <c r="DM110" s="4"/>
      <c r="DN110" s="4"/>
      <c r="DO110" s="4"/>
      <c r="DP110" s="4"/>
      <c r="DQ110" s="3">
        <v>1.1515749589570066</v>
      </c>
      <c r="DR110">
        <f t="shared" si="2"/>
        <v>2</v>
      </c>
      <c r="DS110" s="4">
        <f t="shared" si="3"/>
        <v>1.9047619047619049E-2</v>
      </c>
    </row>
    <row r="111" spans="1:123" x14ac:dyDescent="0.25">
      <c r="A111" t="s">
        <v>117</v>
      </c>
      <c r="B111" t="s">
        <v>57</v>
      </c>
      <c r="C111" t="s">
        <v>58</v>
      </c>
      <c r="D111" t="s">
        <v>32</v>
      </c>
      <c r="E111" t="s">
        <v>59</v>
      </c>
      <c r="F111">
        <v>0.68302082295817323</v>
      </c>
      <c r="G111">
        <v>0.9160416459163464</v>
      </c>
      <c r="H111">
        <v>0.45</v>
      </c>
      <c r="I111">
        <v>23402106800</v>
      </c>
      <c r="J111">
        <v>64.5</v>
      </c>
      <c r="K111">
        <v>10</v>
      </c>
      <c r="O111" s="2" t="s">
        <v>45</v>
      </c>
      <c r="P111" s="4">
        <v>0.68044655507101048</v>
      </c>
      <c r="Q111" s="4">
        <v>0.7240680880760153</v>
      </c>
      <c r="R111" s="4">
        <v>0.71583753276139994</v>
      </c>
      <c r="S111" s="4">
        <v>0.7375657310888355</v>
      </c>
      <c r="T111" s="4">
        <v>0.73548513136055604</v>
      </c>
      <c r="U111" s="4">
        <v>0.76934656372779353</v>
      </c>
      <c r="V111" s="4">
        <v>0.74024217398000447</v>
      </c>
      <c r="W111" s="4">
        <v>0.74873113498644384</v>
      </c>
      <c r="X111" s="4">
        <v>0.81770690816050839</v>
      </c>
      <c r="Y111" s="4">
        <v>0.83038444194808969</v>
      </c>
      <c r="Z111" s="4">
        <v>0.72565590543498715</v>
      </c>
      <c r="AA111" s="4">
        <v>0.68623358850816563</v>
      </c>
      <c r="AB111" s="4"/>
      <c r="AC111" s="4"/>
      <c r="AD111" s="4"/>
      <c r="AE111" s="4"/>
      <c r="AF111" s="4"/>
      <c r="AG111" s="4"/>
      <c r="AH111" s="4"/>
      <c r="AI111" s="4"/>
      <c r="AJ111" s="4"/>
      <c r="AK111" s="4">
        <v>0.75371647033041511</v>
      </c>
      <c r="AL111" s="4">
        <v>0.82166652588137046</v>
      </c>
      <c r="AM111" s="4">
        <v>0.68352976893617745</v>
      </c>
      <c r="AN111" s="4">
        <v>0.79142549396209771</v>
      </c>
      <c r="AO111" s="4">
        <v>0.63911412640580689</v>
      </c>
      <c r="AP111" s="4"/>
      <c r="AQ111" s="4">
        <v>0.62911827318466873</v>
      </c>
      <c r="AR111" s="4">
        <v>0.68976679788187201</v>
      </c>
      <c r="AS111" s="4">
        <v>0.68546655747676954</v>
      </c>
      <c r="AT111" s="4">
        <v>0.68672732004649051</v>
      </c>
      <c r="AU111" s="4">
        <v>0.65773447071683644</v>
      </c>
      <c r="AV111" s="4">
        <v>0.60396343625424764</v>
      </c>
      <c r="AW111" s="4">
        <v>0.57601906556090066</v>
      </c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  <c r="CO111" s="4"/>
      <c r="CP111" s="4"/>
      <c r="CQ111" s="4"/>
      <c r="CR111" s="4"/>
      <c r="CS111" s="4"/>
      <c r="CT111" s="4"/>
      <c r="CU111" s="4"/>
      <c r="CV111" s="4"/>
      <c r="CW111" s="4"/>
      <c r="CX111" s="4"/>
      <c r="CY111" s="4"/>
      <c r="CZ111" s="4"/>
      <c r="DA111" s="4"/>
      <c r="DB111" s="4"/>
      <c r="DC111" s="4"/>
      <c r="DD111" s="4"/>
      <c r="DE111" s="4"/>
      <c r="DF111" s="4"/>
      <c r="DG111" s="4"/>
      <c r="DH111" s="4"/>
      <c r="DI111" s="4"/>
      <c r="DJ111" s="4"/>
      <c r="DK111" s="4"/>
      <c r="DL111" s="4"/>
      <c r="DM111" s="4"/>
      <c r="DN111" s="4"/>
      <c r="DO111" s="4"/>
      <c r="DP111" s="4"/>
      <c r="DQ111" s="3">
        <v>17.129952061741463</v>
      </c>
      <c r="DR111">
        <f t="shared" si="2"/>
        <v>24</v>
      </c>
      <c r="DS111" s="4">
        <f t="shared" si="3"/>
        <v>0.22857142857142856</v>
      </c>
    </row>
    <row r="112" spans="1:123" x14ac:dyDescent="0.25">
      <c r="A112" t="s">
        <v>117</v>
      </c>
      <c r="B112" t="s">
        <v>99</v>
      </c>
      <c r="C112" t="s">
        <v>100</v>
      </c>
      <c r="D112" t="s">
        <v>32</v>
      </c>
      <c r="E112" t="s">
        <v>29</v>
      </c>
      <c r="F112">
        <v>0.68203183549264879</v>
      </c>
      <c r="G112">
        <v>0.91406367098529762</v>
      </c>
      <c r="H112">
        <v>0.45</v>
      </c>
      <c r="I112">
        <v>24912573000</v>
      </c>
      <c r="J112">
        <v>56</v>
      </c>
      <c r="K112">
        <v>11</v>
      </c>
      <c r="O112" s="2" t="s">
        <v>332</v>
      </c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>
        <v>0.59698240171196237</v>
      </c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  <c r="CO112" s="4"/>
      <c r="CP112" s="4"/>
      <c r="CQ112" s="4"/>
      <c r="CR112" s="4"/>
      <c r="CS112" s="4"/>
      <c r="CT112" s="4"/>
      <c r="CU112" s="4"/>
      <c r="CV112" s="4"/>
      <c r="CW112" s="4"/>
      <c r="CX112" s="4"/>
      <c r="CY112" s="4"/>
      <c r="CZ112" s="4"/>
      <c r="DA112" s="4"/>
      <c r="DB112" s="4"/>
      <c r="DC112" s="4"/>
      <c r="DD112" s="4"/>
      <c r="DE112" s="4"/>
      <c r="DF112" s="4"/>
      <c r="DG112" s="4"/>
      <c r="DH112" s="4"/>
      <c r="DI112" s="4"/>
      <c r="DJ112" s="4"/>
      <c r="DK112" s="4"/>
      <c r="DL112" s="4"/>
      <c r="DM112" s="4"/>
      <c r="DN112" s="4"/>
      <c r="DO112" s="4"/>
      <c r="DP112" s="4"/>
      <c r="DQ112" s="3">
        <v>0.59698240171196237</v>
      </c>
      <c r="DR112">
        <f t="shared" si="2"/>
        <v>1</v>
      </c>
      <c r="DS112" s="4">
        <f t="shared" si="3"/>
        <v>9.5238095238095247E-3</v>
      </c>
    </row>
    <row r="113" spans="1:123" x14ac:dyDescent="0.25">
      <c r="A113" t="s">
        <v>117</v>
      </c>
      <c r="B113" t="s">
        <v>72</v>
      </c>
      <c r="C113" t="s">
        <v>73</v>
      </c>
      <c r="D113" t="s">
        <v>32</v>
      </c>
      <c r="E113" t="s">
        <v>74</v>
      </c>
      <c r="F113">
        <v>0.67971054534195363</v>
      </c>
      <c r="G113">
        <v>0.75942109068390728</v>
      </c>
      <c r="H113">
        <v>0.6</v>
      </c>
      <c r="I113">
        <v>281338237100</v>
      </c>
      <c r="J113">
        <v>42.45</v>
      </c>
      <c r="K113">
        <v>12</v>
      </c>
      <c r="O113" s="2" t="s">
        <v>195</v>
      </c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>
        <v>0.59333109227186032</v>
      </c>
      <c r="AF113" s="4"/>
      <c r="AG113" s="4"/>
      <c r="AH113" s="4"/>
      <c r="AI113" s="4"/>
      <c r="AJ113" s="4"/>
      <c r="AK113" s="4"/>
      <c r="AL113" s="4"/>
      <c r="AM113" s="4">
        <v>0.60570594033007619</v>
      </c>
      <c r="AN113" s="4"/>
      <c r="AO113" s="4"/>
      <c r="AP113" s="4">
        <v>0.45303941425748873</v>
      </c>
      <c r="AQ113" s="4">
        <v>0.48838793510604378</v>
      </c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>
        <v>0.57120745009699347</v>
      </c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  <c r="CO113" s="4"/>
      <c r="CP113" s="4"/>
      <c r="CQ113" s="4"/>
      <c r="CR113" s="4"/>
      <c r="CS113" s="4"/>
      <c r="CT113" s="4"/>
      <c r="CU113" s="4"/>
      <c r="CV113" s="4"/>
      <c r="CW113" s="4"/>
      <c r="CX113" s="4"/>
      <c r="CY113" s="4"/>
      <c r="CZ113" s="4"/>
      <c r="DA113" s="4"/>
      <c r="DB113" s="4"/>
      <c r="DC113" s="4"/>
      <c r="DD113" s="4"/>
      <c r="DE113" s="4"/>
      <c r="DF113" s="4"/>
      <c r="DG113" s="4"/>
      <c r="DH113" s="4"/>
      <c r="DI113" s="4"/>
      <c r="DJ113" s="4"/>
      <c r="DK113" s="4"/>
      <c r="DL113" s="4"/>
      <c r="DM113" s="4"/>
      <c r="DN113" s="4"/>
      <c r="DO113" s="4"/>
      <c r="DP113" s="4"/>
      <c r="DQ113" s="3">
        <v>2.7116718320624624</v>
      </c>
      <c r="DR113">
        <f t="shared" si="2"/>
        <v>5</v>
      </c>
      <c r="DS113" s="4">
        <f t="shared" si="3"/>
        <v>4.7619047619047616E-2</v>
      </c>
    </row>
    <row r="114" spans="1:123" x14ac:dyDescent="0.25">
      <c r="A114" t="s">
        <v>117</v>
      </c>
      <c r="B114" t="s">
        <v>120</v>
      </c>
      <c r="C114" t="s">
        <v>121</v>
      </c>
      <c r="D114" t="s">
        <v>32</v>
      </c>
      <c r="E114" t="s">
        <v>29</v>
      </c>
      <c r="F114">
        <v>0.67825393543341084</v>
      </c>
      <c r="G114">
        <v>0.7565078708668217</v>
      </c>
      <c r="H114">
        <v>0.6</v>
      </c>
      <c r="I114">
        <v>238551997400</v>
      </c>
      <c r="J114">
        <v>39.25</v>
      </c>
      <c r="K114">
        <v>13</v>
      </c>
      <c r="O114" s="2" t="s">
        <v>24</v>
      </c>
      <c r="P114" s="4">
        <v>0.74528714573067689</v>
      </c>
      <c r="Q114" s="4">
        <v>0.75204259783065996</v>
      </c>
      <c r="R114" s="4">
        <v>0.73652428518973312</v>
      </c>
      <c r="S114" s="4">
        <v>0.74658145154958522</v>
      </c>
      <c r="T114" s="4">
        <v>0.77683068617012374</v>
      </c>
      <c r="U114" s="4">
        <v>0.73437424529926099</v>
      </c>
      <c r="V114" s="4">
        <v>0.70533125218951642</v>
      </c>
      <c r="W114" s="4">
        <v>0.75351406777769814</v>
      </c>
      <c r="X114" s="4">
        <v>0.72086058771094985</v>
      </c>
      <c r="Y114" s="4"/>
      <c r="Z114" s="4">
        <v>0.62485075867922457</v>
      </c>
      <c r="AA114" s="4">
        <v>0.58457887617689419</v>
      </c>
      <c r="AB114" s="4"/>
      <c r="AC114" s="4"/>
      <c r="AD114" s="4"/>
      <c r="AE114" s="4">
        <v>0.71510974670721228</v>
      </c>
      <c r="AF114" s="4">
        <v>0.64987620558206449</v>
      </c>
      <c r="AG114" s="4">
        <v>0.71544182626414532</v>
      </c>
      <c r="AH114" s="4">
        <v>0.76219781865983549</v>
      </c>
      <c r="AI114" s="4">
        <v>0.71386158801542066</v>
      </c>
      <c r="AJ114" s="4">
        <v>0.63362494809238468</v>
      </c>
      <c r="AK114" s="4">
        <v>0.61941724586072755</v>
      </c>
      <c r="AL114" s="4">
        <v>0.60840634920934022</v>
      </c>
      <c r="AM114" s="4"/>
      <c r="AN114" s="4">
        <v>0.58176233722987347</v>
      </c>
      <c r="AO114" s="4">
        <v>0.4624820260235375</v>
      </c>
      <c r="AP114" s="4">
        <v>0.53640652400533684</v>
      </c>
      <c r="AQ114" s="4">
        <v>0.7225986831860618</v>
      </c>
      <c r="AR114" s="4">
        <v>0.59101081037079817</v>
      </c>
      <c r="AS114" s="4">
        <v>0.56361449222058446</v>
      </c>
      <c r="AT114" s="4"/>
      <c r="AU114" s="4"/>
      <c r="AV114" s="4"/>
      <c r="AW114" s="4"/>
      <c r="AX114" s="4"/>
      <c r="AY114" s="4"/>
      <c r="AZ114" s="4"/>
      <c r="BA114" s="4"/>
      <c r="BB114" s="4"/>
      <c r="BC114" s="4">
        <v>0.55390353212534471</v>
      </c>
      <c r="BD114" s="4"/>
      <c r="BE114" s="4"/>
      <c r="BF114" s="4"/>
      <c r="BG114" s="4">
        <v>0.70044109704135515</v>
      </c>
      <c r="BH114" s="4"/>
      <c r="BI114" s="4">
        <v>0.58250566436486095</v>
      </c>
      <c r="BJ114" s="4"/>
      <c r="BK114" s="4"/>
      <c r="BL114" s="4">
        <v>0.6185896859405432</v>
      </c>
      <c r="BM114" s="4">
        <v>0.59753683123038359</v>
      </c>
      <c r="BN114" s="4">
        <v>0.59823659334638413</v>
      </c>
      <c r="BO114" s="4"/>
      <c r="BP114" s="4"/>
      <c r="BQ114" s="4"/>
      <c r="BR114" s="4"/>
      <c r="BS114" s="4">
        <v>0.57534466791778893</v>
      </c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  <c r="CO114" s="4"/>
      <c r="CP114" s="4"/>
      <c r="CQ114" s="4"/>
      <c r="CR114" s="4"/>
      <c r="CS114" s="4"/>
      <c r="CT114" s="4"/>
      <c r="CU114" s="4"/>
      <c r="CV114" s="4"/>
      <c r="CW114" s="4"/>
      <c r="CX114" s="4"/>
      <c r="CY114" s="4"/>
      <c r="CZ114" s="4"/>
      <c r="DA114" s="4"/>
      <c r="DB114" s="4"/>
      <c r="DC114" s="4"/>
      <c r="DD114" s="4"/>
      <c r="DE114" s="4"/>
      <c r="DF114" s="4"/>
      <c r="DG114" s="4"/>
      <c r="DH114" s="4"/>
      <c r="DI114" s="4"/>
      <c r="DJ114" s="4"/>
      <c r="DK114" s="4"/>
      <c r="DL114" s="4"/>
      <c r="DM114" s="4"/>
      <c r="DN114" s="4"/>
      <c r="DO114" s="4"/>
      <c r="DP114" s="4"/>
      <c r="DQ114" s="3">
        <v>20.983144627698305</v>
      </c>
      <c r="DR114">
        <f t="shared" si="2"/>
        <v>32</v>
      </c>
      <c r="DS114" s="4">
        <f t="shared" si="3"/>
        <v>0.30476190476190479</v>
      </c>
    </row>
    <row r="115" spans="1:123" x14ac:dyDescent="0.25">
      <c r="A115" t="s">
        <v>117</v>
      </c>
      <c r="B115" t="s">
        <v>19</v>
      </c>
      <c r="C115" t="s">
        <v>20</v>
      </c>
      <c r="D115" t="s">
        <v>18</v>
      </c>
      <c r="E115" t="s">
        <v>15</v>
      </c>
      <c r="F115">
        <v>0.67295266905259621</v>
      </c>
      <c r="G115">
        <v>0.79590533810519237</v>
      </c>
      <c r="H115">
        <v>0.55000000000000004</v>
      </c>
      <c r="I115">
        <v>2641384800</v>
      </c>
      <c r="J115">
        <v>330</v>
      </c>
      <c r="K115">
        <v>14</v>
      </c>
      <c r="O115" s="2" t="s">
        <v>500</v>
      </c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  <c r="CO115" s="4"/>
      <c r="CP115" s="4"/>
      <c r="CQ115" s="4"/>
      <c r="CR115" s="4"/>
      <c r="CS115" s="4"/>
      <c r="CT115" s="4"/>
      <c r="CU115" s="4"/>
      <c r="CV115" s="4"/>
      <c r="CW115" s="4"/>
      <c r="CX115" s="4"/>
      <c r="CY115" s="4"/>
      <c r="CZ115" s="4"/>
      <c r="DA115" s="4"/>
      <c r="DB115" s="4">
        <v>0.62002588944514636</v>
      </c>
      <c r="DC115" s="4">
        <v>0.64667534701768958</v>
      </c>
      <c r="DD115" s="4"/>
      <c r="DE115" s="4"/>
      <c r="DF115" s="4"/>
      <c r="DG115" s="4"/>
      <c r="DH115" s="4"/>
      <c r="DI115" s="4"/>
      <c r="DJ115" s="4"/>
      <c r="DK115" s="4"/>
      <c r="DL115" s="4"/>
      <c r="DM115" s="4"/>
      <c r="DN115" s="4"/>
      <c r="DO115" s="4"/>
      <c r="DP115" s="4"/>
      <c r="DQ115" s="3">
        <v>1.2667012364628358</v>
      </c>
      <c r="DR115">
        <f t="shared" si="2"/>
        <v>2</v>
      </c>
      <c r="DS115" s="4">
        <f t="shared" si="3"/>
        <v>1.9047619047619049E-2</v>
      </c>
    </row>
    <row r="116" spans="1:123" x14ac:dyDescent="0.25">
      <c r="A116" t="s">
        <v>117</v>
      </c>
      <c r="B116" t="s">
        <v>79</v>
      </c>
      <c r="C116" t="s">
        <v>80</v>
      </c>
      <c r="D116" t="s">
        <v>32</v>
      </c>
      <c r="E116" t="s">
        <v>59</v>
      </c>
      <c r="F116">
        <v>0.66582524391161002</v>
      </c>
      <c r="G116">
        <v>0.88165048782322009</v>
      </c>
      <c r="H116">
        <v>0.45</v>
      </c>
      <c r="I116">
        <v>17200183600</v>
      </c>
      <c r="J116">
        <v>82.2</v>
      </c>
      <c r="K116">
        <v>15</v>
      </c>
      <c r="O116" s="2" t="s">
        <v>537</v>
      </c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  <c r="CO116" s="4"/>
      <c r="CP116" s="4"/>
      <c r="CQ116" s="4"/>
      <c r="CR116" s="4"/>
      <c r="CS116" s="4"/>
      <c r="CT116" s="4"/>
      <c r="CU116" s="4"/>
      <c r="CV116" s="4"/>
      <c r="CW116" s="4"/>
      <c r="CX116" s="4"/>
      <c r="CY116" s="4"/>
      <c r="CZ116" s="4"/>
      <c r="DA116" s="4"/>
      <c r="DB116" s="4"/>
      <c r="DC116" s="4"/>
      <c r="DD116" s="4"/>
      <c r="DE116" s="4"/>
      <c r="DF116" s="4"/>
      <c r="DG116" s="4"/>
      <c r="DH116" s="4"/>
      <c r="DI116" s="4"/>
      <c r="DJ116" s="4"/>
      <c r="DK116" s="4"/>
      <c r="DL116" s="4"/>
      <c r="DM116" s="4"/>
      <c r="DN116" s="4"/>
      <c r="DO116" s="4">
        <v>0.66014609599441276</v>
      </c>
      <c r="DP116" s="4"/>
      <c r="DQ116" s="3">
        <v>0.66014609599441276</v>
      </c>
      <c r="DR116">
        <f t="shared" si="2"/>
        <v>1</v>
      </c>
      <c r="DS116" s="4">
        <f t="shared" si="3"/>
        <v>9.5238095238095247E-3</v>
      </c>
    </row>
    <row r="117" spans="1:123" x14ac:dyDescent="0.25">
      <c r="A117" t="s">
        <v>117</v>
      </c>
      <c r="B117" t="s">
        <v>43</v>
      </c>
      <c r="C117" t="s">
        <v>44</v>
      </c>
      <c r="D117" t="s">
        <v>14</v>
      </c>
      <c r="E117" t="s">
        <v>15</v>
      </c>
      <c r="F117">
        <v>0.66347469636527956</v>
      </c>
      <c r="G117">
        <v>0.72694939273055914</v>
      </c>
      <c r="H117">
        <v>0.6</v>
      </c>
      <c r="I117">
        <v>2118457600</v>
      </c>
      <c r="J117">
        <v>22</v>
      </c>
      <c r="K117">
        <v>16</v>
      </c>
      <c r="O117" s="2" t="s">
        <v>365</v>
      </c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>
        <v>0.60178159280466925</v>
      </c>
      <c r="BV117" s="4"/>
      <c r="BW117" s="4">
        <v>0.60032538504700395</v>
      </c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  <c r="CO117" s="4"/>
      <c r="CP117" s="4"/>
      <c r="CQ117" s="4"/>
      <c r="CR117" s="4"/>
      <c r="CS117" s="4"/>
      <c r="CT117" s="4"/>
      <c r="CU117" s="4"/>
      <c r="CV117" s="4"/>
      <c r="CW117" s="4"/>
      <c r="CX117" s="4"/>
      <c r="CY117" s="4"/>
      <c r="CZ117" s="4"/>
      <c r="DA117" s="4"/>
      <c r="DB117" s="4"/>
      <c r="DC117" s="4"/>
      <c r="DD117" s="4"/>
      <c r="DE117" s="4"/>
      <c r="DF117" s="4"/>
      <c r="DG117" s="4"/>
      <c r="DH117" s="4"/>
      <c r="DI117" s="4"/>
      <c r="DJ117" s="4"/>
      <c r="DK117" s="4"/>
      <c r="DL117" s="4"/>
      <c r="DM117" s="4"/>
      <c r="DN117" s="4"/>
      <c r="DO117" s="4"/>
      <c r="DP117" s="4"/>
      <c r="DQ117" s="3">
        <v>1.2021069778516731</v>
      </c>
      <c r="DR117">
        <f t="shared" si="2"/>
        <v>2</v>
      </c>
      <c r="DS117" s="4">
        <f t="shared" si="3"/>
        <v>1.9047619047619049E-2</v>
      </c>
    </row>
    <row r="118" spans="1:123" x14ac:dyDescent="0.25">
      <c r="A118" t="s">
        <v>117</v>
      </c>
      <c r="B118" t="s">
        <v>101</v>
      </c>
      <c r="C118" t="s">
        <v>102</v>
      </c>
      <c r="D118" t="s">
        <v>18</v>
      </c>
      <c r="E118" t="s">
        <v>15</v>
      </c>
      <c r="F118">
        <v>0.64636026632581534</v>
      </c>
      <c r="G118">
        <v>0.8427205326516306</v>
      </c>
      <c r="H118">
        <v>0.45</v>
      </c>
      <c r="I118">
        <v>2148042600</v>
      </c>
      <c r="J118">
        <v>58.4</v>
      </c>
      <c r="K118">
        <v>17</v>
      </c>
      <c r="O118" s="2" t="s">
        <v>75</v>
      </c>
      <c r="P118" s="4"/>
      <c r="Q118" s="4">
        <v>0.61809468894392228</v>
      </c>
      <c r="R118" s="4">
        <v>0.65378708898978299</v>
      </c>
      <c r="S118" s="4">
        <v>0.65218295813500593</v>
      </c>
      <c r="T118" s="4">
        <v>0.73671294267171716</v>
      </c>
      <c r="U118" s="4">
        <v>0.68669869747409462</v>
      </c>
      <c r="V118" s="4">
        <v>0.83587276298560997</v>
      </c>
      <c r="W118" s="4">
        <v>0.85423250752487667</v>
      </c>
      <c r="X118" s="4">
        <v>0.79823223722773029</v>
      </c>
      <c r="Y118" s="4">
        <v>0.70827400904149052</v>
      </c>
      <c r="Z118" s="4">
        <v>0.7426727735181442</v>
      </c>
      <c r="AA118" s="4">
        <v>0.75118073959745302</v>
      </c>
      <c r="AB118" s="4">
        <v>0.71707765350758601</v>
      </c>
      <c r="AC118" s="4">
        <v>0.69568887238636901</v>
      </c>
      <c r="AD118" s="4">
        <v>0.73050567403244315</v>
      </c>
      <c r="AE118" s="4"/>
      <c r="AF118" s="4"/>
      <c r="AG118" s="4"/>
      <c r="AH118" s="4"/>
      <c r="AI118" s="4"/>
      <c r="AJ118" s="4"/>
      <c r="AK118" s="4"/>
      <c r="AL118" s="4"/>
      <c r="AM118" s="4">
        <v>0.64916615294001689</v>
      </c>
      <c r="AN118" s="4">
        <v>0.69326188500972541</v>
      </c>
      <c r="AO118" s="4">
        <v>0.47371096023220027</v>
      </c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>
        <v>0.56431518355311261</v>
      </c>
      <c r="BT118" s="4">
        <v>0.59493740774605064</v>
      </c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  <c r="CO118" s="4"/>
      <c r="CP118" s="4"/>
      <c r="CQ118" s="4"/>
      <c r="CR118" s="4"/>
      <c r="CS118" s="4"/>
      <c r="CT118" s="4"/>
      <c r="CU118" s="4"/>
      <c r="CV118" s="4"/>
      <c r="CW118" s="4"/>
      <c r="CX118" s="4"/>
      <c r="CY118" s="4"/>
      <c r="CZ118" s="4"/>
      <c r="DA118" s="4"/>
      <c r="DB118" s="4"/>
      <c r="DC118" s="4"/>
      <c r="DD118" s="4"/>
      <c r="DE118" s="4"/>
      <c r="DF118" s="4"/>
      <c r="DG118" s="4"/>
      <c r="DH118" s="4"/>
      <c r="DI118" s="4"/>
      <c r="DJ118" s="4"/>
      <c r="DK118" s="4"/>
      <c r="DL118" s="4"/>
      <c r="DM118" s="4"/>
      <c r="DN118" s="4"/>
      <c r="DO118" s="4"/>
      <c r="DP118" s="4"/>
      <c r="DQ118" s="3">
        <v>13.156605195517333</v>
      </c>
      <c r="DR118">
        <f t="shared" si="2"/>
        <v>19</v>
      </c>
      <c r="DS118" s="4">
        <f t="shared" si="3"/>
        <v>0.18095238095238095</v>
      </c>
    </row>
    <row r="119" spans="1:123" x14ac:dyDescent="0.25">
      <c r="A119" t="s">
        <v>117</v>
      </c>
      <c r="B119" t="s">
        <v>21</v>
      </c>
      <c r="C119" t="s">
        <v>22</v>
      </c>
      <c r="D119" t="s">
        <v>14</v>
      </c>
      <c r="E119" t="s">
        <v>23</v>
      </c>
      <c r="F119">
        <v>0.64502498807585162</v>
      </c>
      <c r="G119">
        <v>0.69004997615170327</v>
      </c>
      <c r="H119">
        <v>0.6</v>
      </c>
      <c r="I119">
        <v>5208347000</v>
      </c>
      <c r="J119">
        <v>9.1</v>
      </c>
      <c r="K119">
        <v>18</v>
      </c>
      <c r="O119" s="2" t="s">
        <v>450</v>
      </c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  <c r="CO119" s="4">
        <v>0.59794696879259623</v>
      </c>
      <c r="CP119" s="4"/>
      <c r="CQ119" s="4"/>
      <c r="CR119" s="4"/>
      <c r="CS119" s="4"/>
      <c r="CT119" s="4"/>
      <c r="CU119" s="4"/>
      <c r="CV119" s="4"/>
      <c r="CW119" s="4"/>
      <c r="CX119" s="4"/>
      <c r="CY119" s="4"/>
      <c r="CZ119" s="4"/>
      <c r="DA119" s="4"/>
      <c r="DB119" s="4"/>
      <c r="DC119" s="4"/>
      <c r="DD119" s="4"/>
      <c r="DE119" s="4"/>
      <c r="DF119" s="4"/>
      <c r="DG119" s="4"/>
      <c r="DH119" s="4"/>
      <c r="DI119" s="4"/>
      <c r="DJ119" s="4"/>
      <c r="DK119" s="4"/>
      <c r="DL119" s="4"/>
      <c r="DM119" s="4"/>
      <c r="DN119" s="4"/>
      <c r="DO119" s="4"/>
      <c r="DP119" s="4"/>
      <c r="DQ119" s="3">
        <v>0.59794696879259623</v>
      </c>
      <c r="DR119">
        <f t="shared" si="2"/>
        <v>1</v>
      </c>
      <c r="DS119" s="4">
        <f t="shared" si="3"/>
        <v>9.5238095238095247E-3</v>
      </c>
    </row>
    <row r="120" spans="1:123" x14ac:dyDescent="0.25">
      <c r="A120" t="s">
        <v>117</v>
      </c>
      <c r="B120" t="s">
        <v>122</v>
      </c>
      <c r="C120" t="s">
        <v>123</v>
      </c>
      <c r="D120" t="s">
        <v>32</v>
      </c>
      <c r="E120" t="s">
        <v>124</v>
      </c>
      <c r="F120">
        <v>0.63885484049117414</v>
      </c>
      <c r="G120">
        <v>0.97770968098234834</v>
      </c>
      <c r="H120">
        <v>0.3</v>
      </c>
      <c r="I120">
        <v>34521553200</v>
      </c>
      <c r="J120">
        <v>67.900000000000006</v>
      </c>
      <c r="K120">
        <v>19</v>
      </c>
      <c r="O120" s="2" t="s">
        <v>63</v>
      </c>
      <c r="P120" s="4">
        <v>0.66025850610101866</v>
      </c>
      <c r="Q120" s="4">
        <v>0.60540131907538652</v>
      </c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  <c r="CO120" s="4"/>
      <c r="CP120" s="4"/>
      <c r="CQ120" s="4"/>
      <c r="CR120" s="4"/>
      <c r="CS120" s="4"/>
      <c r="CT120" s="4"/>
      <c r="CU120" s="4"/>
      <c r="CV120" s="4"/>
      <c r="CW120" s="4"/>
      <c r="CX120" s="4"/>
      <c r="CY120" s="4"/>
      <c r="CZ120" s="4"/>
      <c r="DA120" s="4"/>
      <c r="DB120" s="4"/>
      <c r="DC120" s="4"/>
      <c r="DD120" s="4"/>
      <c r="DE120" s="4">
        <v>0.69493049570960985</v>
      </c>
      <c r="DF120" s="4">
        <v>0.67666957384627002</v>
      </c>
      <c r="DG120" s="4"/>
      <c r="DH120" s="4"/>
      <c r="DI120" s="4"/>
      <c r="DJ120" s="4"/>
      <c r="DK120" s="4"/>
      <c r="DL120" s="4"/>
      <c r="DM120" s="4"/>
      <c r="DN120" s="4"/>
      <c r="DO120" s="4"/>
      <c r="DP120" s="4"/>
      <c r="DQ120" s="3">
        <v>2.6372598947322849</v>
      </c>
      <c r="DR120">
        <f t="shared" si="2"/>
        <v>4</v>
      </c>
      <c r="DS120" s="4">
        <f t="shared" si="3"/>
        <v>3.8095238095238099E-2</v>
      </c>
    </row>
    <row r="121" spans="1:123" x14ac:dyDescent="0.25">
      <c r="A121" t="s">
        <v>117</v>
      </c>
      <c r="B121" t="s">
        <v>125</v>
      </c>
      <c r="C121" t="s">
        <v>126</v>
      </c>
      <c r="D121" t="s">
        <v>32</v>
      </c>
      <c r="E121" t="s">
        <v>127</v>
      </c>
      <c r="F121">
        <v>0.63422055208177108</v>
      </c>
      <c r="G121">
        <v>0.66844110416354219</v>
      </c>
      <c r="H121">
        <v>0.6</v>
      </c>
      <c r="I121">
        <v>4117258060</v>
      </c>
      <c r="J121">
        <v>7.35</v>
      </c>
      <c r="K121">
        <v>20</v>
      </c>
      <c r="O121" s="2" t="s">
        <v>390</v>
      </c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>
        <v>0.65023762607299807</v>
      </c>
      <c r="CB121" s="4"/>
      <c r="CC121" s="4"/>
      <c r="CD121" s="4"/>
      <c r="CE121" s="4"/>
      <c r="CF121" s="4"/>
      <c r="CG121" s="4"/>
      <c r="CH121" s="4"/>
      <c r="CI121" s="4"/>
      <c r="CJ121" s="4"/>
      <c r="CK121" s="4"/>
      <c r="CL121" s="4"/>
      <c r="CM121" s="4"/>
      <c r="CN121" s="4"/>
      <c r="CO121" s="4"/>
      <c r="CP121" s="4"/>
      <c r="CQ121" s="4"/>
      <c r="CR121" s="4"/>
      <c r="CS121" s="4"/>
      <c r="CT121" s="4"/>
      <c r="CU121" s="4"/>
      <c r="CV121" s="4"/>
      <c r="CW121" s="4"/>
      <c r="CX121" s="4"/>
      <c r="CY121" s="4"/>
      <c r="CZ121" s="4"/>
      <c r="DA121" s="4"/>
      <c r="DB121" s="4"/>
      <c r="DC121" s="4"/>
      <c r="DD121" s="4"/>
      <c r="DE121" s="4"/>
      <c r="DF121" s="4"/>
      <c r="DG121" s="4"/>
      <c r="DH121" s="4"/>
      <c r="DI121" s="4"/>
      <c r="DJ121" s="4"/>
      <c r="DK121" s="4"/>
      <c r="DL121" s="4"/>
      <c r="DM121" s="4"/>
      <c r="DN121" s="4"/>
      <c r="DO121" s="4"/>
      <c r="DP121" s="4"/>
      <c r="DQ121" s="3">
        <v>0.65023762607299807</v>
      </c>
      <c r="DR121">
        <f t="shared" si="2"/>
        <v>1</v>
      </c>
      <c r="DS121" s="4">
        <f t="shared" si="3"/>
        <v>9.5238095238095247E-3</v>
      </c>
    </row>
    <row r="122" spans="1:123" x14ac:dyDescent="0.25">
      <c r="A122" t="s">
        <v>128</v>
      </c>
      <c r="B122" t="s">
        <v>75</v>
      </c>
      <c r="C122" t="s">
        <v>76</v>
      </c>
      <c r="D122" t="s">
        <v>18</v>
      </c>
      <c r="E122" t="s">
        <v>33</v>
      </c>
      <c r="F122">
        <v>0.83587276298560997</v>
      </c>
      <c r="G122">
        <v>0.77174552597121993</v>
      </c>
      <c r="H122">
        <v>0.9</v>
      </c>
      <c r="I122">
        <v>5363388600</v>
      </c>
      <c r="J122">
        <v>5.8</v>
      </c>
      <c r="K122">
        <v>1</v>
      </c>
      <c r="O122" s="2" t="s">
        <v>285</v>
      </c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>
        <v>0.70169989940684097</v>
      </c>
      <c r="AY122" s="4">
        <v>0.70468597256407506</v>
      </c>
      <c r="AZ122" s="4">
        <v>0.72049441335342901</v>
      </c>
      <c r="BA122" s="4">
        <v>0.73904136185905078</v>
      </c>
      <c r="BB122" s="4">
        <v>0.74773845946412987</v>
      </c>
      <c r="BC122" s="4">
        <v>0.67948530470238744</v>
      </c>
      <c r="BD122" s="4">
        <v>0.72561127409370463</v>
      </c>
      <c r="BE122" s="4">
        <v>0.68959917688315153</v>
      </c>
      <c r="BF122" s="4">
        <v>0.71010236592892872</v>
      </c>
      <c r="BG122" s="4">
        <v>0.79312401014282385</v>
      </c>
      <c r="BH122" s="4">
        <v>0.59922899566266508</v>
      </c>
      <c r="BI122" s="4">
        <v>0.61908121077837164</v>
      </c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H122" s="4"/>
      <c r="CI122" s="4"/>
      <c r="CJ122" s="4">
        <v>0.67247691802366549</v>
      </c>
      <c r="CK122" s="4"/>
      <c r="CL122" s="4"/>
      <c r="CM122" s="4"/>
      <c r="CN122" s="4"/>
      <c r="CO122" s="4"/>
      <c r="CP122" s="4"/>
      <c r="CQ122" s="4"/>
      <c r="CR122" s="4"/>
      <c r="CS122" s="4"/>
      <c r="CT122" s="4"/>
      <c r="CU122" s="4"/>
      <c r="CV122" s="4"/>
      <c r="CW122" s="4"/>
      <c r="CX122" s="4"/>
      <c r="CY122" s="4"/>
      <c r="CZ122" s="4"/>
      <c r="DA122" s="4"/>
      <c r="DB122" s="4"/>
      <c r="DC122" s="4"/>
      <c r="DD122" s="4"/>
      <c r="DE122" s="4"/>
      <c r="DF122" s="4"/>
      <c r="DG122" s="4"/>
      <c r="DH122" s="4"/>
      <c r="DI122" s="4"/>
      <c r="DJ122" s="4"/>
      <c r="DK122" s="4"/>
      <c r="DL122" s="4"/>
      <c r="DM122" s="4"/>
      <c r="DN122" s="4"/>
      <c r="DO122" s="4"/>
      <c r="DP122" s="4"/>
      <c r="DQ122" s="3">
        <v>9.1023693628632252</v>
      </c>
      <c r="DR122">
        <f t="shared" si="2"/>
        <v>13</v>
      </c>
      <c r="DS122" s="4">
        <f t="shared" si="3"/>
        <v>0.12380952380952381</v>
      </c>
    </row>
    <row r="123" spans="1:123" x14ac:dyDescent="0.25">
      <c r="A123" t="s">
        <v>128</v>
      </c>
      <c r="B123" t="s">
        <v>110</v>
      </c>
      <c r="C123" t="s">
        <v>111</v>
      </c>
      <c r="D123" t="s">
        <v>32</v>
      </c>
      <c r="E123" t="s">
        <v>112</v>
      </c>
      <c r="F123">
        <v>0.79858863906740651</v>
      </c>
      <c r="G123">
        <v>0.94717727813481301</v>
      </c>
      <c r="H123">
        <v>0.65</v>
      </c>
      <c r="I123">
        <v>3545601300</v>
      </c>
      <c r="J123">
        <v>5.29</v>
      </c>
      <c r="K123">
        <v>2</v>
      </c>
      <c r="O123" s="2" t="s">
        <v>483</v>
      </c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  <c r="CI123" s="4"/>
      <c r="CJ123" s="4"/>
      <c r="CK123" s="4"/>
      <c r="CL123" s="4"/>
      <c r="CM123" s="4"/>
      <c r="CN123" s="4"/>
      <c r="CO123" s="4"/>
      <c r="CP123" s="4"/>
      <c r="CQ123" s="4"/>
      <c r="CR123" s="4"/>
      <c r="CS123" s="4"/>
      <c r="CT123" s="4"/>
      <c r="CU123" s="4"/>
      <c r="CV123" s="4"/>
      <c r="CW123" s="4">
        <v>0.61352491751492499</v>
      </c>
      <c r="CX123" s="4">
        <v>0.6961478235849512</v>
      </c>
      <c r="CY123" s="4">
        <v>0.66731669595839704</v>
      </c>
      <c r="CZ123" s="4">
        <v>0.6659053222617175</v>
      </c>
      <c r="DA123" s="4">
        <v>0.66570885899231924</v>
      </c>
      <c r="DB123" s="4"/>
      <c r="DC123" s="4"/>
      <c r="DD123" s="4"/>
      <c r="DE123" s="4"/>
      <c r="DF123" s="4"/>
      <c r="DG123" s="4"/>
      <c r="DH123" s="4"/>
      <c r="DI123" s="4"/>
      <c r="DJ123" s="4"/>
      <c r="DK123" s="4"/>
      <c r="DL123" s="4"/>
      <c r="DM123" s="4"/>
      <c r="DN123" s="4"/>
      <c r="DO123" s="4"/>
      <c r="DP123" s="4"/>
      <c r="DQ123" s="3">
        <v>3.3086036183123104</v>
      </c>
      <c r="DR123">
        <f t="shared" si="2"/>
        <v>5</v>
      </c>
      <c r="DS123" s="4">
        <f t="shared" si="3"/>
        <v>4.7619047619047616E-2</v>
      </c>
    </row>
    <row r="124" spans="1:123" x14ac:dyDescent="0.25">
      <c r="A124" t="s">
        <v>128</v>
      </c>
      <c r="B124" t="s">
        <v>45</v>
      </c>
      <c r="C124" t="s">
        <v>46</v>
      </c>
      <c r="D124" t="s">
        <v>14</v>
      </c>
      <c r="E124" t="s">
        <v>15</v>
      </c>
      <c r="F124">
        <v>0.74024217398000447</v>
      </c>
      <c r="G124">
        <v>0.93048434796000901</v>
      </c>
      <c r="H124">
        <v>0.55000000000000004</v>
      </c>
      <c r="I124">
        <v>3407570000</v>
      </c>
      <c r="J124">
        <v>24.8</v>
      </c>
      <c r="K124">
        <v>3</v>
      </c>
      <c r="O124" s="2" t="s">
        <v>309</v>
      </c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">
        <v>0.55571897284278005</v>
      </c>
      <c r="BD124" s="4"/>
      <c r="BE124" s="4"/>
      <c r="BF124" s="4">
        <v>0.73282460090340207</v>
      </c>
      <c r="BG124" s="4">
        <v>0.76580963652014455</v>
      </c>
      <c r="BH124" s="4">
        <v>0.71190179246152507</v>
      </c>
      <c r="BI124" s="4">
        <v>0.65656267920273392</v>
      </c>
      <c r="BJ124" s="4">
        <v>0.65036502618550251</v>
      </c>
      <c r="BK124" s="4">
        <v>0.5738153695665249</v>
      </c>
      <c r="BL124" s="4">
        <v>0.56506568297903315</v>
      </c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>
        <v>0.6817261541608356</v>
      </c>
      <c r="BX124" s="4">
        <v>0.7100526423431518</v>
      </c>
      <c r="BY124" s="4">
        <v>0.70943598858985091</v>
      </c>
      <c r="BZ124" s="4">
        <v>0.64485119014139847</v>
      </c>
      <c r="CA124" s="4"/>
      <c r="CB124" s="4">
        <v>0.66197833690423979</v>
      </c>
      <c r="CC124" s="4">
        <v>0.66304716439273848</v>
      </c>
      <c r="CD124" s="4">
        <v>0.69733623392554989</v>
      </c>
      <c r="CE124" s="4">
        <v>0.64242355474937229</v>
      </c>
      <c r="CF124" s="4"/>
      <c r="CG124" s="4"/>
      <c r="CH124" s="4"/>
      <c r="CI124" s="4">
        <v>0.6796605208313965</v>
      </c>
      <c r="CJ124" s="4">
        <v>0.78673537663974935</v>
      </c>
      <c r="CK124" s="4">
        <v>0.78229931185992752</v>
      </c>
      <c r="CL124" s="4">
        <v>0.75026901434913706</v>
      </c>
      <c r="CM124" s="4">
        <v>0.72513386149143955</v>
      </c>
      <c r="CN124" s="4"/>
      <c r="CO124" s="4"/>
      <c r="CP124" s="4"/>
      <c r="CQ124" s="4"/>
      <c r="CR124" s="4"/>
      <c r="CS124" s="4"/>
      <c r="CT124" s="4"/>
      <c r="CU124" s="4"/>
      <c r="CV124" s="4"/>
      <c r="CW124" s="4"/>
      <c r="CX124" s="4"/>
      <c r="CY124" s="4"/>
      <c r="CZ124" s="4"/>
      <c r="DA124" s="4"/>
      <c r="DB124" s="4"/>
      <c r="DC124" s="4"/>
      <c r="DD124" s="4"/>
      <c r="DE124" s="4"/>
      <c r="DF124" s="4"/>
      <c r="DG124" s="4">
        <v>0.69151381719617133</v>
      </c>
      <c r="DH124" s="4"/>
      <c r="DI124" s="4"/>
      <c r="DJ124" s="4"/>
      <c r="DK124" s="4"/>
      <c r="DL124" s="4"/>
      <c r="DM124" s="4"/>
      <c r="DN124" s="4"/>
      <c r="DO124" s="4"/>
      <c r="DP124" s="4"/>
      <c r="DQ124" s="3">
        <v>15.038526928236603</v>
      </c>
      <c r="DR124">
        <f t="shared" si="2"/>
        <v>22</v>
      </c>
      <c r="DS124" s="4">
        <f t="shared" si="3"/>
        <v>0.20952380952380953</v>
      </c>
    </row>
    <row r="125" spans="1:123" x14ac:dyDescent="0.25">
      <c r="A125" t="s">
        <v>128</v>
      </c>
      <c r="B125" t="s">
        <v>24</v>
      </c>
      <c r="C125" t="s">
        <v>25</v>
      </c>
      <c r="D125" t="s">
        <v>18</v>
      </c>
      <c r="E125" t="s">
        <v>26</v>
      </c>
      <c r="F125">
        <v>0.70533125218951642</v>
      </c>
      <c r="G125">
        <v>0.8606625043790328</v>
      </c>
      <c r="H125">
        <v>0.55000000000000004</v>
      </c>
      <c r="I125">
        <v>6230005600</v>
      </c>
      <c r="J125">
        <v>13.2</v>
      </c>
      <c r="K125">
        <v>4</v>
      </c>
      <c r="O125" s="2" t="s">
        <v>103</v>
      </c>
      <c r="P125" s="4"/>
      <c r="Q125" s="4"/>
      <c r="R125" s="4"/>
      <c r="S125" s="4">
        <v>0.63377172907126056</v>
      </c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>
        <v>0.66238305888382532</v>
      </c>
      <c r="BZ125" s="4"/>
      <c r="CA125" s="4"/>
      <c r="CB125" s="4"/>
      <c r="CC125" s="4"/>
      <c r="CD125" s="4">
        <v>0.65403416073326803</v>
      </c>
      <c r="CE125" s="4">
        <v>0.59032449876103354</v>
      </c>
      <c r="CF125" s="4">
        <v>0.6474765960406561</v>
      </c>
      <c r="CG125" s="4">
        <v>0.66395429679647888</v>
      </c>
      <c r="CH125" s="4">
        <v>0.69738302725567158</v>
      </c>
      <c r="CI125" s="4">
        <v>0.64963866091521849</v>
      </c>
      <c r="CJ125" s="4">
        <v>0.65723063114042612</v>
      </c>
      <c r="CK125" s="4">
        <v>0.59973962460272945</v>
      </c>
      <c r="CL125" s="4"/>
      <c r="CM125" s="4"/>
      <c r="CN125" s="4"/>
      <c r="CO125" s="4"/>
      <c r="CP125" s="4"/>
      <c r="CQ125" s="4"/>
      <c r="CR125" s="4"/>
      <c r="CS125" s="4">
        <v>0.6337170077293135</v>
      </c>
      <c r="CT125" s="4"/>
      <c r="CU125" s="4"/>
      <c r="CV125" s="4">
        <v>0.65033478314880311</v>
      </c>
      <c r="CW125" s="4">
        <v>0.6203181237452875</v>
      </c>
      <c r="CX125" s="4"/>
      <c r="CY125" s="4"/>
      <c r="CZ125" s="4"/>
      <c r="DA125" s="4"/>
      <c r="DB125" s="4"/>
      <c r="DC125" s="4"/>
      <c r="DD125" s="4"/>
      <c r="DE125" s="4"/>
      <c r="DF125" s="4"/>
      <c r="DG125" s="4"/>
      <c r="DH125" s="4"/>
      <c r="DI125" s="4"/>
      <c r="DJ125" s="4"/>
      <c r="DK125" s="4"/>
      <c r="DL125" s="4"/>
      <c r="DM125" s="4"/>
      <c r="DN125" s="4"/>
      <c r="DO125" s="4"/>
      <c r="DP125" s="4"/>
      <c r="DQ125" s="3">
        <v>8.360306198823972</v>
      </c>
      <c r="DR125">
        <f t="shared" si="2"/>
        <v>13</v>
      </c>
      <c r="DS125" s="4">
        <f t="shared" si="3"/>
        <v>0.12380952380952381</v>
      </c>
    </row>
    <row r="126" spans="1:123" x14ac:dyDescent="0.25">
      <c r="A126" t="s">
        <v>128</v>
      </c>
      <c r="B126" t="s">
        <v>101</v>
      </c>
      <c r="C126" t="s">
        <v>102</v>
      </c>
      <c r="D126" t="s">
        <v>18</v>
      </c>
      <c r="E126" t="s">
        <v>15</v>
      </c>
      <c r="F126">
        <v>0.68266566700597686</v>
      </c>
      <c r="G126">
        <v>0.91533133401195377</v>
      </c>
      <c r="H126">
        <v>0.45</v>
      </c>
      <c r="I126">
        <v>2284691000</v>
      </c>
      <c r="J126">
        <v>64.2</v>
      </c>
      <c r="K126">
        <v>5</v>
      </c>
      <c r="O126" s="2" t="s">
        <v>503</v>
      </c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H126" s="4"/>
      <c r="CI126" s="4"/>
      <c r="CJ126" s="4"/>
      <c r="CK126" s="4"/>
      <c r="CL126" s="4"/>
      <c r="CM126" s="4"/>
      <c r="CN126" s="4"/>
      <c r="CO126" s="4"/>
      <c r="CP126" s="4"/>
      <c r="CQ126" s="4"/>
      <c r="CR126" s="4"/>
      <c r="CS126" s="4"/>
      <c r="CT126" s="4"/>
      <c r="CU126" s="4"/>
      <c r="CV126" s="4"/>
      <c r="CW126" s="4"/>
      <c r="CX126" s="4"/>
      <c r="CY126" s="4"/>
      <c r="CZ126" s="4"/>
      <c r="DA126" s="4"/>
      <c r="DB126" s="4"/>
      <c r="DC126" s="4">
        <v>0.627384242638519</v>
      </c>
      <c r="DD126" s="4"/>
      <c r="DE126" s="4"/>
      <c r="DF126" s="4"/>
      <c r="DG126" s="4"/>
      <c r="DH126" s="4"/>
      <c r="DI126" s="4"/>
      <c r="DJ126" s="4"/>
      <c r="DK126" s="4"/>
      <c r="DL126" s="4"/>
      <c r="DM126" s="4"/>
      <c r="DN126" s="4"/>
      <c r="DO126" s="4"/>
      <c r="DP126" s="4"/>
      <c r="DQ126" s="3">
        <v>0.627384242638519</v>
      </c>
      <c r="DR126">
        <f t="shared" si="2"/>
        <v>1</v>
      </c>
      <c r="DS126" s="4">
        <f t="shared" si="3"/>
        <v>9.5238095238095247E-3</v>
      </c>
    </row>
    <row r="127" spans="1:123" x14ac:dyDescent="0.25">
      <c r="A127" t="s">
        <v>128</v>
      </c>
      <c r="B127" t="s">
        <v>99</v>
      </c>
      <c r="C127" t="s">
        <v>100</v>
      </c>
      <c r="D127" t="s">
        <v>32</v>
      </c>
      <c r="E127" t="s">
        <v>29</v>
      </c>
      <c r="F127">
        <v>0.66842907404437579</v>
      </c>
      <c r="G127">
        <v>0.93685814808875156</v>
      </c>
      <c r="H127">
        <v>0.4</v>
      </c>
      <c r="I127">
        <v>25998713400</v>
      </c>
      <c r="J127">
        <v>57.2</v>
      </c>
      <c r="K127">
        <v>6</v>
      </c>
      <c r="O127" s="2" t="s">
        <v>510</v>
      </c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H127" s="4"/>
      <c r="CI127" s="4"/>
      <c r="CJ127" s="4"/>
      <c r="CK127" s="4"/>
      <c r="CL127" s="4"/>
      <c r="CM127" s="4"/>
      <c r="CN127" s="4"/>
      <c r="CO127" s="4"/>
      <c r="CP127" s="4"/>
      <c r="CQ127" s="4"/>
      <c r="CR127" s="4"/>
      <c r="CS127" s="4"/>
      <c r="CT127" s="4"/>
      <c r="CU127" s="4"/>
      <c r="CV127" s="4"/>
      <c r="CW127" s="4"/>
      <c r="CX127" s="4"/>
      <c r="CY127" s="4"/>
      <c r="CZ127" s="4"/>
      <c r="DA127" s="4"/>
      <c r="DB127" s="4"/>
      <c r="DC127" s="4"/>
      <c r="DD127" s="4"/>
      <c r="DE127" s="4"/>
      <c r="DF127" s="4">
        <v>0.77185634820394122</v>
      </c>
      <c r="DG127" s="4"/>
      <c r="DH127" s="4"/>
      <c r="DI127" s="4"/>
      <c r="DJ127" s="4"/>
      <c r="DK127" s="4"/>
      <c r="DL127" s="4"/>
      <c r="DM127" s="4">
        <v>0.77522097146493629</v>
      </c>
      <c r="DN127" s="4"/>
      <c r="DO127" s="4"/>
      <c r="DP127" s="4"/>
      <c r="DQ127" s="3">
        <v>1.5470773196688774</v>
      </c>
      <c r="DR127">
        <f t="shared" si="2"/>
        <v>2</v>
      </c>
      <c r="DS127" s="4">
        <f t="shared" si="3"/>
        <v>1.9047619047619049E-2</v>
      </c>
    </row>
    <row r="128" spans="1:123" x14ac:dyDescent="0.25">
      <c r="A128" t="s">
        <v>128</v>
      </c>
      <c r="B128" t="s">
        <v>122</v>
      </c>
      <c r="C128" t="s">
        <v>123</v>
      </c>
      <c r="D128" t="s">
        <v>32</v>
      </c>
      <c r="E128" t="s">
        <v>124</v>
      </c>
      <c r="F128">
        <v>0.66714131036640378</v>
      </c>
      <c r="G128">
        <v>0.98428262073280759</v>
      </c>
      <c r="H128">
        <v>0.35</v>
      </c>
      <c r="I128">
        <v>36377048800</v>
      </c>
      <c r="J128">
        <v>70</v>
      </c>
      <c r="K128">
        <v>7</v>
      </c>
      <c r="O128" s="2" t="s">
        <v>408</v>
      </c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>
        <v>0.6114024263317358</v>
      </c>
      <c r="CF128" s="4"/>
      <c r="CG128" s="4"/>
      <c r="CH128" s="4"/>
      <c r="CI128" s="4"/>
      <c r="CJ128" s="4"/>
      <c r="CK128" s="4"/>
      <c r="CL128" s="4"/>
      <c r="CM128" s="4"/>
      <c r="CN128" s="4"/>
      <c r="CO128" s="4"/>
      <c r="CP128" s="4"/>
      <c r="CQ128" s="4"/>
      <c r="CR128" s="4"/>
      <c r="CS128" s="4"/>
      <c r="CT128" s="4"/>
      <c r="CU128" s="4"/>
      <c r="CV128" s="4"/>
      <c r="CW128" s="4"/>
      <c r="CX128" s="4"/>
      <c r="CY128" s="4"/>
      <c r="CZ128" s="4"/>
      <c r="DA128" s="4"/>
      <c r="DB128" s="4"/>
      <c r="DC128" s="4"/>
      <c r="DD128" s="4"/>
      <c r="DE128" s="4"/>
      <c r="DF128" s="4"/>
      <c r="DG128" s="4"/>
      <c r="DH128" s="4"/>
      <c r="DI128" s="4">
        <v>0.66793779212430138</v>
      </c>
      <c r="DJ128" s="4">
        <v>0.6773238651677207</v>
      </c>
      <c r="DK128" s="4"/>
      <c r="DL128" s="4"/>
      <c r="DM128" s="4"/>
      <c r="DN128" s="4"/>
      <c r="DO128" s="4"/>
      <c r="DP128" s="4"/>
      <c r="DQ128" s="3">
        <v>1.9566640836237579</v>
      </c>
      <c r="DR128">
        <f t="shared" si="2"/>
        <v>3</v>
      </c>
      <c r="DS128" s="4">
        <f t="shared" si="3"/>
        <v>2.8571428571428571E-2</v>
      </c>
    </row>
    <row r="129" spans="1:123" x14ac:dyDescent="0.25">
      <c r="A129" t="s">
        <v>128</v>
      </c>
      <c r="B129" t="s">
        <v>37</v>
      </c>
      <c r="C129" t="s">
        <v>38</v>
      </c>
      <c r="D129" t="s">
        <v>18</v>
      </c>
      <c r="E129" t="s">
        <v>39</v>
      </c>
      <c r="F129">
        <v>0.66652657242365443</v>
      </c>
      <c r="G129">
        <v>0.7830531448473087</v>
      </c>
      <c r="H129">
        <v>0.55000000000000004</v>
      </c>
      <c r="I129">
        <v>4730884600</v>
      </c>
      <c r="J129">
        <v>37</v>
      </c>
      <c r="K129">
        <v>8</v>
      </c>
      <c r="O129" s="2" t="s">
        <v>57</v>
      </c>
      <c r="P129" s="4">
        <v>0.66172204617050667</v>
      </c>
      <c r="Q129" s="4">
        <v>0.63052032683717896</v>
      </c>
      <c r="R129" s="4">
        <v>0.66554532262983712</v>
      </c>
      <c r="S129" s="4">
        <v>0.71788713834161533</v>
      </c>
      <c r="T129" s="4">
        <v>0.70924083276292638</v>
      </c>
      <c r="U129" s="4">
        <v>0.68302082295817323</v>
      </c>
      <c r="V129" s="4">
        <v>0.66394556424851325</v>
      </c>
      <c r="W129" s="4">
        <v>0.64077612253322891</v>
      </c>
      <c r="X129" s="4">
        <v>0.68153289415588969</v>
      </c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H129" s="4"/>
      <c r="CI129" s="4"/>
      <c r="CJ129" s="4"/>
      <c r="CK129" s="4"/>
      <c r="CL129" s="4"/>
      <c r="CM129" s="4"/>
      <c r="CN129" s="4">
        <v>0.56586844464135111</v>
      </c>
      <c r="CO129" s="4"/>
      <c r="CP129" s="4"/>
      <c r="CQ129" s="4"/>
      <c r="CR129" s="4"/>
      <c r="CS129" s="4"/>
      <c r="CT129" s="4"/>
      <c r="CU129" s="4"/>
      <c r="CV129" s="4"/>
      <c r="CW129" s="4"/>
      <c r="CX129" s="4"/>
      <c r="CY129" s="4"/>
      <c r="CZ129" s="4"/>
      <c r="DA129" s="4"/>
      <c r="DB129" s="4"/>
      <c r="DC129" s="4"/>
      <c r="DD129" s="4"/>
      <c r="DE129" s="4"/>
      <c r="DF129" s="4"/>
      <c r="DG129" s="4"/>
      <c r="DH129" s="4"/>
      <c r="DI129" s="4"/>
      <c r="DJ129" s="4"/>
      <c r="DK129" s="4"/>
      <c r="DL129" s="4"/>
      <c r="DM129" s="4"/>
      <c r="DN129" s="4"/>
      <c r="DO129" s="4"/>
      <c r="DP129" s="4"/>
      <c r="DQ129" s="3">
        <v>6.6200595152792214</v>
      </c>
      <c r="DR129">
        <f t="shared" si="2"/>
        <v>10</v>
      </c>
      <c r="DS129" s="4">
        <f t="shared" si="3"/>
        <v>9.5238095238095233E-2</v>
      </c>
    </row>
    <row r="130" spans="1:123" x14ac:dyDescent="0.25">
      <c r="A130" t="s">
        <v>128</v>
      </c>
      <c r="B130" t="s">
        <v>57</v>
      </c>
      <c r="C130" t="s">
        <v>58</v>
      </c>
      <c r="D130" t="s">
        <v>32</v>
      </c>
      <c r="E130" t="s">
        <v>59</v>
      </c>
      <c r="F130">
        <v>0.66394556424851325</v>
      </c>
      <c r="G130">
        <v>0.92789112849702649</v>
      </c>
      <c r="H130">
        <v>0.4</v>
      </c>
      <c r="I130">
        <v>25296684400</v>
      </c>
      <c r="J130">
        <v>64.8</v>
      </c>
      <c r="K130">
        <v>9</v>
      </c>
      <c r="O130" s="2" t="s">
        <v>321</v>
      </c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4"/>
      <c r="BD130" s="4"/>
      <c r="BE130" s="4"/>
      <c r="BF130" s="4">
        <v>0.58110574526643144</v>
      </c>
      <c r="BG130" s="4"/>
      <c r="BH130" s="4">
        <v>0.66305458372740245</v>
      </c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>
        <v>0.62714281944924666</v>
      </c>
      <c r="CC130" s="4"/>
      <c r="CD130" s="4"/>
      <c r="CE130" s="4"/>
      <c r="CF130" s="4"/>
      <c r="CG130" s="4"/>
      <c r="CH130" s="4"/>
      <c r="CI130" s="4"/>
      <c r="CJ130" s="4"/>
      <c r="CK130" s="4"/>
      <c r="CL130" s="4"/>
      <c r="CM130" s="4"/>
      <c r="CN130" s="4"/>
      <c r="CO130" s="4"/>
      <c r="CP130" s="4"/>
      <c r="CQ130" s="4"/>
      <c r="CR130" s="4"/>
      <c r="CS130" s="4"/>
      <c r="CT130" s="4"/>
      <c r="CU130" s="4"/>
      <c r="CV130" s="4"/>
      <c r="CW130" s="4"/>
      <c r="CX130" s="4"/>
      <c r="CY130" s="4"/>
      <c r="CZ130" s="4"/>
      <c r="DA130" s="4"/>
      <c r="DB130" s="4"/>
      <c r="DC130" s="4"/>
      <c r="DD130" s="4"/>
      <c r="DE130" s="4"/>
      <c r="DF130" s="4"/>
      <c r="DG130" s="4"/>
      <c r="DH130" s="4"/>
      <c r="DI130" s="4"/>
      <c r="DJ130" s="4"/>
      <c r="DK130" s="4"/>
      <c r="DL130" s="4"/>
      <c r="DM130" s="4"/>
      <c r="DN130" s="4"/>
      <c r="DO130" s="4"/>
      <c r="DP130" s="4"/>
      <c r="DQ130" s="3">
        <v>1.8713031484430807</v>
      </c>
      <c r="DR130">
        <f t="shared" si="2"/>
        <v>3</v>
      </c>
      <c r="DS130" s="4">
        <f t="shared" si="3"/>
        <v>2.8571428571428571E-2</v>
      </c>
    </row>
    <row r="131" spans="1:123" x14ac:dyDescent="0.25">
      <c r="A131" t="s">
        <v>128</v>
      </c>
      <c r="B131" t="s">
        <v>82</v>
      </c>
      <c r="C131" t="s">
        <v>83</v>
      </c>
      <c r="D131" t="s">
        <v>32</v>
      </c>
      <c r="E131" t="s">
        <v>39</v>
      </c>
      <c r="F131">
        <v>0.66090470921438782</v>
      </c>
      <c r="G131">
        <v>0.82180941842877575</v>
      </c>
      <c r="H131">
        <v>0.5</v>
      </c>
      <c r="I131">
        <v>29412546400</v>
      </c>
      <c r="J131">
        <v>14.95</v>
      </c>
      <c r="K131">
        <v>10</v>
      </c>
      <c r="O131" s="2" t="s">
        <v>525</v>
      </c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H131" s="4"/>
      <c r="CI131" s="4"/>
      <c r="CJ131" s="4"/>
      <c r="CK131" s="4"/>
      <c r="CL131" s="4"/>
      <c r="CM131" s="4"/>
      <c r="CN131" s="4"/>
      <c r="CO131" s="4"/>
      <c r="CP131" s="4"/>
      <c r="CQ131" s="4"/>
      <c r="CR131" s="4"/>
      <c r="CS131" s="4"/>
      <c r="CT131" s="4"/>
      <c r="CU131" s="4"/>
      <c r="CV131" s="4"/>
      <c r="CW131" s="4"/>
      <c r="CX131" s="4"/>
      <c r="CY131" s="4"/>
      <c r="CZ131" s="4"/>
      <c r="DA131" s="4"/>
      <c r="DB131" s="4"/>
      <c r="DC131" s="4"/>
      <c r="DD131" s="4"/>
      <c r="DE131" s="4"/>
      <c r="DF131" s="4"/>
      <c r="DG131" s="4"/>
      <c r="DH131" s="4"/>
      <c r="DI131" s="4"/>
      <c r="DJ131" s="4"/>
      <c r="DK131" s="4"/>
      <c r="DL131" s="4"/>
      <c r="DM131" s="4">
        <v>0.75685859012061818</v>
      </c>
      <c r="DN131" s="4"/>
      <c r="DO131" s="4"/>
      <c r="DP131" s="4"/>
      <c r="DQ131" s="3">
        <v>0.75685859012061818</v>
      </c>
      <c r="DR131">
        <f t="shared" ref="DR131:DR188" si="4">COUNT(P131:DP131)</f>
        <v>1</v>
      </c>
      <c r="DS131" s="4">
        <f t="shared" si="3"/>
        <v>9.5238095238095247E-3</v>
      </c>
    </row>
    <row r="132" spans="1:123" x14ac:dyDescent="0.25">
      <c r="A132" t="s">
        <v>128</v>
      </c>
      <c r="B132" t="s">
        <v>129</v>
      </c>
      <c r="C132" t="s">
        <v>130</v>
      </c>
      <c r="D132" t="s">
        <v>32</v>
      </c>
      <c r="E132" t="s">
        <v>131</v>
      </c>
      <c r="F132">
        <v>0.66061146548032257</v>
      </c>
      <c r="G132">
        <v>0.72122293096064527</v>
      </c>
      <c r="H132">
        <v>0.6</v>
      </c>
      <c r="I132">
        <v>13985586900</v>
      </c>
      <c r="J132">
        <v>18</v>
      </c>
      <c r="K132">
        <v>11</v>
      </c>
      <c r="O132" s="2" t="s">
        <v>318</v>
      </c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4"/>
      <c r="BD132" s="4"/>
      <c r="BE132" s="4">
        <v>0.55134861995532547</v>
      </c>
      <c r="BF132" s="4">
        <v>0.60432931810624546</v>
      </c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H132" s="4"/>
      <c r="CI132" s="4"/>
      <c r="CJ132" s="4"/>
      <c r="CK132" s="4"/>
      <c r="CL132" s="4"/>
      <c r="CM132" s="4"/>
      <c r="CN132" s="4"/>
      <c r="CO132" s="4"/>
      <c r="CP132" s="4"/>
      <c r="CQ132" s="4"/>
      <c r="CR132" s="4"/>
      <c r="CS132" s="4"/>
      <c r="CT132" s="4"/>
      <c r="CU132" s="4"/>
      <c r="CV132" s="4"/>
      <c r="CW132" s="4"/>
      <c r="CX132" s="4"/>
      <c r="CY132" s="4"/>
      <c r="CZ132" s="4"/>
      <c r="DA132" s="4"/>
      <c r="DB132" s="4"/>
      <c r="DC132" s="4"/>
      <c r="DD132" s="4"/>
      <c r="DE132" s="4"/>
      <c r="DF132" s="4"/>
      <c r="DG132" s="4"/>
      <c r="DH132" s="4"/>
      <c r="DI132" s="4"/>
      <c r="DJ132" s="4"/>
      <c r="DK132" s="4"/>
      <c r="DL132" s="4"/>
      <c r="DM132" s="4"/>
      <c r="DN132" s="4"/>
      <c r="DO132" s="4"/>
      <c r="DP132" s="4"/>
      <c r="DQ132" s="3">
        <v>1.1556779380615709</v>
      </c>
      <c r="DR132">
        <f t="shared" si="4"/>
        <v>2</v>
      </c>
      <c r="DS132" s="4">
        <f t="shared" ref="DS132:DS195" si="5">DR132/$DR$2</f>
        <v>1.9047619047619049E-2</v>
      </c>
    </row>
    <row r="133" spans="1:123" x14ac:dyDescent="0.25">
      <c r="A133" t="s">
        <v>128</v>
      </c>
      <c r="B133" t="s">
        <v>79</v>
      </c>
      <c r="C133" t="s">
        <v>80</v>
      </c>
      <c r="D133" t="s">
        <v>32</v>
      </c>
      <c r="E133" t="s">
        <v>59</v>
      </c>
      <c r="F133">
        <v>0.65757307448190605</v>
      </c>
      <c r="G133">
        <v>0.86514614896381214</v>
      </c>
      <c r="H133">
        <v>0.45</v>
      </c>
      <c r="I133">
        <v>17316340000</v>
      </c>
      <c r="J133">
        <v>82.2</v>
      </c>
      <c r="K133">
        <v>12</v>
      </c>
      <c r="O133" s="2" t="s">
        <v>380</v>
      </c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>
        <v>0.72212045675301217</v>
      </c>
      <c r="CA133" s="4">
        <v>0.66962836622283561</v>
      </c>
      <c r="CB133" s="4"/>
      <c r="CC133" s="4"/>
      <c r="CD133" s="4"/>
      <c r="CE133" s="4"/>
      <c r="CF133" s="4"/>
      <c r="CG133" s="4"/>
      <c r="CH133" s="4"/>
      <c r="CI133" s="4"/>
      <c r="CJ133" s="4"/>
      <c r="CK133" s="4"/>
      <c r="CL133" s="4"/>
      <c r="CM133" s="4"/>
      <c r="CN133" s="4"/>
      <c r="CO133" s="4"/>
      <c r="CP133" s="4"/>
      <c r="CQ133" s="4"/>
      <c r="CR133" s="4"/>
      <c r="CS133" s="4"/>
      <c r="CT133" s="4"/>
      <c r="CU133" s="4"/>
      <c r="CV133" s="4"/>
      <c r="CW133" s="4"/>
      <c r="CX133" s="4"/>
      <c r="CY133" s="4"/>
      <c r="CZ133" s="4"/>
      <c r="DA133" s="4"/>
      <c r="DB133" s="4"/>
      <c r="DC133" s="4"/>
      <c r="DD133" s="4"/>
      <c r="DE133" s="4"/>
      <c r="DF133" s="4"/>
      <c r="DG133" s="4">
        <v>0.69408774504325499</v>
      </c>
      <c r="DH133" s="4"/>
      <c r="DI133" s="4"/>
      <c r="DJ133" s="4">
        <v>0.70586840489621716</v>
      </c>
      <c r="DK133" s="4">
        <v>0.66915732722404764</v>
      </c>
      <c r="DL133" s="4"/>
      <c r="DM133" s="4"/>
      <c r="DN133" s="4"/>
      <c r="DO133" s="4"/>
      <c r="DP133" s="4"/>
      <c r="DQ133" s="3">
        <v>3.4608623001393672</v>
      </c>
      <c r="DR133">
        <f t="shared" si="4"/>
        <v>5</v>
      </c>
      <c r="DS133" s="4">
        <f t="shared" si="5"/>
        <v>4.7619047619047616E-2</v>
      </c>
    </row>
    <row r="134" spans="1:123" x14ac:dyDescent="0.25">
      <c r="A134" t="s">
        <v>128</v>
      </c>
      <c r="B134" t="s">
        <v>132</v>
      </c>
      <c r="C134" t="s">
        <v>133</v>
      </c>
      <c r="D134" t="s">
        <v>18</v>
      </c>
      <c r="E134" t="s">
        <v>134</v>
      </c>
      <c r="F134">
        <v>0.65706494754620826</v>
      </c>
      <c r="G134">
        <v>0.86412989509241656</v>
      </c>
      <c r="H134">
        <v>0.45</v>
      </c>
      <c r="I134">
        <v>2085326400</v>
      </c>
      <c r="J134">
        <v>13.8</v>
      </c>
      <c r="K134">
        <v>13</v>
      </c>
      <c r="O134" s="2" t="s">
        <v>433</v>
      </c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H134" s="4"/>
      <c r="CI134" s="4"/>
      <c r="CJ134" s="4"/>
      <c r="CK134" s="4"/>
      <c r="CL134" s="4">
        <v>0.55515970879731835</v>
      </c>
      <c r="CM134" s="4"/>
      <c r="CN134" s="4">
        <v>0.64165534734227059</v>
      </c>
      <c r="CO134" s="4">
        <v>0.54418532949866383</v>
      </c>
      <c r="CP134" s="4">
        <v>0.61045406369484523</v>
      </c>
      <c r="CQ134" s="4">
        <v>0.54898549857660028</v>
      </c>
      <c r="CR134" s="4">
        <v>0.59412811313068847</v>
      </c>
      <c r="CS134" s="4"/>
      <c r="CT134" s="4"/>
      <c r="CU134" s="4"/>
      <c r="CV134" s="4"/>
      <c r="CW134" s="4"/>
      <c r="CX134" s="4"/>
      <c r="CY134" s="4"/>
      <c r="CZ134" s="4"/>
      <c r="DA134" s="4"/>
      <c r="DB134" s="4"/>
      <c r="DC134" s="4"/>
      <c r="DD134" s="4"/>
      <c r="DE134" s="4"/>
      <c r="DF134" s="4"/>
      <c r="DG134" s="4"/>
      <c r="DH134" s="4"/>
      <c r="DI134" s="4"/>
      <c r="DJ134" s="4"/>
      <c r="DK134" s="4"/>
      <c r="DL134" s="4"/>
      <c r="DM134" s="4"/>
      <c r="DN134" s="4"/>
      <c r="DO134" s="4"/>
      <c r="DP134" s="4"/>
      <c r="DQ134" s="3">
        <v>3.4945680610403871</v>
      </c>
      <c r="DR134">
        <f t="shared" si="4"/>
        <v>6</v>
      </c>
      <c r="DS134" s="4">
        <f t="shared" si="5"/>
        <v>5.7142857142857141E-2</v>
      </c>
    </row>
    <row r="135" spans="1:123" x14ac:dyDescent="0.25">
      <c r="A135" t="s">
        <v>128</v>
      </c>
      <c r="B135" t="s">
        <v>30</v>
      </c>
      <c r="C135" t="s">
        <v>31</v>
      </c>
      <c r="D135" t="s">
        <v>32</v>
      </c>
      <c r="E135" t="s">
        <v>33</v>
      </c>
      <c r="F135">
        <v>0.65606156208364586</v>
      </c>
      <c r="G135">
        <v>0.81212312416729171</v>
      </c>
      <c r="H135">
        <v>0.5</v>
      </c>
      <c r="I135">
        <v>14919808700</v>
      </c>
      <c r="J135">
        <v>13.3</v>
      </c>
      <c r="K135">
        <v>14</v>
      </c>
      <c r="O135" s="2" t="s">
        <v>423</v>
      </c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H135" s="4"/>
      <c r="CI135" s="4">
        <v>0.6179817970641438</v>
      </c>
      <c r="CJ135" s="4"/>
      <c r="CK135" s="4">
        <v>0.58585549839375817</v>
      </c>
      <c r="CL135" s="4">
        <v>0.60394000724184538</v>
      </c>
      <c r="CM135" s="4"/>
      <c r="CN135" s="4">
        <v>0.67220871707429208</v>
      </c>
      <c r="CO135" s="4"/>
      <c r="CP135" s="4"/>
      <c r="CQ135" s="4"/>
      <c r="CR135" s="4"/>
      <c r="CS135" s="4"/>
      <c r="CT135" s="4"/>
      <c r="CU135" s="4"/>
      <c r="CV135" s="4"/>
      <c r="CW135" s="4"/>
      <c r="CX135" s="4"/>
      <c r="CY135" s="4"/>
      <c r="CZ135" s="4"/>
      <c r="DA135" s="4"/>
      <c r="DB135" s="4"/>
      <c r="DC135" s="4"/>
      <c r="DD135" s="4"/>
      <c r="DE135" s="4"/>
      <c r="DF135" s="4"/>
      <c r="DG135" s="4"/>
      <c r="DH135" s="4"/>
      <c r="DI135" s="4"/>
      <c r="DJ135" s="4"/>
      <c r="DK135" s="4"/>
      <c r="DL135" s="4"/>
      <c r="DM135" s="4"/>
      <c r="DN135" s="4"/>
      <c r="DO135" s="4"/>
      <c r="DP135" s="4"/>
      <c r="DQ135" s="3">
        <v>2.4799860197740395</v>
      </c>
      <c r="DR135">
        <f t="shared" si="4"/>
        <v>4</v>
      </c>
      <c r="DS135" s="4">
        <f t="shared" si="5"/>
        <v>3.8095238095238099E-2</v>
      </c>
    </row>
    <row r="136" spans="1:123" x14ac:dyDescent="0.25">
      <c r="A136" t="s">
        <v>128</v>
      </c>
      <c r="B136" t="s">
        <v>84</v>
      </c>
      <c r="C136" t="s">
        <v>85</v>
      </c>
      <c r="D136" t="s">
        <v>14</v>
      </c>
      <c r="E136" t="s">
        <v>42</v>
      </c>
      <c r="F136">
        <v>0.65385104881233402</v>
      </c>
      <c r="G136">
        <v>0.85770209762466809</v>
      </c>
      <c r="H136">
        <v>0.45</v>
      </c>
      <c r="I136">
        <v>7903219800</v>
      </c>
      <c r="J136">
        <v>138.5</v>
      </c>
      <c r="K136">
        <v>15</v>
      </c>
      <c r="O136" s="2" t="s">
        <v>397</v>
      </c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>
        <v>0.61016034625393101</v>
      </c>
      <c r="CC136" s="4"/>
      <c r="CD136" s="4">
        <v>0.57958893735568617</v>
      </c>
      <c r="CE136" s="4"/>
      <c r="CF136" s="4">
        <v>0.60035634090565382</v>
      </c>
      <c r="CG136" s="4"/>
      <c r="CH136" s="4">
        <v>0.60519541679999544</v>
      </c>
      <c r="CI136" s="4">
        <v>0.61428108899115397</v>
      </c>
      <c r="CJ136" s="4">
        <v>0.61943228842298359</v>
      </c>
      <c r="CK136" s="4">
        <v>0.67069468927152853</v>
      </c>
      <c r="CL136" s="4">
        <v>0.64058481703718351</v>
      </c>
      <c r="CM136" s="4">
        <v>0.75792504977334529</v>
      </c>
      <c r="CN136" s="4"/>
      <c r="CO136" s="4">
        <v>0.55738423269125037</v>
      </c>
      <c r="CP136" s="4"/>
      <c r="CQ136" s="4"/>
      <c r="CR136" s="4"/>
      <c r="CS136" s="4">
        <v>0.56792644285481708</v>
      </c>
      <c r="CT136" s="4"/>
      <c r="CU136" s="4"/>
      <c r="CV136" s="4">
        <v>0.60278063970974716</v>
      </c>
      <c r="CW136" s="4"/>
      <c r="CX136" s="4"/>
      <c r="CY136" s="4"/>
      <c r="CZ136" s="4"/>
      <c r="DA136" s="4"/>
      <c r="DB136" s="4"/>
      <c r="DC136" s="4"/>
      <c r="DD136" s="4"/>
      <c r="DE136" s="4"/>
      <c r="DF136" s="4"/>
      <c r="DG136" s="4"/>
      <c r="DH136" s="4"/>
      <c r="DI136" s="4"/>
      <c r="DJ136" s="4"/>
      <c r="DK136" s="4"/>
      <c r="DL136" s="4"/>
      <c r="DM136" s="4"/>
      <c r="DN136" s="4"/>
      <c r="DO136" s="4"/>
      <c r="DP136" s="4"/>
      <c r="DQ136" s="3">
        <v>7.4263102900672759</v>
      </c>
      <c r="DR136">
        <f t="shared" si="4"/>
        <v>12</v>
      </c>
      <c r="DS136" s="4">
        <f t="shared" si="5"/>
        <v>0.11428571428571428</v>
      </c>
    </row>
    <row r="137" spans="1:123" x14ac:dyDescent="0.25">
      <c r="A137" t="s">
        <v>128</v>
      </c>
      <c r="B137" t="s">
        <v>72</v>
      </c>
      <c r="C137" t="s">
        <v>73</v>
      </c>
      <c r="D137" t="s">
        <v>32</v>
      </c>
      <c r="E137" t="s">
        <v>74</v>
      </c>
      <c r="F137">
        <v>0.64173625831277259</v>
      </c>
      <c r="G137">
        <v>0.73347251662554502</v>
      </c>
      <c r="H137">
        <v>0.55000000000000004</v>
      </c>
      <c r="I137">
        <v>285008629100</v>
      </c>
      <c r="J137">
        <v>42.6</v>
      </c>
      <c r="K137">
        <v>16</v>
      </c>
      <c r="O137" s="2" t="s">
        <v>455</v>
      </c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H137" s="4"/>
      <c r="CI137" s="4"/>
      <c r="CJ137" s="4"/>
      <c r="CK137" s="4"/>
      <c r="CL137" s="4"/>
      <c r="CM137" s="4"/>
      <c r="CN137" s="4"/>
      <c r="CO137" s="4"/>
      <c r="CP137" s="4">
        <v>0.6157804525066759</v>
      </c>
      <c r="CQ137" s="4">
        <v>0.57954126761707214</v>
      </c>
      <c r="CR137" s="4">
        <v>0.59924175238515187</v>
      </c>
      <c r="CS137" s="4">
        <v>0.56296509519039373</v>
      </c>
      <c r="CT137" s="4"/>
      <c r="CU137" s="4"/>
      <c r="CV137" s="4">
        <v>0.58841967622284264</v>
      </c>
      <c r="CW137" s="4"/>
      <c r="CX137" s="4"/>
      <c r="CY137" s="4"/>
      <c r="CZ137" s="4"/>
      <c r="DA137" s="4"/>
      <c r="DB137" s="4"/>
      <c r="DC137" s="4"/>
      <c r="DD137" s="4"/>
      <c r="DE137" s="4"/>
      <c r="DF137" s="4"/>
      <c r="DG137" s="4"/>
      <c r="DH137" s="4"/>
      <c r="DI137" s="4"/>
      <c r="DJ137" s="4"/>
      <c r="DK137" s="4"/>
      <c r="DL137" s="4"/>
      <c r="DM137" s="4"/>
      <c r="DN137" s="4"/>
      <c r="DO137" s="4"/>
      <c r="DP137" s="4"/>
      <c r="DQ137" s="3">
        <v>2.9459482439221363</v>
      </c>
      <c r="DR137">
        <f t="shared" si="4"/>
        <v>5</v>
      </c>
      <c r="DS137" s="4">
        <f t="shared" si="5"/>
        <v>4.7619047619047616E-2</v>
      </c>
    </row>
    <row r="138" spans="1:123" x14ac:dyDescent="0.25">
      <c r="A138" t="s">
        <v>128</v>
      </c>
      <c r="B138" t="s">
        <v>106</v>
      </c>
      <c r="C138" t="s">
        <v>107</v>
      </c>
      <c r="D138" t="s">
        <v>32</v>
      </c>
      <c r="E138" t="s">
        <v>29</v>
      </c>
      <c r="F138">
        <v>0.63896774839423287</v>
      </c>
      <c r="G138">
        <v>0.67793549678846576</v>
      </c>
      <c r="H138">
        <v>0.6</v>
      </c>
      <c r="I138">
        <v>30414970400</v>
      </c>
      <c r="J138">
        <v>20.8</v>
      </c>
      <c r="K138">
        <v>17</v>
      </c>
      <c r="O138" s="2" t="s">
        <v>517</v>
      </c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H138" s="4"/>
      <c r="CI138" s="4"/>
      <c r="CJ138" s="4"/>
      <c r="CK138" s="4"/>
      <c r="CL138" s="4"/>
      <c r="CM138" s="4"/>
      <c r="CN138" s="4"/>
      <c r="CO138" s="4"/>
      <c r="CP138" s="4"/>
      <c r="CQ138" s="4"/>
      <c r="CR138" s="4"/>
      <c r="CS138" s="4"/>
      <c r="CT138" s="4"/>
      <c r="CU138" s="4"/>
      <c r="CV138" s="4"/>
      <c r="CW138" s="4"/>
      <c r="CX138" s="4"/>
      <c r="CY138" s="4"/>
      <c r="CZ138" s="4"/>
      <c r="DA138" s="4"/>
      <c r="DB138" s="4"/>
      <c r="DC138" s="4"/>
      <c r="DD138" s="4"/>
      <c r="DE138" s="4"/>
      <c r="DF138" s="4"/>
      <c r="DG138" s="4"/>
      <c r="DH138" s="4"/>
      <c r="DI138" s="4"/>
      <c r="DJ138" s="4"/>
      <c r="DK138" s="4">
        <v>0.69240220320362222</v>
      </c>
      <c r="DL138" s="4"/>
      <c r="DM138" s="4"/>
      <c r="DN138" s="4"/>
      <c r="DO138" s="4">
        <v>0.73579210841541132</v>
      </c>
      <c r="DP138" s="4">
        <v>0.76351905624400151</v>
      </c>
      <c r="DQ138" s="3">
        <v>2.1917133678630352</v>
      </c>
      <c r="DR138">
        <f t="shared" si="4"/>
        <v>3</v>
      </c>
      <c r="DS138" s="4">
        <f t="shared" si="5"/>
        <v>2.8571428571428571E-2</v>
      </c>
    </row>
    <row r="139" spans="1:123" x14ac:dyDescent="0.25">
      <c r="A139" t="s">
        <v>128</v>
      </c>
      <c r="B139" t="s">
        <v>118</v>
      </c>
      <c r="C139" t="s">
        <v>119</v>
      </c>
      <c r="D139" t="s">
        <v>32</v>
      </c>
      <c r="E139" t="s">
        <v>33</v>
      </c>
      <c r="F139">
        <v>0.63705315748752223</v>
      </c>
      <c r="G139">
        <v>0.87410631497504443</v>
      </c>
      <c r="H139">
        <v>0.4</v>
      </c>
      <c r="I139">
        <v>28854908200</v>
      </c>
      <c r="J139">
        <v>80.2</v>
      </c>
      <c r="K139">
        <v>18</v>
      </c>
      <c r="O139" s="2" t="s">
        <v>68</v>
      </c>
      <c r="P139" s="4"/>
      <c r="Q139" s="4">
        <v>0.66324478235572437</v>
      </c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H139" s="4"/>
      <c r="CI139" s="4"/>
      <c r="CJ139" s="4"/>
      <c r="CK139" s="4"/>
      <c r="CL139" s="4"/>
      <c r="CM139" s="4"/>
      <c r="CN139" s="4"/>
      <c r="CO139" s="4"/>
      <c r="CP139" s="4"/>
      <c r="CQ139" s="4"/>
      <c r="CR139" s="4"/>
      <c r="CS139" s="4"/>
      <c r="CT139" s="4"/>
      <c r="CU139" s="4"/>
      <c r="CV139" s="4"/>
      <c r="CW139" s="4"/>
      <c r="CX139" s="4"/>
      <c r="CY139" s="4"/>
      <c r="CZ139" s="4"/>
      <c r="DA139" s="4"/>
      <c r="DB139" s="4"/>
      <c r="DC139" s="4"/>
      <c r="DD139" s="4"/>
      <c r="DE139" s="4"/>
      <c r="DF139" s="4"/>
      <c r="DG139" s="4"/>
      <c r="DH139" s="4">
        <v>0.65249452363902716</v>
      </c>
      <c r="DI139" s="4">
        <v>0.67632886160794847</v>
      </c>
      <c r="DJ139" s="4"/>
      <c r="DK139" s="4"/>
      <c r="DL139" s="4"/>
      <c r="DM139" s="4"/>
      <c r="DN139" s="4"/>
      <c r="DO139" s="4"/>
      <c r="DP139" s="4"/>
      <c r="DQ139" s="3">
        <v>1.9920681676026999</v>
      </c>
      <c r="DR139">
        <f t="shared" si="4"/>
        <v>3</v>
      </c>
      <c r="DS139" s="4">
        <f t="shared" si="5"/>
        <v>2.8571428571428571E-2</v>
      </c>
    </row>
    <row r="140" spans="1:123" x14ac:dyDescent="0.25">
      <c r="A140" t="s">
        <v>128</v>
      </c>
      <c r="B140" t="s">
        <v>43</v>
      </c>
      <c r="C140" t="s">
        <v>44</v>
      </c>
      <c r="D140" t="s">
        <v>14</v>
      </c>
      <c r="E140" t="s">
        <v>15</v>
      </c>
      <c r="F140">
        <v>0.6313487983989805</v>
      </c>
      <c r="G140">
        <v>0.76269759679796112</v>
      </c>
      <c r="H140">
        <v>0.5</v>
      </c>
      <c r="I140">
        <v>2170662600</v>
      </c>
      <c r="J140">
        <v>22</v>
      </c>
      <c r="K140">
        <v>19</v>
      </c>
      <c r="O140" s="2" t="s">
        <v>395</v>
      </c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>
        <v>0.64042832463947774</v>
      </c>
      <c r="CC140" s="4"/>
      <c r="CD140" s="4"/>
      <c r="CE140" s="4"/>
      <c r="CF140" s="4"/>
      <c r="CG140" s="4"/>
      <c r="CH140" s="4"/>
      <c r="CI140" s="4"/>
      <c r="CJ140" s="4"/>
      <c r="CK140" s="4"/>
      <c r="CL140" s="4"/>
      <c r="CM140" s="4"/>
      <c r="CN140" s="4"/>
      <c r="CO140" s="4"/>
      <c r="CP140" s="4"/>
      <c r="CQ140" s="4"/>
      <c r="CR140" s="4"/>
      <c r="CS140" s="4"/>
      <c r="CT140" s="4"/>
      <c r="CU140" s="4"/>
      <c r="CV140" s="4"/>
      <c r="CW140" s="4"/>
      <c r="CX140" s="4"/>
      <c r="CY140" s="4"/>
      <c r="CZ140" s="4"/>
      <c r="DA140" s="4"/>
      <c r="DB140" s="4"/>
      <c r="DC140" s="4"/>
      <c r="DD140" s="4"/>
      <c r="DE140" s="4"/>
      <c r="DF140" s="4"/>
      <c r="DG140" s="4"/>
      <c r="DH140" s="4"/>
      <c r="DI140" s="4"/>
      <c r="DJ140" s="4"/>
      <c r="DK140" s="4"/>
      <c r="DL140" s="4"/>
      <c r="DM140" s="4"/>
      <c r="DN140" s="4"/>
      <c r="DO140" s="4"/>
      <c r="DP140" s="4"/>
      <c r="DQ140" s="3">
        <v>0.64042832463947774</v>
      </c>
      <c r="DR140">
        <f t="shared" si="4"/>
        <v>1</v>
      </c>
      <c r="DS140" s="4">
        <f t="shared" si="5"/>
        <v>9.5238095238095247E-3</v>
      </c>
    </row>
    <row r="141" spans="1:123" x14ac:dyDescent="0.25">
      <c r="A141" t="s">
        <v>128</v>
      </c>
      <c r="B141" t="s">
        <v>135</v>
      </c>
      <c r="C141" t="s">
        <v>136</v>
      </c>
      <c r="D141" t="s">
        <v>32</v>
      </c>
      <c r="E141" t="s">
        <v>29</v>
      </c>
      <c r="F141">
        <v>0.62965635676783549</v>
      </c>
      <c r="G141">
        <v>0.70931271353567105</v>
      </c>
      <c r="H141">
        <v>0.55000000000000004</v>
      </c>
      <c r="I141">
        <v>155241703000</v>
      </c>
      <c r="J141">
        <v>14.35</v>
      </c>
      <c r="K141">
        <v>20</v>
      </c>
      <c r="O141" s="2" t="s">
        <v>125</v>
      </c>
      <c r="P141" s="4"/>
      <c r="Q141" s="4"/>
      <c r="R141" s="4"/>
      <c r="S141" s="4"/>
      <c r="T141" s="4"/>
      <c r="U141" s="4">
        <v>0.63422055208177108</v>
      </c>
      <c r="V141" s="4"/>
      <c r="W141" s="4"/>
      <c r="X141" s="4"/>
      <c r="Y141" s="4">
        <v>0.59684167325567317</v>
      </c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H141" s="4"/>
      <c r="CI141" s="4"/>
      <c r="CJ141" s="4"/>
      <c r="CK141" s="4"/>
      <c r="CL141" s="4"/>
      <c r="CM141" s="4"/>
      <c r="CN141" s="4"/>
      <c r="CO141" s="4"/>
      <c r="CP141" s="4"/>
      <c r="CQ141" s="4"/>
      <c r="CR141" s="4"/>
      <c r="CS141" s="4"/>
      <c r="CT141" s="4"/>
      <c r="CU141" s="4"/>
      <c r="CV141" s="4"/>
      <c r="CW141" s="4"/>
      <c r="CX141" s="4"/>
      <c r="CY141" s="4"/>
      <c r="CZ141" s="4"/>
      <c r="DA141" s="4"/>
      <c r="DB141" s="4"/>
      <c r="DC141" s="4"/>
      <c r="DD141" s="4"/>
      <c r="DE141" s="4"/>
      <c r="DF141" s="4"/>
      <c r="DG141" s="4"/>
      <c r="DH141" s="4"/>
      <c r="DI141" s="4"/>
      <c r="DJ141" s="4"/>
      <c r="DK141" s="4"/>
      <c r="DL141" s="4"/>
      <c r="DM141" s="4"/>
      <c r="DN141" s="4"/>
      <c r="DO141" s="4"/>
      <c r="DP141" s="4">
        <v>0.68928819005717512</v>
      </c>
      <c r="DQ141" s="3">
        <v>1.9203504153946196</v>
      </c>
      <c r="DR141">
        <f t="shared" si="4"/>
        <v>3</v>
      </c>
      <c r="DS141" s="4">
        <f t="shared" si="5"/>
        <v>2.8571428571428571E-2</v>
      </c>
    </row>
    <row r="142" spans="1:123" x14ac:dyDescent="0.25">
      <c r="A142" t="s">
        <v>137</v>
      </c>
      <c r="B142" t="s">
        <v>75</v>
      </c>
      <c r="C142" t="s">
        <v>76</v>
      </c>
      <c r="D142" t="s">
        <v>18</v>
      </c>
      <c r="E142" t="s">
        <v>33</v>
      </c>
      <c r="F142">
        <v>0.85423250752487667</v>
      </c>
      <c r="G142">
        <v>0.85846501504975348</v>
      </c>
      <c r="H142">
        <v>0.85</v>
      </c>
      <c r="I142">
        <v>5435557600</v>
      </c>
      <c r="J142">
        <v>5.9</v>
      </c>
      <c r="K142">
        <v>1</v>
      </c>
      <c r="O142" s="2" t="s">
        <v>169</v>
      </c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>
        <v>0.8339077720541197</v>
      </c>
      <c r="AB142" s="4">
        <v>0.78189161514687555</v>
      </c>
      <c r="AC142" s="4">
        <v>0.86035053730224942</v>
      </c>
      <c r="AD142" s="4">
        <v>0.74668046183856962</v>
      </c>
      <c r="AE142" s="4">
        <v>0.73599155451984943</v>
      </c>
      <c r="AF142" s="4">
        <v>0.78147197683241498</v>
      </c>
      <c r="AG142" s="4">
        <v>0.70564084214314926</v>
      </c>
      <c r="AH142" s="4">
        <v>0.65775391702599184</v>
      </c>
      <c r="AI142" s="4">
        <v>0.65743595648861675</v>
      </c>
      <c r="AJ142" s="4">
        <v>0.63820101727447953</v>
      </c>
      <c r="AK142" s="4">
        <v>0.61140385253774088</v>
      </c>
      <c r="AL142" s="4">
        <v>0.71953226111094515</v>
      </c>
      <c r="AM142" s="4">
        <v>0.62583814745172517</v>
      </c>
      <c r="AN142" s="4">
        <v>0.59205479635952707</v>
      </c>
      <c r="AO142" s="4"/>
      <c r="AP142" s="4"/>
      <c r="AQ142" s="4"/>
      <c r="AR142" s="4"/>
      <c r="AS142" s="4"/>
      <c r="AT142" s="4"/>
      <c r="AU142" s="4"/>
      <c r="AV142" s="4"/>
      <c r="AW142" s="4">
        <v>0.57514669395429052</v>
      </c>
      <c r="AX142" s="4"/>
      <c r="AY142" s="4">
        <v>0.61802186807360093</v>
      </c>
      <c r="AZ142" s="4">
        <v>0.70259560158622625</v>
      </c>
      <c r="BA142" s="4">
        <v>0.71952931580553436</v>
      </c>
      <c r="BB142" s="4">
        <v>0.67599462020883383</v>
      </c>
      <c r="BC142" s="4">
        <v>0.60822604189360763</v>
      </c>
      <c r="BD142" s="4">
        <v>0.61612326838743781</v>
      </c>
      <c r="BE142" s="4">
        <v>0.64752527621427025</v>
      </c>
      <c r="BF142" s="4">
        <v>0.5730864933215859</v>
      </c>
      <c r="BG142" s="4"/>
      <c r="BH142" s="4">
        <v>0.58665667385153197</v>
      </c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H142" s="4"/>
      <c r="CI142" s="4"/>
      <c r="CJ142" s="4"/>
      <c r="CK142" s="4"/>
      <c r="CL142" s="4"/>
      <c r="CM142" s="4"/>
      <c r="CN142" s="4"/>
      <c r="CO142" s="4"/>
      <c r="CP142" s="4"/>
      <c r="CQ142" s="4"/>
      <c r="CR142" s="4"/>
      <c r="CS142" s="4"/>
      <c r="CT142" s="4"/>
      <c r="CU142" s="4"/>
      <c r="CV142" s="4"/>
      <c r="CW142" s="4"/>
      <c r="CX142" s="4"/>
      <c r="CY142" s="4"/>
      <c r="CZ142" s="4"/>
      <c r="DA142" s="4"/>
      <c r="DB142" s="4"/>
      <c r="DC142" s="4"/>
      <c r="DD142" s="4"/>
      <c r="DE142" s="4"/>
      <c r="DF142" s="4"/>
      <c r="DG142" s="4"/>
      <c r="DH142" s="4"/>
      <c r="DI142" s="4"/>
      <c r="DJ142" s="4"/>
      <c r="DK142" s="4"/>
      <c r="DL142" s="4"/>
      <c r="DM142" s="4"/>
      <c r="DN142" s="4"/>
      <c r="DO142" s="4"/>
      <c r="DP142" s="4"/>
      <c r="DQ142" s="3">
        <v>16.271060561383173</v>
      </c>
      <c r="DR142">
        <f t="shared" si="4"/>
        <v>24</v>
      </c>
      <c r="DS142" s="4">
        <f t="shared" si="5"/>
        <v>0.22857142857142856</v>
      </c>
    </row>
    <row r="143" spans="1:123" x14ac:dyDescent="0.25">
      <c r="A143" t="s">
        <v>137</v>
      </c>
      <c r="B143" t="s">
        <v>24</v>
      </c>
      <c r="C143" t="s">
        <v>25</v>
      </c>
      <c r="D143" t="s">
        <v>18</v>
      </c>
      <c r="E143" t="s">
        <v>26</v>
      </c>
      <c r="F143">
        <v>0.75351406777769814</v>
      </c>
      <c r="G143">
        <v>0.9070281355553963</v>
      </c>
      <c r="H143">
        <v>0.6</v>
      </c>
      <c r="I143">
        <v>6593049600</v>
      </c>
      <c r="J143">
        <v>13.2</v>
      </c>
      <c r="K143">
        <v>2</v>
      </c>
      <c r="O143" s="2" t="s">
        <v>296</v>
      </c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>
        <v>0.59889377918358</v>
      </c>
      <c r="BA143" s="4">
        <v>0.55378001732638893</v>
      </c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H143" s="4"/>
      <c r="CI143" s="4"/>
      <c r="CJ143" s="4"/>
      <c r="CK143" s="4"/>
      <c r="CL143" s="4"/>
      <c r="CM143" s="4"/>
      <c r="CN143" s="4"/>
      <c r="CO143" s="4"/>
      <c r="CP143" s="4"/>
      <c r="CQ143" s="4"/>
      <c r="CR143" s="4"/>
      <c r="CS143" s="4"/>
      <c r="CT143" s="4"/>
      <c r="CU143" s="4"/>
      <c r="CV143" s="4"/>
      <c r="CW143" s="4"/>
      <c r="CX143" s="4"/>
      <c r="CY143" s="4"/>
      <c r="CZ143" s="4"/>
      <c r="DA143" s="4"/>
      <c r="DB143" s="4"/>
      <c r="DC143" s="4"/>
      <c r="DD143" s="4"/>
      <c r="DE143" s="4"/>
      <c r="DF143" s="4"/>
      <c r="DG143" s="4"/>
      <c r="DH143" s="4"/>
      <c r="DI143" s="4"/>
      <c r="DJ143" s="4"/>
      <c r="DK143" s="4"/>
      <c r="DL143" s="4"/>
      <c r="DM143" s="4"/>
      <c r="DN143" s="4"/>
      <c r="DO143" s="4"/>
      <c r="DP143" s="4"/>
      <c r="DQ143" s="3">
        <v>1.1526737965099689</v>
      </c>
      <c r="DR143">
        <f t="shared" si="4"/>
        <v>2</v>
      </c>
      <c r="DS143" s="4">
        <f t="shared" si="5"/>
        <v>1.9047619047619049E-2</v>
      </c>
    </row>
    <row r="144" spans="1:123" x14ac:dyDescent="0.25">
      <c r="A144" t="s">
        <v>137</v>
      </c>
      <c r="B144" t="s">
        <v>45</v>
      </c>
      <c r="C144" t="s">
        <v>46</v>
      </c>
      <c r="D144" t="s">
        <v>14</v>
      </c>
      <c r="E144" t="s">
        <v>15</v>
      </c>
      <c r="F144">
        <v>0.74873113498644384</v>
      </c>
      <c r="G144">
        <v>0.89746226997288781</v>
      </c>
      <c r="H144">
        <v>0.6</v>
      </c>
      <c r="I144">
        <v>3411962000</v>
      </c>
      <c r="J144">
        <v>24</v>
      </c>
      <c r="K144">
        <v>3</v>
      </c>
      <c r="O144" s="2" t="s">
        <v>82</v>
      </c>
      <c r="P144" s="4"/>
      <c r="Q144" s="4"/>
      <c r="R144" s="4">
        <v>0.75296994109671056</v>
      </c>
      <c r="S144" s="4">
        <v>0.6599276543060042</v>
      </c>
      <c r="T144" s="4">
        <v>0.68173182303270607</v>
      </c>
      <c r="U144" s="4">
        <v>0.76061700659068054</v>
      </c>
      <c r="V144" s="4">
        <v>0.66090470921438782</v>
      </c>
      <c r="W144" s="4">
        <v>0.66141896150648338</v>
      </c>
      <c r="X144" s="4">
        <v>0.68802386550165706</v>
      </c>
      <c r="Y144" s="4">
        <v>0.68310889223599003</v>
      </c>
      <c r="Z144" s="4">
        <v>0.65652674133951483</v>
      </c>
      <c r="AA144" s="4">
        <v>0.65565076621970497</v>
      </c>
      <c r="AB144" s="4">
        <v>0.67788344120952027</v>
      </c>
      <c r="AC144" s="4"/>
      <c r="AD144" s="4">
        <v>0.66305152845888693</v>
      </c>
      <c r="AE144" s="4">
        <v>0.61086928256892858</v>
      </c>
      <c r="AF144" s="4">
        <v>0.58629502354719221</v>
      </c>
      <c r="AG144" s="4">
        <v>0.54845879781496121</v>
      </c>
      <c r="AH144" s="4">
        <v>0.56412032990355021</v>
      </c>
      <c r="AI144" s="4">
        <v>0.58058363820967351</v>
      </c>
      <c r="AJ144" s="4">
        <v>0.56617387907574956</v>
      </c>
      <c r="AK144" s="4">
        <v>0.64449091235026257</v>
      </c>
      <c r="AL144" s="4"/>
      <c r="AM144" s="4"/>
      <c r="AN144" s="4">
        <v>0.6102405073619982</v>
      </c>
      <c r="AO144" s="4">
        <v>0.56874891061027777</v>
      </c>
      <c r="AP144" s="4">
        <v>0.56178146364514847</v>
      </c>
      <c r="AQ144" s="4">
        <v>0.5955513818628051</v>
      </c>
      <c r="AR144" s="4"/>
      <c r="AS144" s="4">
        <v>0.59635467159248423</v>
      </c>
      <c r="AT144" s="4">
        <v>0.66222090775191123</v>
      </c>
      <c r="AU144" s="4">
        <v>0.68982170141653176</v>
      </c>
      <c r="AV144" s="4">
        <v>0.68560900216856191</v>
      </c>
      <c r="AW144" s="4">
        <v>0.77666531103674052</v>
      </c>
      <c r="AX144" s="4">
        <v>0.76098031439014679</v>
      </c>
      <c r="AY144" s="4">
        <v>0.82148374798195734</v>
      </c>
      <c r="AZ144" s="4">
        <v>0.83727150046902943</v>
      </c>
      <c r="BA144" s="4">
        <v>0.83404054801571625</v>
      </c>
      <c r="BB144" s="4">
        <v>0.80930977253103276</v>
      </c>
      <c r="BC144" s="4">
        <v>0.80414353051513066</v>
      </c>
      <c r="BD144" s="4">
        <v>0.80733881900210802</v>
      </c>
      <c r="BE144" s="4">
        <v>0.77090273943430243</v>
      </c>
      <c r="BF144" s="4">
        <v>0.75011499785354752</v>
      </c>
      <c r="BG144" s="4">
        <v>0.71897209877071877</v>
      </c>
      <c r="BH144" s="4">
        <v>0.6992432294461548</v>
      </c>
      <c r="BI144" s="4">
        <v>0.60583281206306627</v>
      </c>
      <c r="BJ144" s="4">
        <v>0.59165521913125452</v>
      </c>
      <c r="BK144" s="4">
        <v>0.61154408796345727</v>
      </c>
      <c r="BL144" s="4">
        <v>0.57625880238383975</v>
      </c>
      <c r="BM144" s="4">
        <v>0.57110299197332681</v>
      </c>
      <c r="BN144" s="4">
        <v>0.60699561585916506</v>
      </c>
      <c r="BO144" s="4">
        <v>0.65320627508476714</v>
      </c>
      <c r="BP144" s="4">
        <v>0.72369483742653951</v>
      </c>
      <c r="BQ144" s="4">
        <v>0.60255829108101244</v>
      </c>
      <c r="BR144" s="4">
        <v>0.62018692756091975</v>
      </c>
      <c r="BS144" s="4">
        <v>0.57229372329840122</v>
      </c>
      <c r="BT144" s="4">
        <v>0.59840308617050197</v>
      </c>
      <c r="BU144" s="4">
        <v>0.60867254041811492</v>
      </c>
      <c r="BV144" s="4">
        <v>0.60576310309359749</v>
      </c>
      <c r="BW144" s="4">
        <v>0.62574872758845346</v>
      </c>
      <c r="BX144" s="4">
        <v>0.63183025774327861</v>
      </c>
      <c r="BY144" s="4"/>
      <c r="BZ144" s="4"/>
      <c r="CA144" s="4"/>
      <c r="CB144" s="4"/>
      <c r="CC144" s="4"/>
      <c r="CD144" s="4">
        <v>0.65541922823471865</v>
      </c>
      <c r="CE144" s="4">
        <v>0.59223666449277879</v>
      </c>
      <c r="CF144" s="4">
        <v>0.59080256054025648</v>
      </c>
      <c r="CG144" s="4"/>
      <c r="CH144" s="4"/>
      <c r="CI144" s="4"/>
      <c r="CJ144" s="4">
        <v>0.62125654768155547</v>
      </c>
      <c r="CK144" s="4">
        <v>0.60855118623381654</v>
      </c>
      <c r="CL144" s="4">
        <v>0.57800940254147481</v>
      </c>
      <c r="CM144" s="4">
        <v>0.62692430922596587</v>
      </c>
      <c r="CN144" s="4">
        <v>0.62787185057324346</v>
      </c>
      <c r="CO144" s="4">
        <v>0.65056100092583924</v>
      </c>
      <c r="CP144" s="4">
        <v>0.67008091364126399</v>
      </c>
      <c r="CQ144" s="4">
        <v>0.65442136477950652</v>
      </c>
      <c r="CR144" s="4">
        <v>0.65089012306529681</v>
      </c>
      <c r="CS144" s="4">
        <v>0.60888012248904255</v>
      </c>
      <c r="CT144" s="4">
        <v>0.61125280773985669</v>
      </c>
      <c r="CU144" s="4">
        <v>0.6096742263363617</v>
      </c>
      <c r="CV144" s="4">
        <v>0.68753649814986995</v>
      </c>
      <c r="CW144" s="4">
        <v>0.62081578410928728</v>
      </c>
      <c r="CX144" s="4"/>
      <c r="CY144" s="4"/>
      <c r="CZ144" s="4"/>
      <c r="DA144" s="4"/>
      <c r="DB144" s="4"/>
      <c r="DC144" s="4"/>
      <c r="DD144" s="4"/>
      <c r="DE144" s="4"/>
      <c r="DF144" s="4"/>
      <c r="DG144" s="4"/>
      <c r="DH144" s="4"/>
      <c r="DI144" s="4"/>
      <c r="DJ144" s="4"/>
      <c r="DK144" s="4"/>
      <c r="DL144" s="4"/>
      <c r="DM144" s="4"/>
      <c r="DN144" s="4"/>
      <c r="DO144" s="4"/>
      <c r="DP144" s="4">
        <v>0.64751384608904017</v>
      </c>
      <c r="DQ144" s="3">
        <v>47.782048085727745</v>
      </c>
      <c r="DR144">
        <f t="shared" si="4"/>
        <v>73</v>
      </c>
      <c r="DS144" s="4">
        <f t="shared" si="5"/>
        <v>0.69523809523809521</v>
      </c>
    </row>
    <row r="145" spans="1:123" x14ac:dyDescent="0.25">
      <c r="A145" t="s">
        <v>137</v>
      </c>
      <c r="B145" t="s">
        <v>132</v>
      </c>
      <c r="C145" t="s">
        <v>133</v>
      </c>
      <c r="D145" t="s">
        <v>18</v>
      </c>
      <c r="E145" t="s">
        <v>134</v>
      </c>
      <c r="F145">
        <v>0.74505843439889641</v>
      </c>
      <c r="G145">
        <v>0.94011686879779266</v>
      </c>
      <c r="H145">
        <v>0.55000000000000004</v>
      </c>
      <c r="I145">
        <v>2282217800</v>
      </c>
      <c r="J145">
        <v>14.3</v>
      </c>
      <c r="K145">
        <v>4</v>
      </c>
      <c r="O145" s="2" t="s">
        <v>70</v>
      </c>
      <c r="P145" s="4"/>
      <c r="Q145" s="4">
        <v>0.64764236912735862</v>
      </c>
      <c r="R145" s="4"/>
      <c r="S145" s="4"/>
      <c r="T145" s="4"/>
      <c r="U145" s="4"/>
      <c r="V145" s="4"/>
      <c r="W145" s="4">
        <v>0.64001138491859055</v>
      </c>
      <c r="X145" s="4"/>
      <c r="Y145" s="4">
        <v>0.5930749478547801</v>
      </c>
      <c r="Z145" s="4">
        <v>0.62619611804985242</v>
      </c>
      <c r="AA145" s="4">
        <v>0.591208209843471</v>
      </c>
      <c r="AB145" s="4"/>
      <c r="AC145" s="4"/>
      <c r="AD145" s="4">
        <v>0.57330964289414832</v>
      </c>
      <c r="AE145" s="4">
        <v>0.56181503360643092</v>
      </c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>
        <v>0.71565277173860475</v>
      </c>
      <c r="BZ145" s="4">
        <v>0.68105380221487966</v>
      </c>
      <c r="CA145" s="4"/>
      <c r="CB145" s="4"/>
      <c r="CC145" s="4">
        <v>0.63429883874665638</v>
      </c>
      <c r="CD145" s="4"/>
      <c r="CE145" s="4"/>
      <c r="CF145" s="4"/>
      <c r="CG145" s="4"/>
      <c r="CH145" s="4">
        <v>0.62416338690170237</v>
      </c>
      <c r="CI145" s="4"/>
      <c r="CJ145" s="4"/>
      <c r="CK145" s="4"/>
      <c r="CL145" s="4">
        <v>0.65125215932485192</v>
      </c>
      <c r="CM145" s="4">
        <v>0.67758378760559035</v>
      </c>
      <c r="CN145" s="4">
        <v>0.65576389954738823</v>
      </c>
      <c r="CO145" s="4">
        <v>0.67250303934373035</v>
      </c>
      <c r="CP145" s="4">
        <v>0.70215087566573575</v>
      </c>
      <c r="CQ145" s="4">
        <v>0.70532803342669426</v>
      </c>
      <c r="CR145" s="4">
        <v>0.70778211028325544</v>
      </c>
      <c r="CS145" s="4"/>
      <c r="CT145" s="4"/>
      <c r="CU145" s="4"/>
      <c r="CV145" s="4"/>
      <c r="CW145" s="4"/>
      <c r="CX145" s="4">
        <v>0.59653273965737585</v>
      </c>
      <c r="CY145" s="4"/>
      <c r="CZ145" s="4"/>
      <c r="DA145" s="4"/>
      <c r="DB145" s="4">
        <v>0.61824529905558079</v>
      </c>
      <c r="DC145" s="4"/>
      <c r="DD145" s="4"/>
      <c r="DE145" s="4"/>
      <c r="DF145" s="4"/>
      <c r="DG145" s="4"/>
      <c r="DH145" s="4"/>
      <c r="DI145" s="4"/>
      <c r="DJ145" s="4"/>
      <c r="DK145" s="4"/>
      <c r="DL145" s="4"/>
      <c r="DM145" s="4"/>
      <c r="DN145" s="4"/>
      <c r="DO145" s="4"/>
      <c r="DP145" s="4"/>
      <c r="DQ145" s="3">
        <v>12.875568449806677</v>
      </c>
      <c r="DR145">
        <f t="shared" si="4"/>
        <v>20</v>
      </c>
      <c r="DS145" s="4">
        <f t="shared" si="5"/>
        <v>0.19047619047619047</v>
      </c>
    </row>
    <row r="146" spans="1:123" x14ac:dyDescent="0.25">
      <c r="A146" t="s">
        <v>137</v>
      </c>
      <c r="B146" t="s">
        <v>79</v>
      </c>
      <c r="C146" t="s">
        <v>80</v>
      </c>
      <c r="D146" t="s">
        <v>32</v>
      </c>
      <c r="E146" t="s">
        <v>59</v>
      </c>
      <c r="F146">
        <v>0.73680354846590879</v>
      </c>
      <c r="G146">
        <v>0.82360709693181755</v>
      </c>
      <c r="H146">
        <v>0.65</v>
      </c>
      <c r="I146">
        <v>17317813200</v>
      </c>
      <c r="J146">
        <v>81.7</v>
      </c>
      <c r="K146">
        <v>5</v>
      </c>
      <c r="O146" s="2" t="s">
        <v>145</v>
      </c>
      <c r="P146" s="4"/>
      <c r="Q146" s="4"/>
      <c r="R146" s="4"/>
      <c r="S146" s="4"/>
      <c r="T146" s="4"/>
      <c r="U146" s="4"/>
      <c r="V146" s="4"/>
      <c r="W146" s="4"/>
      <c r="X146" s="4">
        <v>0.6383354861606394</v>
      </c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H146" s="4"/>
      <c r="CI146" s="4"/>
      <c r="CJ146" s="4"/>
      <c r="CK146" s="4"/>
      <c r="CL146" s="4"/>
      <c r="CM146" s="4"/>
      <c r="CN146" s="4"/>
      <c r="CO146" s="4"/>
      <c r="CP146" s="4"/>
      <c r="CQ146" s="4"/>
      <c r="CR146" s="4"/>
      <c r="CS146" s="4"/>
      <c r="CT146" s="4"/>
      <c r="CU146" s="4"/>
      <c r="CV146" s="4"/>
      <c r="CW146" s="4">
        <v>0.64072197830646649</v>
      </c>
      <c r="CX146" s="4">
        <v>0.73674953528364306</v>
      </c>
      <c r="CY146" s="4"/>
      <c r="CZ146" s="4"/>
      <c r="DA146" s="4">
        <v>0.6151210735868814</v>
      </c>
      <c r="DB146" s="4"/>
      <c r="DC146" s="4"/>
      <c r="DD146" s="4"/>
      <c r="DE146" s="4"/>
      <c r="DF146" s="4"/>
      <c r="DG146" s="4"/>
      <c r="DH146" s="4"/>
      <c r="DI146" s="4"/>
      <c r="DJ146" s="4"/>
      <c r="DK146" s="4"/>
      <c r="DL146" s="4"/>
      <c r="DM146" s="4"/>
      <c r="DN146" s="4"/>
      <c r="DO146" s="4"/>
      <c r="DP146" s="4"/>
      <c r="DQ146" s="3">
        <v>2.6309280733376306</v>
      </c>
      <c r="DR146">
        <f t="shared" si="4"/>
        <v>4</v>
      </c>
      <c r="DS146" s="4">
        <f t="shared" si="5"/>
        <v>3.8095238095238099E-2</v>
      </c>
    </row>
    <row r="147" spans="1:123" x14ac:dyDescent="0.25">
      <c r="A147" t="s">
        <v>137</v>
      </c>
      <c r="B147" t="s">
        <v>110</v>
      </c>
      <c r="C147" t="s">
        <v>111</v>
      </c>
      <c r="D147" t="s">
        <v>32</v>
      </c>
      <c r="E147" t="s">
        <v>112</v>
      </c>
      <c r="F147">
        <v>0.73414705204588904</v>
      </c>
      <c r="G147">
        <v>0.96829410409177807</v>
      </c>
      <c r="H147">
        <v>0.5</v>
      </c>
      <c r="I147">
        <v>3607957300</v>
      </c>
      <c r="J147">
        <v>5.41</v>
      </c>
      <c r="K147">
        <v>6</v>
      </c>
      <c r="O147" s="2" t="s">
        <v>173</v>
      </c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>
        <v>0.58071834193734162</v>
      </c>
      <c r="AB147" s="4">
        <v>0.61474576685228954</v>
      </c>
      <c r="AC147" s="4">
        <v>0.60033403467241864</v>
      </c>
      <c r="AD147" s="4">
        <v>0.64778901663650901</v>
      </c>
      <c r="AE147" s="4">
        <v>0.72608912774286893</v>
      </c>
      <c r="AF147" s="4">
        <v>0.72397005735072462</v>
      </c>
      <c r="AG147" s="4">
        <v>0.74895327397091371</v>
      </c>
      <c r="AH147" s="4">
        <v>0.81085985588039544</v>
      </c>
      <c r="AI147" s="4">
        <v>0.80272419894368319</v>
      </c>
      <c r="AJ147" s="4">
        <v>0.77323919566835309</v>
      </c>
      <c r="AK147" s="4">
        <v>0.79037041816465103</v>
      </c>
      <c r="AL147" s="4">
        <v>0.79398037964319657</v>
      </c>
      <c r="AM147" s="4">
        <v>0.71953473700235726</v>
      </c>
      <c r="AN147" s="4">
        <v>0.65140537100760465</v>
      </c>
      <c r="AO147" s="4">
        <v>0.60436340799943966</v>
      </c>
      <c r="AP147" s="4">
        <v>0.63731473594790178</v>
      </c>
      <c r="AQ147" s="4">
        <v>0.63755036128522691</v>
      </c>
      <c r="AR147" s="4">
        <v>0.64411314591182312</v>
      </c>
      <c r="AS147" s="4">
        <v>0.66190774297057919</v>
      </c>
      <c r="AT147" s="4">
        <v>0.63365162003386544</v>
      </c>
      <c r="AU147" s="4">
        <v>0.62991083991793007</v>
      </c>
      <c r="AV147" s="4">
        <v>0.60118760521814418</v>
      </c>
      <c r="AW147" s="4">
        <v>0.62831782399465474</v>
      </c>
      <c r="AX147" s="4">
        <v>0.72532621618605819</v>
      </c>
      <c r="AY147" s="4">
        <v>0.67931667318781264</v>
      </c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>
        <v>0.61171817507419013</v>
      </c>
      <c r="BN147" s="4"/>
      <c r="BO147" s="4"/>
      <c r="BP147" s="4"/>
      <c r="BQ147" s="4"/>
      <c r="BR147" s="4"/>
      <c r="BS147" s="4"/>
      <c r="BT147" s="4"/>
      <c r="BU147" s="4"/>
      <c r="BV147" s="4">
        <v>0.60252218926639167</v>
      </c>
      <c r="BW147" s="4"/>
      <c r="BX147" s="4">
        <v>0.61982826189023699</v>
      </c>
      <c r="BY147" s="4">
        <v>0.64146071656671166</v>
      </c>
      <c r="BZ147" s="4">
        <v>0.62180277276593388</v>
      </c>
      <c r="CA147" s="4">
        <v>0.69671644627880414</v>
      </c>
      <c r="CB147" s="4"/>
      <c r="CC147" s="4">
        <v>0.65598324787912521</v>
      </c>
      <c r="CD147" s="4"/>
      <c r="CE147" s="4"/>
      <c r="CF147" s="4"/>
      <c r="CG147" s="4"/>
      <c r="CH147" s="4"/>
      <c r="CI147" s="4"/>
      <c r="CJ147" s="4"/>
      <c r="CK147" s="4"/>
      <c r="CL147" s="4"/>
      <c r="CM147" s="4"/>
      <c r="CN147" s="4"/>
      <c r="CO147" s="4"/>
      <c r="CP147" s="4"/>
      <c r="CQ147" s="4"/>
      <c r="CR147" s="4"/>
      <c r="CS147" s="4"/>
      <c r="CT147" s="4"/>
      <c r="CU147" s="4"/>
      <c r="CV147" s="4"/>
      <c r="CW147" s="4"/>
      <c r="CX147" s="4"/>
      <c r="CY147" s="4"/>
      <c r="CZ147" s="4"/>
      <c r="DA147" s="4"/>
      <c r="DB147" s="4"/>
      <c r="DC147" s="4"/>
      <c r="DD147" s="4"/>
      <c r="DE147" s="4"/>
      <c r="DF147" s="4"/>
      <c r="DG147" s="4"/>
      <c r="DH147" s="4"/>
      <c r="DI147" s="4"/>
      <c r="DJ147" s="4"/>
      <c r="DK147" s="4"/>
      <c r="DL147" s="4"/>
      <c r="DM147" s="4">
        <v>0.74981498610595998</v>
      </c>
      <c r="DN147" s="4"/>
      <c r="DO147" s="4">
        <v>0.75180153761656832</v>
      </c>
      <c r="DP147" s="4">
        <v>0.81041230649846152</v>
      </c>
      <c r="DQ147" s="3">
        <v>23.829734588069122</v>
      </c>
      <c r="DR147">
        <f t="shared" si="4"/>
        <v>35</v>
      </c>
      <c r="DS147" s="4">
        <f t="shared" si="5"/>
        <v>0.33333333333333331</v>
      </c>
    </row>
    <row r="148" spans="1:123" x14ac:dyDescent="0.25">
      <c r="A148" t="s">
        <v>137</v>
      </c>
      <c r="B148" t="s">
        <v>37</v>
      </c>
      <c r="C148" t="s">
        <v>38</v>
      </c>
      <c r="D148" t="s">
        <v>18</v>
      </c>
      <c r="E148" t="s">
        <v>39</v>
      </c>
      <c r="F148">
        <v>0.7275811830337231</v>
      </c>
      <c r="G148">
        <v>0.85516236606744622</v>
      </c>
      <c r="H148">
        <v>0.6</v>
      </c>
      <c r="I148">
        <v>4775689800</v>
      </c>
      <c r="J148">
        <v>37.6</v>
      </c>
      <c r="K148">
        <v>7</v>
      </c>
      <c r="O148" s="2" t="s">
        <v>234</v>
      </c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>
        <v>0.48228327484972489</v>
      </c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H148" s="4"/>
      <c r="CI148" s="4"/>
      <c r="CJ148" s="4"/>
      <c r="CK148" s="4"/>
      <c r="CL148" s="4"/>
      <c r="CM148" s="4"/>
      <c r="CN148" s="4"/>
      <c r="CO148" s="4"/>
      <c r="CP148" s="4"/>
      <c r="CQ148" s="4"/>
      <c r="CR148" s="4"/>
      <c r="CS148" s="4"/>
      <c r="CT148" s="4"/>
      <c r="CU148" s="4"/>
      <c r="CV148" s="4"/>
      <c r="CW148" s="4"/>
      <c r="CX148" s="4"/>
      <c r="CY148" s="4"/>
      <c r="CZ148" s="4"/>
      <c r="DA148" s="4"/>
      <c r="DB148" s="4"/>
      <c r="DC148" s="4"/>
      <c r="DD148" s="4"/>
      <c r="DE148" s="4"/>
      <c r="DF148" s="4"/>
      <c r="DG148" s="4"/>
      <c r="DH148" s="4"/>
      <c r="DI148" s="4"/>
      <c r="DJ148" s="4"/>
      <c r="DK148" s="4"/>
      <c r="DL148" s="4"/>
      <c r="DM148" s="4"/>
      <c r="DN148" s="4"/>
      <c r="DO148" s="4"/>
      <c r="DP148" s="4"/>
      <c r="DQ148" s="3">
        <v>0.48228327484972489</v>
      </c>
      <c r="DR148">
        <f t="shared" si="4"/>
        <v>1</v>
      </c>
      <c r="DS148" s="4">
        <f t="shared" si="5"/>
        <v>9.5238095238095247E-3</v>
      </c>
    </row>
    <row r="149" spans="1:123" x14ac:dyDescent="0.25">
      <c r="A149" t="s">
        <v>137</v>
      </c>
      <c r="B149" t="s">
        <v>138</v>
      </c>
      <c r="C149" t="s">
        <v>139</v>
      </c>
      <c r="D149" t="s">
        <v>32</v>
      </c>
      <c r="E149" t="s">
        <v>33</v>
      </c>
      <c r="F149">
        <v>0.71634506494168915</v>
      </c>
      <c r="G149">
        <v>0.88269012988337836</v>
      </c>
      <c r="H149">
        <v>0.55000000000000004</v>
      </c>
      <c r="I149">
        <v>32390389600</v>
      </c>
      <c r="J149">
        <v>15.95</v>
      </c>
      <c r="K149">
        <v>8</v>
      </c>
      <c r="O149" s="2" t="s">
        <v>491</v>
      </c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H149" s="4"/>
      <c r="CI149" s="4"/>
      <c r="CJ149" s="4"/>
      <c r="CK149" s="4"/>
      <c r="CL149" s="4"/>
      <c r="CM149" s="4"/>
      <c r="CN149" s="4"/>
      <c r="CO149" s="4"/>
      <c r="CP149" s="4"/>
      <c r="CQ149" s="4"/>
      <c r="CR149" s="4"/>
      <c r="CS149" s="4"/>
      <c r="CT149" s="4"/>
      <c r="CU149" s="4"/>
      <c r="CV149" s="4"/>
      <c r="CW149" s="4"/>
      <c r="CX149" s="4"/>
      <c r="CY149" s="4">
        <v>0.57928013967843928</v>
      </c>
      <c r="CZ149" s="4"/>
      <c r="DA149" s="4"/>
      <c r="DB149" s="4">
        <v>0.64161847116413218</v>
      </c>
      <c r="DC149" s="4"/>
      <c r="DD149" s="4">
        <v>0.67908363034549835</v>
      </c>
      <c r="DE149" s="4">
        <v>0.78847922025855477</v>
      </c>
      <c r="DF149" s="4">
        <v>0.7949552751003105</v>
      </c>
      <c r="DG149" s="4">
        <v>0.81629431174562317</v>
      </c>
      <c r="DH149" s="4">
        <v>0.72902566970052907</v>
      </c>
      <c r="DI149" s="4">
        <v>0.83741449418216884</v>
      </c>
      <c r="DJ149" s="4">
        <v>0.81494067496177391</v>
      </c>
      <c r="DK149" s="4">
        <v>0.76244809026121907</v>
      </c>
      <c r="DL149" s="4">
        <v>0.79299947990136188</v>
      </c>
      <c r="DM149" s="4"/>
      <c r="DN149" s="4">
        <v>0.71978606079378471</v>
      </c>
      <c r="DO149" s="4"/>
      <c r="DP149" s="4"/>
      <c r="DQ149" s="3">
        <v>8.9563255180933954</v>
      </c>
      <c r="DR149">
        <f t="shared" si="4"/>
        <v>12</v>
      </c>
      <c r="DS149" s="4">
        <f t="shared" si="5"/>
        <v>0.11428571428571428</v>
      </c>
    </row>
    <row r="150" spans="1:123" x14ac:dyDescent="0.25">
      <c r="A150" t="s">
        <v>137</v>
      </c>
      <c r="B150" t="s">
        <v>84</v>
      </c>
      <c r="C150" t="s">
        <v>85</v>
      </c>
      <c r="D150" t="s">
        <v>14</v>
      </c>
      <c r="E150" t="s">
        <v>42</v>
      </c>
      <c r="F150">
        <v>0.71575268087534871</v>
      </c>
      <c r="G150">
        <v>0.78150536175069751</v>
      </c>
      <c r="H150">
        <v>0.65</v>
      </c>
      <c r="I150">
        <v>8002411800</v>
      </c>
      <c r="J150">
        <v>137</v>
      </c>
      <c r="K150">
        <v>9</v>
      </c>
      <c r="O150" s="2" t="s">
        <v>86</v>
      </c>
      <c r="P150" s="4"/>
      <c r="Q150" s="4"/>
      <c r="R150" s="4">
        <v>0.683188118724955</v>
      </c>
      <c r="S150" s="4">
        <v>0.64186436491945931</v>
      </c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>
        <v>0.59305666337130913</v>
      </c>
      <c r="AN150" s="4">
        <v>0.56295344577504047</v>
      </c>
      <c r="AO150" s="4">
        <v>0.53788824250950928</v>
      </c>
      <c r="AP150" s="4">
        <v>0.45447214324780771</v>
      </c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H150" s="4"/>
      <c r="CI150" s="4"/>
      <c r="CJ150" s="4"/>
      <c r="CK150" s="4"/>
      <c r="CL150" s="4"/>
      <c r="CM150" s="4"/>
      <c r="CN150" s="4"/>
      <c r="CO150" s="4"/>
      <c r="CP150" s="4"/>
      <c r="CQ150" s="4"/>
      <c r="CR150" s="4"/>
      <c r="CS150" s="4"/>
      <c r="CT150" s="4"/>
      <c r="CU150" s="4"/>
      <c r="CV150" s="4"/>
      <c r="CW150" s="4"/>
      <c r="CX150" s="4"/>
      <c r="CY150" s="4"/>
      <c r="CZ150" s="4"/>
      <c r="DA150" s="4"/>
      <c r="DB150" s="4"/>
      <c r="DC150" s="4"/>
      <c r="DD150" s="4"/>
      <c r="DE150" s="4"/>
      <c r="DF150" s="4"/>
      <c r="DG150" s="4"/>
      <c r="DH150" s="4"/>
      <c r="DI150" s="4"/>
      <c r="DJ150" s="4"/>
      <c r="DK150" s="4"/>
      <c r="DL150" s="4"/>
      <c r="DM150" s="4"/>
      <c r="DN150" s="4"/>
      <c r="DO150" s="4"/>
      <c r="DP150" s="4"/>
      <c r="DQ150" s="3">
        <v>3.4734229785480806</v>
      </c>
      <c r="DR150">
        <f t="shared" si="4"/>
        <v>6</v>
      </c>
      <c r="DS150" s="4">
        <f t="shared" si="5"/>
        <v>5.7142857142857141E-2</v>
      </c>
    </row>
    <row r="151" spans="1:123" x14ac:dyDescent="0.25">
      <c r="A151" t="s">
        <v>137</v>
      </c>
      <c r="B151" t="s">
        <v>122</v>
      </c>
      <c r="C151" t="s">
        <v>123</v>
      </c>
      <c r="D151" t="s">
        <v>32</v>
      </c>
      <c r="E151" t="s">
        <v>124</v>
      </c>
      <c r="F151">
        <v>0.68980468684613183</v>
      </c>
      <c r="G151">
        <v>0.97960937369226364</v>
      </c>
      <c r="H151">
        <v>0.4</v>
      </c>
      <c r="I151">
        <v>38021413100</v>
      </c>
      <c r="J151">
        <v>71</v>
      </c>
      <c r="K151">
        <v>10</v>
      </c>
      <c r="O151" s="2" t="s">
        <v>115</v>
      </c>
      <c r="P151" s="4"/>
      <c r="Q151" s="4"/>
      <c r="R151" s="4"/>
      <c r="S151" s="4"/>
      <c r="T151" s="4">
        <v>0.62068420534880331</v>
      </c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H151" s="4"/>
      <c r="CI151" s="4"/>
      <c r="CJ151" s="4"/>
      <c r="CK151" s="4"/>
      <c r="CL151" s="4"/>
      <c r="CM151" s="4"/>
      <c r="CN151" s="4"/>
      <c r="CO151" s="4"/>
      <c r="CP151" s="4"/>
      <c r="CQ151" s="4"/>
      <c r="CR151" s="4"/>
      <c r="CS151" s="4"/>
      <c r="CT151" s="4"/>
      <c r="CU151" s="4"/>
      <c r="CV151" s="4"/>
      <c r="CW151" s="4"/>
      <c r="CX151" s="4"/>
      <c r="CY151" s="4"/>
      <c r="CZ151" s="4"/>
      <c r="DA151" s="4"/>
      <c r="DB151" s="4"/>
      <c r="DC151" s="4"/>
      <c r="DD151" s="4"/>
      <c r="DE151" s="4"/>
      <c r="DF151" s="4"/>
      <c r="DG151" s="4"/>
      <c r="DH151" s="4"/>
      <c r="DI151" s="4"/>
      <c r="DJ151" s="4"/>
      <c r="DK151" s="4"/>
      <c r="DL151" s="4"/>
      <c r="DM151" s="4"/>
      <c r="DN151" s="4"/>
      <c r="DO151" s="4"/>
      <c r="DP151" s="4"/>
      <c r="DQ151" s="3">
        <v>0.62068420534880331</v>
      </c>
      <c r="DR151">
        <f t="shared" si="4"/>
        <v>1</v>
      </c>
      <c r="DS151" s="4">
        <f t="shared" si="5"/>
        <v>9.5238095238095247E-3</v>
      </c>
    </row>
    <row r="152" spans="1:123" x14ac:dyDescent="0.25">
      <c r="A152" t="s">
        <v>137</v>
      </c>
      <c r="B152" t="s">
        <v>72</v>
      </c>
      <c r="C152" t="s">
        <v>73</v>
      </c>
      <c r="D152" t="s">
        <v>32</v>
      </c>
      <c r="E152" t="s">
        <v>74</v>
      </c>
      <c r="F152">
        <v>0.67630194821803358</v>
      </c>
      <c r="G152">
        <v>0.75260389643606718</v>
      </c>
      <c r="H152">
        <v>0.6</v>
      </c>
      <c r="I152">
        <v>290934889200</v>
      </c>
      <c r="J152">
        <v>42.65</v>
      </c>
      <c r="K152">
        <v>11</v>
      </c>
      <c r="O152" s="2" t="s">
        <v>278</v>
      </c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>
        <v>0.65101709159111154</v>
      </c>
      <c r="AX152" s="4">
        <v>0.62316143158482995</v>
      </c>
      <c r="AY152" s="4">
        <v>0.60502492902392691</v>
      </c>
      <c r="AZ152" s="4">
        <v>0.63848665103723623</v>
      </c>
      <c r="BA152" s="4">
        <v>0.59343450734283332</v>
      </c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>
        <v>0.64194254915141502</v>
      </c>
      <c r="BS152" s="4"/>
      <c r="BT152" s="4"/>
      <c r="BU152" s="4"/>
      <c r="BV152" s="4"/>
      <c r="BW152" s="4"/>
      <c r="BX152" s="4"/>
      <c r="BY152" s="4"/>
      <c r="BZ152" s="4">
        <v>0.62158685140148529</v>
      </c>
      <c r="CA152" s="4">
        <v>0.64070997584255929</v>
      </c>
      <c r="CB152" s="4"/>
      <c r="CC152" s="4"/>
      <c r="CD152" s="4"/>
      <c r="CE152" s="4"/>
      <c r="CF152" s="4"/>
      <c r="CG152" s="4"/>
      <c r="CH152" s="4"/>
      <c r="CI152" s="4"/>
      <c r="CJ152" s="4"/>
      <c r="CK152" s="4"/>
      <c r="CL152" s="4"/>
      <c r="CM152" s="4"/>
      <c r="CN152" s="4"/>
      <c r="CO152" s="4"/>
      <c r="CP152" s="4"/>
      <c r="CQ152" s="4"/>
      <c r="CR152" s="4"/>
      <c r="CS152" s="4"/>
      <c r="CT152" s="4"/>
      <c r="CU152" s="4"/>
      <c r="CV152" s="4"/>
      <c r="CW152" s="4"/>
      <c r="CX152" s="4"/>
      <c r="CY152" s="4"/>
      <c r="CZ152" s="4"/>
      <c r="DA152" s="4"/>
      <c r="DB152" s="4"/>
      <c r="DC152" s="4"/>
      <c r="DD152" s="4">
        <v>0.6854474198754712</v>
      </c>
      <c r="DE152" s="4">
        <v>0.7234546914953871</v>
      </c>
      <c r="DF152" s="4"/>
      <c r="DG152" s="4"/>
      <c r="DH152" s="4"/>
      <c r="DI152" s="4">
        <v>0.66799498844135452</v>
      </c>
      <c r="DJ152" s="4"/>
      <c r="DK152" s="4"/>
      <c r="DL152" s="4">
        <v>0.81063407472013749</v>
      </c>
      <c r="DM152" s="4">
        <v>0.89795268003004536</v>
      </c>
      <c r="DN152" s="4">
        <v>0.72921336264023839</v>
      </c>
      <c r="DO152" s="4">
        <v>0.71334822498256756</v>
      </c>
      <c r="DP152" s="4">
        <v>0.88018146925743701</v>
      </c>
      <c r="DQ152" s="3">
        <v>11.123590898418037</v>
      </c>
      <c r="DR152">
        <f t="shared" si="4"/>
        <v>16</v>
      </c>
      <c r="DS152" s="4">
        <f t="shared" si="5"/>
        <v>0.15238095238095239</v>
      </c>
    </row>
    <row r="153" spans="1:123" x14ac:dyDescent="0.25">
      <c r="A153" t="s">
        <v>137</v>
      </c>
      <c r="B153" t="s">
        <v>82</v>
      </c>
      <c r="C153" t="s">
        <v>83</v>
      </c>
      <c r="D153" t="s">
        <v>32</v>
      </c>
      <c r="E153" t="s">
        <v>39</v>
      </c>
      <c r="F153">
        <v>0.66141896150648338</v>
      </c>
      <c r="G153">
        <v>0.82283792301296688</v>
      </c>
      <c r="H153">
        <v>0.5</v>
      </c>
      <c r="I153">
        <v>29970418800</v>
      </c>
      <c r="J153">
        <v>15</v>
      </c>
      <c r="K153">
        <v>12</v>
      </c>
      <c r="O153" s="2" t="s">
        <v>494</v>
      </c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H153" s="4"/>
      <c r="CI153" s="4"/>
      <c r="CJ153" s="4"/>
      <c r="CK153" s="4"/>
      <c r="CL153" s="4"/>
      <c r="CM153" s="4"/>
      <c r="CN153" s="4"/>
      <c r="CO153" s="4"/>
      <c r="CP153" s="4"/>
      <c r="CQ153" s="4"/>
      <c r="CR153" s="4"/>
      <c r="CS153" s="4"/>
      <c r="CT153" s="4"/>
      <c r="CU153" s="4"/>
      <c r="CV153" s="4"/>
      <c r="CW153" s="4"/>
      <c r="CX153" s="4"/>
      <c r="CY153" s="4"/>
      <c r="CZ153" s="4">
        <v>0.65273073585713481</v>
      </c>
      <c r="DA153" s="4">
        <v>0.6499782860909068</v>
      </c>
      <c r="DB153" s="4">
        <v>0.74963282615435356</v>
      </c>
      <c r="DC153" s="4">
        <v>0.81510541898389199</v>
      </c>
      <c r="DD153" s="4">
        <v>0.85462021431436086</v>
      </c>
      <c r="DE153" s="4">
        <v>0.80783163316265583</v>
      </c>
      <c r="DF153" s="4">
        <v>0.83213885239249819</v>
      </c>
      <c r="DG153" s="4">
        <v>0.82781074477807137</v>
      </c>
      <c r="DH153" s="4">
        <v>0.79975997161763579</v>
      </c>
      <c r="DI153" s="4">
        <v>0.8267523024073915</v>
      </c>
      <c r="DJ153" s="4">
        <v>0.7748650939457371</v>
      </c>
      <c r="DK153" s="4">
        <v>0.81657068489061746</v>
      </c>
      <c r="DL153" s="4">
        <v>0.86370958008227805</v>
      </c>
      <c r="DM153" s="4">
        <v>0.84214372997089204</v>
      </c>
      <c r="DN153" s="4">
        <v>0.86211239755278579</v>
      </c>
      <c r="DO153" s="4">
        <v>0.75732328133420557</v>
      </c>
      <c r="DP153" s="4">
        <v>0.75588943527859209</v>
      </c>
      <c r="DQ153" s="3">
        <v>13.488975188814008</v>
      </c>
      <c r="DR153">
        <f t="shared" si="4"/>
        <v>17</v>
      </c>
      <c r="DS153" s="4">
        <f t="shared" si="5"/>
        <v>0.16190476190476191</v>
      </c>
    </row>
    <row r="154" spans="1:123" x14ac:dyDescent="0.25">
      <c r="A154" t="s">
        <v>137</v>
      </c>
      <c r="B154" t="s">
        <v>101</v>
      </c>
      <c r="C154" t="s">
        <v>102</v>
      </c>
      <c r="D154" t="s">
        <v>18</v>
      </c>
      <c r="E154" t="s">
        <v>15</v>
      </c>
      <c r="F154">
        <v>0.65903302482195381</v>
      </c>
      <c r="G154">
        <v>0.91806604964390748</v>
      </c>
      <c r="H154">
        <v>0.4</v>
      </c>
      <c r="I154">
        <v>2429006600</v>
      </c>
      <c r="J154">
        <v>69</v>
      </c>
      <c r="K154">
        <v>13</v>
      </c>
      <c r="O154" s="2" t="s">
        <v>152</v>
      </c>
      <c r="P154" s="4"/>
      <c r="Q154" s="4"/>
      <c r="R154" s="4"/>
      <c r="S154" s="4"/>
      <c r="T154" s="4"/>
      <c r="U154" s="4"/>
      <c r="V154" s="4"/>
      <c r="W154" s="4"/>
      <c r="X154" s="4"/>
      <c r="Y154" s="4">
        <v>0.62422400633653896</v>
      </c>
      <c r="Z154" s="4"/>
      <c r="AA154" s="4"/>
      <c r="AB154" s="4">
        <v>0.56484032978587195</v>
      </c>
      <c r="AC154" s="4"/>
      <c r="AD154" s="4"/>
      <c r="AE154" s="4">
        <v>0.57535882715883924</v>
      </c>
      <c r="AF154" s="4"/>
      <c r="AG154" s="4"/>
      <c r="AH154" s="4"/>
      <c r="AI154" s="4"/>
      <c r="AJ154" s="4"/>
      <c r="AK154" s="4"/>
      <c r="AL154" s="4"/>
      <c r="AM154" s="4"/>
      <c r="AN154" s="4"/>
      <c r="AO154" s="4">
        <v>0.47532858598290317</v>
      </c>
      <c r="AP154" s="4"/>
      <c r="AQ154" s="4"/>
      <c r="AR154" s="4"/>
      <c r="AS154" s="4"/>
      <c r="AT154" s="4"/>
      <c r="AU154" s="4"/>
      <c r="AV154" s="4"/>
      <c r="AW154" s="4"/>
      <c r="AX154" s="4">
        <v>0.59684297526585428</v>
      </c>
      <c r="AY154" s="4">
        <v>0.60199828540268341</v>
      </c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>
        <v>0.57313290330305178</v>
      </c>
      <c r="BK154" s="4">
        <v>0.55108857339392248</v>
      </c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>
        <v>0.65212682194862814</v>
      </c>
      <c r="CH154" s="4"/>
      <c r="CI154" s="4">
        <v>0.58861730394205158</v>
      </c>
      <c r="CJ154" s="4">
        <v>0.61955619859414757</v>
      </c>
      <c r="CK154" s="4">
        <v>0.72846900493508449</v>
      </c>
      <c r="CL154" s="4">
        <v>0.71869638702936567</v>
      </c>
      <c r="CM154" s="4">
        <v>0.60993363561357905</v>
      </c>
      <c r="CN154" s="4">
        <v>0.619068704946103</v>
      </c>
      <c r="CO154" s="4">
        <v>0.60238964741112666</v>
      </c>
      <c r="CP154" s="4">
        <v>0.65048689638642787</v>
      </c>
      <c r="CQ154" s="4">
        <v>0.60353479906198471</v>
      </c>
      <c r="CR154" s="4"/>
      <c r="CS154" s="4"/>
      <c r="CT154" s="4"/>
      <c r="CU154" s="4">
        <v>0.57954515802028617</v>
      </c>
      <c r="CV154" s="4"/>
      <c r="CW154" s="4"/>
      <c r="CX154" s="4"/>
      <c r="CY154" s="4"/>
      <c r="CZ154" s="4"/>
      <c r="DA154" s="4"/>
      <c r="DB154" s="4"/>
      <c r="DC154" s="4"/>
      <c r="DD154" s="4"/>
      <c r="DE154" s="4"/>
      <c r="DF154" s="4"/>
      <c r="DG154" s="4"/>
      <c r="DH154" s="4"/>
      <c r="DI154" s="4"/>
      <c r="DJ154" s="4"/>
      <c r="DK154" s="4"/>
      <c r="DL154" s="4"/>
      <c r="DM154" s="4"/>
      <c r="DN154" s="4"/>
      <c r="DO154" s="4"/>
      <c r="DP154" s="4"/>
      <c r="DQ154" s="3">
        <v>11.53523904451845</v>
      </c>
      <c r="DR154">
        <f t="shared" si="4"/>
        <v>19</v>
      </c>
      <c r="DS154" s="4">
        <f t="shared" si="5"/>
        <v>0.18095238095238095</v>
      </c>
    </row>
    <row r="155" spans="1:123" x14ac:dyDescent="0.25">
      <c r="A155" t="s">
        <v>137</v>
      </c>
      <c r="B155" t="s">
        <v>140</v>
      </c>
      <c r="C155" t="s">
        <v>141</v>
      </c>
      <c r="D155" t="s">
        <v>32</v>
      </c>
      <c r="E155" t="s">
        <v>26</v>
      </c>
      <c r="F155">
        <v>0.65692938037775972</v>
      </c>
      <c r="G155">
        <v>0.86385876075551948</v>
      </c>
      <c r="H155">
        <v>0.45</v>
      </c>
      <c r="I155">
        <v>7718914580</v>
      </c>
      <c r="J155">
        <v>11.55</v>
      </c>
      <c r="K155">
        <v>14</v>
      </c>
      <c r="O155" s="2" t="s">
        <v>280</v>
      </c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>
        <v>0.60711828879733742</v>
      </c>
      <c r="AX155" s="4">
        <v>0.69046304706616313</v>
      </c>
      <c r="AY155" s="4">
        <v>0.76656242258520746</v>
      </c>
      <c r="AZ155" s="4">
        <v>0.69578568766979076</v>
      </c>
      <c r="BA155" s="4">
        <v>0.64646375287337232</v>
      </c>
      <c r="BB155" s="4">
        <v>0.6675574232022139</v>
      </c>
      <c r="BC155" s="4">
        <v>0.60242541356079005</v>
      </c>
      <c r="BD155" s="4">
        <v>0.65091226523794887</v>
      </c>
      <c r="BE155" s="4">
        <v>0.55873780570007003</v>
      </c>
      <c r="BF155" s="4"/>
      <c r="BG155" s="4">
        <v>0.64215765719864082</v>
      </c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H155" s="4">
        <v>0.60461099828950071</v>
      </c>
      <c r="CI155" s="4"/>
      <c r="CJ155" s="4"/>
      <c r="CK155" s="4"/>
      <c r="CL155" s="4"/>
      <c r="CM155" s="4"/>
      <c r="CN155" s="4"/>
      <c r="CO155" s="4"/>
      <c r="CP155" s="4"/>
      <c r="CQ155" s="4"/>
      <c r="CR155" s="4"/>
      <c r="CS155" s="4"/>
      <c r="CT155" s="4"/>
      <c r="CU155" s="4"/>
      <c r="CV155" s="4"/>
      <c r="CW155" s="4"/>
      <c r="CX155" s="4"/>
      <c r="CY155" s="4"/>
      <c r="CZ155" s="4"/>
      <c r="DA155" s="4"/>
      <c r="DB155" s="4"/>
      <c r="DC155" s="4"/>
      <c r="DD155" s="4"/>
      <c r="DE155" s="4"/>
      <c r="DF155" s="4"/>
      <c r="DG155" s="4"/>
      <c r="DH155" s="4"/>
      <c r="DI155" s="4"/>
      <c r="DJ155" s="4"/>
      <c r="DK155" s="4"/>
      <c r="DL155" s="4"/>
      <c r="DM155" s="4"/>
      <c r="DN155" s="4"/>
      <c r="DO155" s="4"/>
      <c r="DP155" s="4"/>
      <c r="DQ155" s="3">
        <v>7.1327947621810353</v>
      </c>
      <c r="DR155">
        <f t="shared" si="4"/>
        <v>11</v>
      </c>
      <c r="DS155" s="4">
        <f t="shared" si="5"/>
        <v>0.10476190476190476</v>
      </c>
    </row>
    <row r="156" spans="1:123" x14ac:dyDescent="0.25">
      <c r="A156" t="s">
        <v>137</v>
      </c>
      <c r="B156" t="s">
        <v>99</v>
      </c>
      <c r="C156" t="s">
        <v>100</v>
      </c>
      <c r="D156" t="s">
        <v>32</v>
      </c>
      <c r="E156" t="s">
        <v>29</v>
      </c>
      <c r="F156">
        <v>0.6519876474561157</v>
      </c>
      <c r="G156">
        <v>0.90397529491223128</v>
      </c>
      <c r="H156">
        <v>0.4</v>
      </c>
      <c r="I156">
        <v>26833523400</v>
      </c>
      <c r="J156">
        <v>56.5</v>
      </c>
      <c r="K156">
        <v>15</v>
      </c>
      <c r="O156" s="2" t="s">
        <v>462</v>
      </c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H156" s="4"/>
      <c r="CI156" s="4"/>
      <c r="CJ156" s="4"/>
      <c r="CK156" s="4"/>
      <c r="CL156" s="4"/>
      <c r="CM156" s="4"/>
      <c r="CN156" s="4"/>
      <c r="CO156" s="4"/>
      <c r="CP156" s="4"/>
      <c r="CQ156" s="4">
        <v>0.57073472601150699</v>
      </c>
      <c r="CR156" s="4"/>
      <c r="CS156" s="4"/>
      <c r="CT156" s="4"/>
      <c r="CU156" s="4"/>
      <c r="CV156" s="4"/>
      <c r="CW156" s="4"/>
      <c r="CX156" s="4"/>
      <c r="CY156" s="4"/>
      <c r="CZ156" s="4"/>
      <c r="DA156" s="4"/>
      <c r="DB156" s="4"/>
      <c r="DC156" s="4"/>
      <c r="DD156" s="4"/>
      <c r="DE156" s="4"/>
      <c r="DF156" s="4"/>
      <c r="DG156" s="4"/>
      <c r="DH156" s="4"/>
      <c r="DI156" s="4"/>
      <c r="DJ156" s="4"/>
      <c r="DK156" s="4"/>
      <c r="DL156" s="4"/>
      <c r="DM156" s="4"/>
      <c r="DN156" s="4"/>
      <c r="DO156" s="4"/>
      <c r="DP156" s="4"/>
      <c r="DQ156" s="3">
        <v>0.57073472601150699</v>
      </c>
      <c r="DR156">
        <f t="shared" si="4"/>
        <v>1</v>
      </c>
      <c r="DS156" s="4">
        <f t="shared" si="5"/>
        <v>9.5238095238095247E-3</v>
      </c>
    </row>
    <row r="157" spans="1:123" x14ac:dyDescent="0.25">
      <c r="A157" t="s">
        <v>137</v>
      </c>
      <c r="B157" t="s">
        <v>120</v>
      </c>
      <c r="C157" t="s">
        <v>121</v>
      </c>
      <c r="D157" t="s">
        <v>32</v>
      </c>
      <c r="E157" t="s">
        <v>29</v>
      </c>
      <c r="F157">
        <v>0.64922428860567949</v>
      </c>
      <c r="G157">
        <v>0.698448577211359</v>
      </c>
      <c r="H157">
        <v>0.6</v>
      </c>
      <c r="I157">
        <v>250656750500</v>
      </c>
      <c r="J157">
        <v>39.25</v>
      </c>
      <c r="K157">
        <v>16</v>
      </c>
      <c r="O157" s="2" t="s">
        <v>368</v>
      </c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>
        <v>0.63038189277306389</v>
      </c>
      <c r="BW157" s="4">
        <v>0.59616889150149244</v>
      </c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H157" s="4"/>
      <c r="CI157" s="4"/>
      <c r="CJ157" s="4"/>
      <c r="CK157" s="4"/>
      <c r="CL157" s="4"/>
      <c r="CM157" s="4"/>
      <c r="CN157" s="4"/>
      <c r="CO157" s="4"/>
      <c r="CP157" s="4"/>
      <c r="CQ157" s="4"/>
      <c r="CR157" s="4"/>
      <c r="CS157" s="4">
        <v>0.62464688180035455</v>
      </c>
      <c r="CT157" s="4">
        <v>0.58292238143070718</v>
      </c>
      <c r="CU157" s="4">
        <v>0.6052756086275175</v>
      </c>
      <c r="CV157" s="4">
        <v>0.63093194638865358</v>
      </c>
      <c r="CW157" s="4">
        <v>0.65566689711696957</v>
      </c>
      <c r="CX157" s="4">
        <v>0.63844233082740187</v>
      </c>
      <c r="CY157" s="4"/>
      <c r="CZ157" s="4"/>
      <c r="DA157" s="4"/>
      <c r="DB157" s="4"/>
      <c r="DC157" s="4"/>
      <c r="DD157" s="4">
        <v>0.68068189197756657</v>
      </c>
      <c r="DE157" s="4">
        <v>0.70706371938906809</v>
      </c>
      <c r="DF157" s="4">
        <v>0.66765636700886466</v>
      </c>
      <c r="DG157" s="4"/>
      <c r="DH157" s="4">
        <v>0.68679594770699604</v>
      </c>
      <c r="DI157" s="4">
        <v>0.68679594770699604</v>
      </c>
      <c r="DJ157" s="4">
        <v>0.68679594770699604</v>
      </c>
      <c r="DK157" s="4">
        <v>0.68679594770699604</v>
      </c>
      <c r="DL157" s="4"/>
      <c r="DM157" s="4"/>
      <c r="DN157" s="4">
        <v>0.68679594770699604</v>
      </c>
      <c r="DO157" s="4">
        <v>0.68679594770699604</v>
      </c>
      <c r="DP157" s="4">
        <v>0.68679594770699604</v>
      </c>
      <c r="DQ157" s="3">
        <v>11.827410442790629</v>
      </c>
      <c r="DR157">
        <f t="shared" si="4"/>
        <v>18</v>
      </c>
      <c r="DS157" s="4">
        <f t="shared" si="5"/>
        <v>0.17142857142857143</v>
      </c>
    </row>
    <row r="158" spans="1:123" x14ac:dyDescent="0.25">
      <c r="A158" t="s">
        <v>137</v>
      </c>
      <c r="B158" t="s">
        <v>118</v>
      </c>
      <c r="C158" t="s">
        <v>119</v>
      </c>
      <c r="D158" t="s">
        <v>32</v>
      </c>
      <c r="E158" t="s">
        <v>33</v>
      </c>
      <c r="F158">
        <v>0.64905976096648477</v>
      </c>
      <c r="G158">
        <v>0.8981195219329694</v>
      </c>
      <c r="H158">
        <v>0.4</v>
      </c>
      <c r="I158">
        <v>29995806800</v>
      </c>
      <c r="J158">
        <v>80.599999999999994</v>
      </c>
      <c r="K158">
        <v>17</v>
      </c>
      <c r="O158" s="2" t="s">
        <v>445</v>
      </c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H158" s="4"/>
      <c r="CI158" s="4"/>
      <c r="CJ158" s="4"/>
      <c r="CK158" s="4"/>
      <c r="CL158" s="4"/>
      <c r="CM158" s="4"/>
      <c r="CN158" s="4"/>
      <c r="CO158" s="4">
        <v>0.63678483839496258</v>
      </c>
      <c r="CP158" s="4"/>
      <c r="CQ158" s="4"/>
      <c r="CR158" s="4">
        <v>0.6060577553959402</v>
      </c>
      <c r="CS158" s="4">
        <v>0.68713961080176666</v>
      </c>
      <c r="CT158" s="4">
        <v>0.68512069209150295</v>
      </c>
      <c r="CU158" s="4">
        <v>0.5599833709454064</v>
      </c>
      <c r="CV158" s="4">
        <v>0.61008714166757827</v>
      </c>
      <c r="CW158" s="4"/>
      <c r="CX158" s="4"/>
      <c r="CY158" s="4"/>
      <c r="CZ158" s="4">
        <v>0.64213822468281656</v>
      </c>
      <c r="DA158" s="4">
        <v>0.76822732343218847</v>
      </c>
      <c r="DB158" s="4">
        <v>0.69865452298909858</v>
      </c>
      <c r="DC158" s="4">
        <v>0.71175049110744637</v>
      </c>
      <c r="DD158" s="4">
        <v>0.69809345961483693</v>
      </c>
      <c r="DE158" s="4">
        <v>0.70027612104698878</v>
      </c>
      <c r="DF158" s="4"/>
      <c r="DG158" s="4"/>
      <c r="DH158" s="4"/>
      <c r="DI158" s="4"/>
      <c r="DJ158" s="4"/>
      <c r="DK158" s="4"/>
      <c r="DL158" s="4"/>
      <c r="DM158" s="4"/>
      <c r="DN158" s="4"/>
      <c r="DO158" s="4"/>
      <c r="DP158" s="4"/>
      <c r="DQ158" s="3">
        <v>8.0043135521705331</v>
      </c>
      <c r="DR158">
        <f t="shared" si="4"/>
        <v>12</v>
      </c>
      <c r="DS158" s="4">
        <f t="shared" si="5"/>
        <v>0.11428571428571428</v>
      </c>
    </row>
    <row r="159" spans="1:123" x14ac:dyDescent="0.25">
      <c r="A159" t="s">
        <v>137</v>
      </c>
      <c r="B159" t="s">
        <v>106</v>
      </c>
      <c r="C159" t="s">
        <v>107</v>
      </c>
      <c r="D159" t="s">
        <v>32</v>
      </c>
      <c r="E159" t="s">
        <v>29</v>
      </c>
      <c r="F159">
        <v>0.64245954908530933</v>
      </c>
      <c r="G159">
        <v>0.63491909817061853</v>
      </c>
      <c r="H159">
        <v>0.65</v>
      </c>
      <c r="I159">
        <v>30410489000</v>
      </c>
      <c r="J159">
        <v>20.7</v>
      </c>
      <c r="K159">
        <v>18</v>
      </c>
      <c r="O159" s="2" t="s">
        <v>354</v>
      </c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>
        <v>0.59995574395437912</v>
      </c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H159" s="4"/>
      <c r="CI159" s="4"/>
      <c r="CJ159" s="4"/>
      <c r="CK159" s="4"/>
      <c r="CL159" s="4"/>
      <c r="CM159" s="4"/>
      <c r="CN159" s="4"/>
      <c r="CO159" s="4"/>
      <c r="CP159" s="4"/>
      <c r="CQ159" s="4"/>
      <c r="CR159" s="4"/>
      <c r="CS159" s="4"/>
      <c r="CT159" s="4"/>
      <c r="CU159" s="4"/>
      <c r="CV159" s="4"/>
      <c r="CW159" s="4"/>
      <c r="CX159" s="4"/>
      <c r="CY159" s="4"/>
      <c r="CZ159" s="4"/>
      <c r="DA159" s="4"/>
      <c r="DB159" s="4"/>
      <c r="DC159" s="4">
        <v>0.71157903532528488</v>
      </c>
      <c r="DD159" s="4">
        <v>0.81000361482289585</v>
      </c>
      <c r="DE159" s="4">
        <v>0.76429466020882453</v>
      </c>
      <c r="DF159" s="4">
        <v>0.78929466020882444</v>
      </c>
      <c r="DG159" s="4">
        <v>0.71369691359015885</v>
      </c>
      <c r="DH159" s="4">
        <v>0.70961095621226911</v>
      </c>
      <c r="DI159" s="4">
        <v>0.67829080256070839</v>
      </c>
      <c r="DJ159" s="4"/>
      <c r="DK159" s="4">
        <v>0.71278717644045397</v>
      </c>
      <c r="DL159" s="4"/>
      <c r="DM159" s="4"/>
      <c r="DN159" s="4"/>
      <c r="DO159" s="4"/>
      <c r="DP159" s="4"/>
      <c r="DQ159" s="3">
        <v>6.4895135633237988</v>
      </c>
      <c r="DR159">
        <f t="shared" si="4"/>
        <v>9</v>
      </c>
      <c r="DS159" s="4">
        <f t="shared" si="5"/>
        <v>8.5714285714285715E-2</v>
      </c>
    </row>
    <row r="160" spans="1:123" x14ac:dyDescent="0.25">
      <c r="A160" t="s">
        <v>137</v>
      </c>
      <c r="B160" t="s">
        <v>57</v>
      </c>
      <c r="C160" t="s">
        <v>58</v>
      </c>
      <c r="D160" t="s">
        <v>32</v>
      </c>
      <c r="E160" t="s">
        <v>59</v>
      </c>
      <c r="F160">
        <v>0.64077612253322891</v>
      </c>
      <c r="G160">
        <v>0.8815522450664578</v>
      </c>
      <c r="H160">
        <v>0.4</v>
      </c>
      <c r="I160">
        <v>26282049600</v>
      </c>
      <c r="J160">
        <v>64.2</v>
      </c>
      <c r="K160">
        <v>19</v>
      </c>
      <c r="O160" s="2" t="s">
        <v>108</v>
      </c>
      <c r="P160" s="4"/>
      <c r="Q160" s="4"/>
      <c r="R160" s="4"/>
      <c r="S160" s="4"/>
      <c r="T160" s="4">
        <v>0.64860844611755053</v>
      </c>
      <c r="U160" s="4"/>
      <c r="V160" s="4"/>
      <c r="W160" s="4"/>
      <c r="X160" s="4"/>
      <c r="Y160" s="4"/>
      <c r="Z160" s="4">
        <v>0.6626893471375519</v>
      </c>
      <c r="AA160" s="4"/>
      <c r="AB160" s="4"/>
      <c r="AC160" s="4"/>
      <c r="AD160" s="4"/>
      <c r="AE160" s="4"/>
      <c r="AF160" s="4"/>
      <c r="AG160" s="4">
        <v>0.6113988653526321</v>
      </c>
      <c r="AH160" s="4">
        <v>0.61363210089653464</v>
      </c>
      <c r="AI160" s="4">
        <v>0.54697122526822795</v>
      </c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>
        <v>0.61739116897418378</v>
      </c>
      <c r="BZ160" s="4"/>
      <c r="CA160" s="4"/>
      <c r="CB160" s="4"/>
      <c r="CC160" s="4"/>
      <c r="CD160" s="4"/>
      <c r="CE160" s="4"/>
      <c r="CF160" s="4"/>
      <c r="CG160" s="4"/>
      <c r="CH160" s="4"/>
      <c r="CI160" s="4"/>
      <c r="CJ160" s="4"/>
      <c r="CK160" s="4"/>
      <c r="CL160" s="4"/>
      <c r="CM160" s="4"/>
      <c r="CN160" s="4"/>
      <c r="CO160" s="4"/>
      <c r="CP160" s="4"/>
      <c r="CQ160" s="4"/>
      <c r="CR160" s="4"/>
      <c r="CS160" s="4"/>
      <c r="CT160" s="4"/>
      <c r="CU160" s="4"/>
      <c r="CV160" s="4"/>
      <c r="CW160" s="4"/>
      <c r="CX160" s="4">
        <v>0.69494094248688021</v>
      </c>
      <c r="CY160" s="4">
        <v>0.77120147930794825</v>
      </c>
      <c r="CZ160" s="4">
        <v>0.81213283701345307</v>
      </c>
      <c r="DA160" s="4">
        <v>0.78084730244211253</v>
      </c>
      <c r="DB160" s="4">
        <v>0.70364387653438243</v>
      </c>
      <c r="DC160" s="4">
        <v>0.68568132517153424</v>
      </c>
      <c r="DD160" s="4">
        <v>0.74482991787196851</v>
      </c>
      <c r="DE160" s="4">
        <v>0.73782919862890073</v>
      </c>
      <c r="DF160" s="4"/>
      <c r="DG160" s="4">
        <v>0.7114698305982412</v>
      </c>
      <c r="DH160" s="4">
        <v>0.72254108327467237</v>
      </c>
      <c r="DI160" s="4">
        <v>0.70399804195640847</v>
      </c>
      <c r="DJ160" s="4">
        <v>0.74173039465888535</v>
      </c>
      <c r="DK160" s="4">
        <v>0.71599941247117571</v>
      </c>
      <c r="DL160" s="4">
        <v>0.74576897983247414</v>
      </c>
      <c r="DM160" s="4">
        <v>0.70351904702358536</v>
      </c>
      <c r="DN160" s="4"/>
      <c r="DO160" s="4"/>
      <c r="DP160" s="4"/>
      <c r="DQ160" s="3">
        <v>14.676824823019306</v>
      </c>
      <c r="DR160">
        <f t="shared" si="4"/>
        <v>21</v>
      </c>
      <c r="DS160" s="4">
        <f t="shared" si="5"/>
        <v>0.2</v>
      </c>
    </row>
    <row r="161" spans="1:123" x14ac:dyDescent="0.25">
      <c r="A161" t="s">
        <v>137</v>
      </c>
      <c r="B161" t="s">
        <v>70</v>
      </c>
      <c r="C161" t="s">
        <v>71</v>
      </c>
      <c r="D161" t="s">
        <v>32</v>
      </c>
      <c r="E161" t="s">
        <v>33</v>
      </c>
      <c r="F161">
        <v>0.64001138491859055</v>
      </c>
      <c r="G161">
        <v>0.93002276983718113</v>
      </c>
      <c r="H161">
        <v>0.35</v>
      </c>
      <c r="I161">
        <v>14683708660</v>
      </c>
      <c r="J161">
        <v>6.7</v>
      </c>
      <c r="K161">
        <v>20</v>
      </c>
      <c r="O161" s="2" t="s">
        <v>244</v>
      </c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>
        <v>0.4523613057622673</v>
      </c>
      <c r="AQ161" s="4">
        <v>0.47847728651493721</v>
      </c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H161" s="4"/>
      <c r="CI161" s="4"/>
      <c r="CJ161" s="4"/>
      <c r="CK161" s="4"/>
      <c r="CL161" s="4"/>
      <c r="CM161" s="4"/>
      <c r="CN161" s="4"/>
      <c r="CO161" s="4"/>
      <c r="CP161" s="4"/>
      <c r="CQ161" s="4"/>
      <c r="CR161" s="4"/>
      <c r="CS161" s="4"/>
      <c r="CT161" s="4"/>
      <c r="CU161" s="4"/>
      <c r="CV161" s="4"/>
      <c r="CW161" s="4"/>
      <c r="CX161" s="4"/>
      <c r="CY161" s="4"/>
      <c r="CZ161" s="4"/>
      <c r="DA161" s="4"/>
      <c r="DB161" s="4"/>
      <c r="DC161" s="4"/>
      <c r="DD161" s="4"/>
      <c r="DE161" s="4"/>
      <c r="DF161" s="4"/>
      <c r="DG161" s="4"/>
      <c r="DH161" s="4"/>
      <c r="DI161" s="4"/>
      <c r="DJ161" s="4"/>
      <c r="DK161" s="4"/>
      <c r="DL161" s="4"/>
      <c r="DM161" s="4"/>
      <c r="DN161" s="4"/>
      <c r="DO161" s="4"/>
      <c r="DP161" s="4"/>
      <c r="DQ161" s="3">
        <v>0.93083859227720445</v>
      </c>
      <c r="DR161">
        <f t="shared" si="4"/>
        <v>2</v>
      </c>
      <c r="DS161" s="4">
        <f t="shared" si="5"/>
        <v>1.9047619047619049E-2</v>
      </c>
    </row>
    <row r="162" spans="1:123" x14ac:dyDescent="0.25">
      <c r="A162" t="s">
        <v>142</v>
      </c>
      <c r="B162" t="s">
        <v>45</v>
      </c>
      <c r="C162" t="s">
        <v>46</v>
      </c>
      <c r="D162" t="s">
        <v>14</v>
      </c>
      <c r="E162" t="s">
        <v>15</v>
      </c>
      <c r="F162">
        <v>0.81770690816050839</v>
      </c>
      <c r="G162">
        <v>0.73541381632101677</v>
      </c>
      <c r="H162">
        <v>0.9</v>
      </c>
      <c r="I162">
        <v>3465090400</v>
      </c>
      <c r="J162">
        <v>22.6</v>
      </c>
      <c r="K162">
        <v>1</v>
      </c>
      <c r="O162" s="2" t="s">
        <v>30</v>
      </c>
      <c r="P162" s="4">
        <v>0.72582220381587637</v>
      </c>
      <c r="Q162" s="4"/>
      <c r="R162" s="4"/>
      <c r="S162" s="4"/>
      <c r="T162" s="4"/>
      <c r="U162" s="4">
        <v>0.73206998794578659</v>
      </c>
      <c r="V162" s="4">
        <v>0.65606156208364586</v>
      </c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H162" s="4"/>
      <c r="CI162" s="4"/>
      <c r="CJ162" s="4"/>
      <c r="CK162" s="4"/>
      <c r="CL162" s="4"/>
      <c r="CM162" s="4"/>
      <c r="CN162" s="4"/>
      <c r="CO162" s="4"/>
      <c r="CP162" s="4"/>
      <c r="CQ162" s="4"/>
      <c r="CR162" s="4"/>
      <c r="CS162" s="4"/>
      <c r="CT162" s="4"/>
      <c r="CU162" s="4"/>
      <c r="CV162" s="4"/>
      <c r="CW162" s="4"/>
      <c r="CX162" s="4"/>
      <c r="CY162" s="4"/>
      <c r="CZ162" s="4"/>
      <c r="DA162" s="4"/>
      <c r="DB162" s="4"/>
      <c r="DC162" s="4"/>
      <c r="DD162" s="4"/>
      <c r="DE162" s="4"/>
      <c r="DF162" s="4"/>
      <c r="DG162" s="4"/>
      <c r="DH162" s="4"/>
      <c r="DI162" s="4"/>
      <c r="DJ162" s="4"/>
      <c r="DK162" s="4"/>
      <c r="DL162" s="4"/>
      <c r="DM162" s="4"/>
      <c r="DN162" s="4"/>
      <c r="DO162" s="4"/>
      <c r="DP162" s="4"/>
      <c r="DQ162" s="3">
        <v>2.1139537538453088</v>
      </c>
      <c r="DR162">
        <f t="shared" si="4"/>
        <v>3</v>
      </c>
      <c r="DS162" s="4">
        <f t="shared" si="5"/>
        <v>2.8571428571428571E-2</v>
      </c>
    </row>
    <row r="163" spans="1:123" x14ac:dyDescent="0.25">
      <c r="A163" t="s">
        <v>142</v>
      </c>
      <c r="B163" t="s">
        <v>75</v>
      </c>
      <c r="C163" t="s">
        <v>76</v>
      </c>
      <c r="D163" t="s">
        <v>18</v>
      </c>
      <c r="E163" t="s">
        <v>33</v>
      </c>
      <c r="F163">
        <v>0.79823223722773029</v>
      </c>
      <c r="G163">
        <v>0.79646447445546054</v>
      </c>
      <c r="H163">
        <v>0.8</v>
      </c>
      <c r="I163">
        <v>5564866000</v>
      </c>
      <c r="J163">
        <v>5.7</v>
      </c>
      <c r="K163">
        <v>2</v>
      </c>
      <c r="O163" s="2" t="s">
        <v>377</v>
      </c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>
        <v>0.61541689053096205</v>
      </c>
      <c r="BZ163" s="4"/>
      <c r="CA163" s="4"/>
      <c r="CB163" s="4"/>
      <c r="CC163" s="4"/>
      <c r="CD163" s="4"/>
      <c r="CE163" s="4"/>
      <c r="CF163" s="4"/>
      <c r="CG163" s="4"/>
      <c r="CH163" s="4"/>
      <c r="CI163" s="4"/>
      <c r="CJ163" s="4">
        <v>0.63260656661246462</v>
      </c>
      <c r="CK163" s="4">
        <v>0.64368956581755232</v>
      </c>
      <c r="CL163" s="4">
        <v>0.69829848988820453</v>
      </c>
      <c r="CM163" s="4">
        <v>0.66750054854133944</v>
      </c>
      <c r="CN163" s="4">
        <v>0.57443788361712933</v>
      </c>
      <c r="CO163" s="4"/>
      <c r="CP163" s="4">
        <v>0.59032425381583697</v>
      </c>
      <c r="CQ163" s="4">
        <v>0.55376397648218667</v>
      </c>
      <c r="CR163" s="4"/>
      <c r="CS163" s="4">
        <v>0.5973376938920103</v>
      </c>
      <c r="CT163" s="4">
        <v>0.549132411004007</v>
      </c>
      <c r="CU163" s="4">
        <v>0.5701614690375334</v>
      </c>
      <c r="CV163" s="4"/>
      <c r="CW163" s="4">
        <v>0.64840366332909216</v>
      </c>
      <c r="CX163" s="4">
        <v>0.66958300731205433</v>
      </c>
      <c r="CY163" s="4">
        <v>0.6774536270105469</v>
      </c>
      <c r="CZ163" s="4">
        <v>0.75827441160914844</v>
      </c>
      <c r="DA163" s="4">
        <v>0.73119876037228204</v>
      </c>
      <c r="DB163" s="4">
        <v>0.68735353471888549</v>
      </c>
      <c r="DC163" s="4"/>
      <c r="DD163" s="4"/>
      <c r="DE163" s="4"/>
      <c r="DF163" s="4"/>
      <c r="DG163" s="4"/>
      <c r="DH163" s="4"/>
      <c r="DI163" s="4"/>
      <c r="DJ163" s="4"/>
      <c r="DK163" s="4"/>
      <c r="DL163" s="4"/>
      <c r="DM163" s="4"/>
      <c r="DN163" s="4"/>
      <c r="DO163" s="4"/>
      <c r="DP163" s="4"/>
      <c r="DQ163" s="3">
        <v>10.864936753591236</v>
      </c>
      <c r="DR163">
        <f t="shared" si="4"/>
        <v>17</v>
      </c>
      <c r="DS163" s="4">
        <f t="shared" si="5"/>
        <v>0.16190476190476191</v>
      </c>
    </row>
    <row r="164" spans="1:123" x14ac:dyDescent="0.25">
      <c r="A164" t="s">
        <v>142</v>
      </c>
      <c r="B164" t="s">
        <v>37</v>
      </c>
      <c r="C164" t="s">
        <v>38</v>
      </c>
      <c r="D164" t="s">
        <v>18</v>
      </c>
      <c r="E164" t="s">
        <v>39</v>
      </c>
      <c r="F164">
        <v>0.76514510951873693</v>
      </c>
      <c r="G164">
        <v>0.8302902190374738</v>
      </c>
      <c r="H164">
        <v>0.7</v>
      </c>
      <c r="I164">
        <v>4745943800</v>
      </c>
      <c r="J164">
        <v>37.799999999999997</v>
      </c>
      <c r="K164">
        <v>3</v>
      </c>
      <c r="O164" s="2" t="s">
        <v>255</v>
      </c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>
        <v>0.58620200418771717</v>
      </c>
      <c r="AS164" s="4"/>
      <c r="AT164" s="4"/>
      <c r="AU164" s="4">
        <v>0.64145140720380112</v>
      </c>
      <c r="AV164" s="4">
        <v>0.59327784820886975</v>
      </c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H164" s="4"/>
      <c r="CI164" s="4"/>
      <c r="CJ164" s="4"/>
      <c r="CK164" s="4"/>
      <c r="CL164" s="4"/>
      <c r="CM164" s="4"/>
      <c r="CN164" s="4"/>
      <c r="CO164" s="4"/>
      <c r="CP164" s="4"/>
      <c r="CQ164" s="4"/>
      <c r="CR164" s="4"/>
      <c r="CS164" s="4"/>
      <c r="CT164" s="4"/>
      <c r="CU164" s="4"/>
      <c r="CV164" s="4"/>
      <c r="CW164" s="4"/>
      <c r="CX164" s="4"/>
      <c r="CY164" s="4"/>
      <c r="CZ164" s="4"/>
      <c r="DA164" s="4"/>
      <c r="DB164" s="4"/>
      <c r="DC164" s="4"/>
      <c r="DD164" s="4"/>
      <c r="DE164" s="4"/>
      <c r="DF164" s="4"/>
      <c r="DG164" s="4"/>
      <c r="DH164" s="4"/>
      <c r="DI164" s="4"/>
      <c r="DJ164" s="4"/>
      <c r="DK164" s="4"/>
      <c r="DL164" s="4"/>
      <c r="DM164" s="4"/>
      <c r="DN164" s="4"/>
      <c r="DO164" s="4"/>
      <c r="DP164" s="4"/>
      <c r="DQ164" s="3">
        <v>1.8209312596003882</v>
      </c>
      <c r="DR164">
        <f t="shared" si="4"/>
        <v>3</v>
      </c>
      <c r="DS164" s="4">
        <f t="shared" si="5"/>
        <v>2.8571428571428571E-2</v>
      </c>
    </row>
    <row r="165" spans="1:123" x14ac:dyDescent="0.25">
      <c r="A165" t="s">
        <v>142</v>
      </c>
      <c r="B165" t="s">
        <v>132</v>
      </c>
      <c r="C165" t="s">
        <v>133</v>
      </c>
      <c r="D165" t="s">
        <v>18</v>
      </c>
      <c r="E165" t="s">
        <v>134</v>
      </c>
      <c r="F165">
        <v>0.73313830542043124</v>
      </c>
      <c r="G165">
        <v>0.91627661084086232</v>
      </c>
      <c r="H165">
        <v>0.55000000000000004</v>
      </c>
      <c r="I165">
        <v>2393180800</v>
      </c>
      <c r="J165">
        <v>14.2</v>
      </c>
      <c r="K165">
        <v>4</v>
      </c>
      <c r="O165" s="2" t="s">
        <v>226</v>
      </c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>
        <v>0.58955727874350794</v>
      </c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H165" s="4"/>
      <c r="CI165" s="4"/>
      <c r="CJ165" s="4"/>
      <c r="CK165" s="4"/>
      <c r="CL165" s="4"/>
      <c r="CM165" s="4"/>
      <c r="CN165" s="4"/>
      <c r="CO165" s="4"/>
      <c r="CP165" s="4"/>
      <c r="CQ165" s="4"/>
      <c r="CR165" s="4"/>
      <c r="CS165" s="4"/>
      <c r="CT165" s="4"/>
      <c r="CU165" s="4"/>
      <c r="CV165" s="4"/>
      <c r="CW165" s="4"/>
      <c r="CX165" s="4"/>
      <c r="CY165" s="4"/>
      <c r="CZ165" s="4"/>
      <c r="DA165" s="4"/>
      <c r="DB165" s="4"/>
      <c r="DC165" s="4"/>
      <c r="DD165" s="4"/>
      <c r="DE165" s="4"/>
      <c r="DF165" s="4"/>
      <c r="DG165" s="4"/>
      <c r="DH165" s="4"/>
      <c r="DI165" s="4"/>
      <c r="DJ165" s="4"/>
      <c r="DK165" s="4"/>
      <c r="DL165" s="4"/>
      <c r="DM165" s="4"/>
      <c r="DN165" s="4"/>
      <c r="DO165" s="4"/>
      <c r="DP165" s="4"/>
      <c r="DQ165" s="3">
        <v>0.58955727874350794</v>
      </c>
      <c r="DR165">
        <f t="shared" si="4"/>
        <v>1</v>
      </c>
      <c r="DS165" s="4">
        <f t="shared" si="5"/>
        <v>9.5238095238095247E-3</v>
      </c>
    </row>
    <row r="166" spans="1:123" x14ac:dyDescent="0.25">
      <c r="A166" t="s">
        <v>142</v>
      </c>
      <c r="B166" t="s">
        <v>110</v>
      </c>
      <c r="C166" t="s">
        <v>111</v>
      </c>
      <c r="D166" t="s">
        <v>32</v>
      </c>
      <c r="E166" t="s">
        <v>112</v>
      </c>
      <c r="F166">
        <v>0.73127182446223282</v>
      </c>
      <c r="G166">
        <v>0.96254364892446564</v>
      </c>
      <c r="H166">
        <v>0.5</v>
      </c>
      <c r="I166">
        <v>3674795380</v>
      </c>
      <c r="J166">
        <v>5.44</v>
      </c>
      <c r="K166">
        <v>5</v>
      </c>
      <c r="O166" s="2" t="s">
        <v>340</v>
      </c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>
        <v>0.66422018963644347</v>
      </c>
      <c r="BN166" s="4">
        <v>0.67464013877091666</v>
      </c>
      <c r="BO166" s="4">
        <v>0.72770565597159242</v>
      </c>
      <c r="BP166" s="4">
        <v>0.77217625716427973</v>
      </c>
      <c r="BQ166" s="4">
        <v>0.77460591708842119</v>
      </c>
      <c r="BR166" s="4">
        <v>0.78859405081982503</v>
      </c>
      <c r="BS166" s="4">
        <v>0.78578276051239881</v>
      </c>
      <c r="BT166" s="4">
        <v>0.73574612925511895</v>
      </c>
      <c r="BU166" s="4">
        <v>0.68064350358082515</v>
      </c>
      <c r="BV166" s="4">
        <v>0.68653052387798541</v>
      </c>
      <c r="BW166" s="4">
        <v>0.70214614402843645</v>
      </c>
      <c r="BX166" s="4">
        <v>0.6690171349415559</v>
      </c>
      <c r="BY166" s="4">
        <v>0.67591726048954404</v>
      </c>
      <c r="BZ166" s="4">
        <v>0.70189439859712932</v>
      </c>
      <c r="CA166" s="4">
        <v>0.70329982825043813</v>
      </c>
      <c r="CB166" s="4">
        <v>0.71724450137543938</v>
      </c>
      <c r="CC166" s="4">
        <v>0.66492680345574939</v>
      </c>
      <c r="CD166" s="4">
        <v>0.70585607262047945</v>
      </c>
      <c r="CE166" s="4">
        <v>0.67060798250711984</v>
      </c>
      <c r="CF166" s="4">
        <v>0.71140376833785579</v>
      </c>
      <c r="CG166" s="4">
        <v>0.6733039723286991</v>
      </c>
      <c r="CH166" s="4">
        <v>0.6300681969740356</v>
      </c>
      <c r="CI166" s="4">
        <v>0.60142763750110206</v>
      </c>
      <c r="CJ166" s="4">
        <v>0.65148538300532999</v>
      </c>
      <c r="CK166" s="4">
        <v>0.78382916602162078</v>
      </c>
      <c r="CL166" s="4">
        <v>0.75591314000099707</v>
      </c>
      <c r="CM166" s="4">
        <v>0.7536650658258498</v>
      </c>
      <c r="CN166" s="4">
        <v>0.71790114842557073</v>
      </c>
      <c r="CO166" s="4">
        <v>0.75729179876915254</v>
      </c>
      <c r="CP166" s="4">
        <v>0.80198100263808603</v>
      </c>
      <c r="CQ166" s="4">
        <v>0.86894754891562986</v>
      </c>
      <c r="CR166" s="4">
        <v>0.88846661183987807</v>
      </c>
      <c r="CS166" s="4">
        <v>0.89374856070115238</v>
      </c>
      <c r="CT166" s="4">
        <v>0.89386412779407787</v>
      </c>
      <c r="CU166" s="4">
        <v>0.89065983373067292</v>
      </c>
      <c r="CV166" s="4">
        <v>0.8824538142236007</v>
      </c>
      <c r="CW166" s="4">
        <v>0.8893928574168628</v>
      </c>
      <c r="CX166" s="4">
        <v>0.87707559702215798</v>
      </c>
      <c r="CY166" s="4">
        <v>0.85736023318260113</v>
      </c>
      <c r="CZ166" s="4"/>
      <c r="DA166" s="4"/>
      <c r="DB166" s="4"/>
      <c r="DC166" s="4"/>
      <c r="DD166" s="4"/>
      <c r="DE166" s="4"/>
      <c r="DF166" s="4"/>
      <c r="DG166" s="4"/>
      <c r="DH166" s="4"/>
      <c r="DI166" s="4"/>
      <c r="DJ166" s="4"/>
      <c r="DK166" s="4"/>
      <c r="DL166" s="4"/>
      <c r="DM166" s="4"/>
      <c r="DN166" s="4"/>
      <c r="DO166" s="4"/>
      <c r="DP166" s="4"/>
      <c r="DQ166" s="3">
        <v>29.281794717598636</v>
      </c>
      <c r="DR166">
        <f t="shared" si="4"/>
        <v>39</v>
      </c>
      <c r="DS166" s="4">
        <f t="shared" si="5"/>
        <v>0.37142857142857144</v>
      </c>
    </row>
    <row r="167" spans="1:123" x14ac:dyDescent="0.25">
      <c r="A167" t="s">
        <v>142</v>
      </c>
      <c r="B167" t="s">
        <v>24</v>
      </c>
      <c r="C167" t="s">
        <v>25</v>
      </c>
      <c r="D167" t="s">
        <v>18</v>
      </c>
      <c r="E167" t="s">
        <v>26</v>
      </c>
      <c r="F167">
        <v>0.72086058771094985</v>
      </c>
      <c r="G167">
        <v>0.84172117542189973</v>
      </c>
      <c r="H167">
        <v>0.6</v>
      </c>
      <c r="I167">
        <v>6667828800</v>
      </c>
      <c r="J167">
        <v>13.2</v>
      </c>
      <c r="K167">
        <v>6</v>
      </c>
      <c r="O167" s="2" t="s">
        <v>96</v>
      </c>
      <c r="P167" s="4"/>
      <c r="Q167" s="4"/>
      <c r="R167" s="4">
        <v>0.61139514216571045</v>
      </c>
      <c r="S167" s="4">
        <v>0.66472358326243197</v>
      </c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>
        <v>0.65497986445258594</v>
      </c>
      <c r="BI167" s="4"/>
      <c r="BJ167" s="4">
        <v>0.56695199388388073</v>
      </c>
      <c r="BK167" s="4"/>
      <c r="BL167" s="4">
        <v>0.57165667185420121</v>
      </c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H167" s="4"/>
      <c r="CI167" s="4"/>
      <c r="CJ167" s="4"/>
      <c r="CK167" s="4"/>
      <c r="CL167" s="4"/>
      <c r="CM167" s="4"/>
      <c r="CN167" s="4"/>
      <c r="CO167" s="4"/>
      <c r="CP167" s="4"/>
      <c r="CQ167" s="4"/>
      <c r="CR167" s="4"/>
      <c r="CS167" s="4"/>
      <c r="CT167" s="4"/>
      <c r="CU167" s="4"/>
      <c r="CV167" s="4"/>
      <c r="CW167" s="4"/>
      <c r="CX167" s="4"/>
      <c r="CY167" s="4"/>
      <c r="CZ167" s="4"/>
      <c r="DA167" s="4"/>
      <c r="DB167" s="4"/>
      <c r="DC167" s="4"/>
      <c r="DD167" s="4"/>
      <c r="DE167" s="4"/>
      <c r="DF167" s="4"/>
      <c r="DG167" s="4"/>
      <c r="DH167" s="4"/>
      <c r="DI167" s="4"/>
      <c r="DJ167" s="4"/>
      <c r="DK167" s="4"/>
      <c r="DL167" s="4"/>
      <c r="DM167" s="4"/>
      <c r="DN167" s="4"/>
      <c r="DO167" s="4"/>
      <c r="DP167" s="4"/>
      <c r="DQ167" s="3">
        <v>3.0697072556188103</v>
      </c>
      <c r="DR167">
        <f t="shared" si="4"/>
        <v>5</v>
      </c>
      <c r="DS167" s="4">
        <f t="shared" si="5"/>
        <v>4.7619047619047616E-2</v>
      </c>
    </row>
    <row r="168" spans="1:123" x14ac:dyDescent="0.25">
      <c r="A168" t="s">
        <v>142</v>
      </c>
      <c r="B168" t="s">
        <v>82</v>
      </c>
      <c r="C168" t="s">
        <v>83</v>
      </c>
      <c r="D168" t="s">
        <v>32</v>
      </c>
      <c r="E168" t="s">
        <v>39</v>
      </c>
      <c r="F168">
        <v>0.68802386550165706</v>
      </c>
      <c r="G168">
        <v>0.82604773100331408</v>
      </c>
      <c r="H168">
        <v>0.55000000000000004</v>
      </c>
      <c r="I168">
        <v>30729131000</v>
      </c>
      <c r="J168">
        <v>14.9</v>
      </c>
      <c r="K168">
        <v>7</v>
      </c>
      <c r="O168" s="2" t="s">
        <v>471</v>
      </c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H168" s="4"/>
      <c r="CI168" s="4"/>
      <c r="CJ168" s="4"/>
      <c r="CK168" s="4"/>
      <c r="CL168" s="4"/>
      <c r="CM168" s="4"/>
      <c r="CN168" s="4"/>
      <c r="CO168" s="4"/>
      <c r="CP168" s="4"/>
      <c r="CQ168" s="4"/>
      <c r="CR168" s="4"/>
      <c r="CS168" s="4"/>
      <c r="CT168" s="4">
        <v>0.59329120227616405</v>
      </c>
      <c r="CU168" s="4">
        <v>0.63107192666584933</v>
      </c>
      <c r="CV168" s="4">
        <v>0.60093521356658952</v>
      </c>
      <c r="CW168" s="4"/>
      <c r="CX168" s="4"/>
      <c r="CY168" s="4"/>
      <c r="CZ168" s="4"/>
      <c r="DA168" s="4"/>
      <c r="DB168" s="4"/>
      <c r="DC168" s="4"/>
      <c r="DD168" s="4"/>
      <c r="DE168" s="4"/>
      <c r="DF168" s="4"/>
      <c r="DG168" s="4"/>
      <c r="DH168" s="4"/>
      <c r="DI168" s="4"/>
      <c r="DJ168" s="4"/>
      <c r="DK168" s="4"/>
      <c r="DL168" s="4"/>
      <c r="DM168" s="4"/>
      <c r="DN168" s="4"/>
      <c r="DO168" s="4"/>
      <c r="DP168" s="4"/>
      <c r="DQ168" s="3">
        <v>1.8252983425086029</v>
      </c>
      <c r="DR168">
        <f t="shared" si="4"/>
        <v>3</v>
      </c>
      <c r="DS168" s="4">
        <f t="shared" si="5"/>
        <v>2.8571428571428571E-2</v>
      </c>
    </row>
    <row r="169" spans="1:123" x14ac:dyDescent="0.25">
      <c r="A169" t="s">
        <v>142</v>
      </c>
      <c r="B169" t="s">
        <v>122</v>
      </c>
      <c r="C169" t="s">
        <v>123</v>
      </c>
      <c r="D169" t="s">
        <v>32</v>
      </c>
      <c r="E169" t="s">
        <v>124</v>
      </c>
      <c r="F169">
        <v>0.68402720407670903</v>
      </c>
      <c r="G169">
        <v>0.96805440815341803</v>
      </c>
      <c r="H169">
        <v>0.4</v>
      </c>
      <c r="I169">
        <v>39171906700</v>
      </c>
      <c r="J169">
        <v>68</v>
      </c>
      <c r="K169">
        <v>8</v>
      </c>
      <c r="O169" s="2" t="s">
        <v>84</v>
      </c>
      <c r="P169" s="4"/>
      <c r="Q169" s="4"/>
      <c r="R169" s="4">
        <v>0.72820445323237604</v>
      </c>
      <c r="S169" s="4"/>
      <c r="T169" s="4">
        <v>0.64235618906039593</v>
      </c>
      <c r="U169" s="4">
        <v>0.70606664262090524</v>
      </c>
      <c r="V169" s="4">
        <v>0.65385104881233402</v>
      </c>
      <c r="W169" s="4">
        <v>0.71575268087534871</v>
      </c>
      <c r="X169" s="4">
        <v>0.66486777792298102</v>
      </c>
      <c r="Y169" s="4">
        <v>0.67135800412945934</v>
      </c>
      <c r="Z169" s="4">
        <v>0.67804488285816678</v>
      </c>
      <c r="AA169" s="4">
        <v>0.72046186464304651</v>
      </c>
      <c r="AB169" s="4">
        <v>0.68182285940225595</v>
      </c>
      <c r="AC169" s="4">
        <v>0.69505898400458821</v>
      </c>
      <c r="AD169" s="4">
        <v>0.71974584667062391</v>
      </c>
      <c r="AE169" s="4">
        <v>0.72172761388042805</v>
      </c>
      <c r="AF169" s="4">
        <v>0.71826135473360164</v>
      </c>
      <c r="AG169" s="4">
        <v>0.69186075636702693</v>
      </c>
      <c r="AH169" s="4">
        <v>0.55489496157131057</v>
      </c>
      <c r="AI169" s="4">
        <v>0.57037293858992966</v>
      </c>
      <c r="AJ169" s="4">
        <v>0.69036171583471084</v>
      </c>
      <c r="AK169" s="4">
        <v>0.65602257572769507</v>
      </c>
      <c r="AL169" s="4">
        <v>0.64054837203804627</v>
      </c>
      <c r="AM169" s="4">
        <v>0.72093124306559342</v>
      </c>
      <c r="AN169" s="4">
        <v>0.73216103873454053</v>
      </c>
      <c r="AO169" s="4"/>
      <c r="AP169" s="4"/>
      <c r="AQ169" s="4"/>
      <c r="AR169" s="4"/>
      <c r="AS169" s="4">
        <v>0.752986413500075</v>
      </c>
      <c r="AT169" s="4">
        <v>0.59503019821494429</v>
      </c>
      <c r="AU169" s="4">
        <v>0.69413226854399257</v>
      </c>
      <c r="AV169" s="4">
        <v>0.69938010453718569</v>
      </c>
      <c r="AW169" s="4">
        <v>0.60244684429247553</v>
      </c>
      <c r="AX169" s="4">
        <v>0.59763709957508837</v>
      </c>
      <c r="AY169" s="4">
        <v>0.67065595421448454</v>
      </c>
      <c r="AZ169" s="4">
        <v>0.60313075632713553</v>
      </c>
      <c r="BA169" s="4">
        <v>0.66048088891119794</v>
      </c>
      <c r="BB169" s="4">
        <v>0.71222321444693493</v>
      </c>
      <c r="BC169" s="4"/>
      <c r="BD169" s="4"/>
      <c r="BE169" s="4"/>
      <c r="BF169" s="4"/>
      <c r="BG169" s="4"/>
      <c r="BH169" s="4"/>
      <c r="BI169" s="4"/>
      <c r="BJ169" s="4"/>
      <c r="BK169" s="4">
        <v>0.5610046415806984</v>
      </c>
      <c r="BL169" s="4">
        <v>0.54289097192518976</v>
      </c>
      <c r="BM169" s="4">
        <v>0.68251649371727829</v>
      </c>
      <c r="BN169" s="4">
        <v>0.58989669814106416</v>
      </c>
      <c r="BO169" s="4"/>
      <c r="BP169" s="4"/>
      <c r="BQ169" s="4"/>
      <c r="BR169" s="4"/>
      <c r="BS169" s="4"/>
      <c r="BT169" s="4"/>
      <c r="BU169" s="4">
        <v>0.67862232142846479</v>
      </c>
      <c r="BV169" s="4">
        <v>0.61859951586924267</v>
      </c>
      <c r="BW169" s="4"/>
      <c r="BX169" s="4"/>
      <c r="BY169" s="4"/>
      <c r="BZ169" s="4"/>
      <c r="CA169" s="4">
        <v>0.62583579777938259</v>
      </c>
      <c r="CB169" s="4"/>
      <c r="CC169" s="4"/>
      <c r="CD169" s="4"/>
      <c r="CE169" s="4"/>
      <c r="CF169" s="4"/>
      <c r="CG169" s="4"/>
      <c r="CH169" s="4"/>
      <c r="CI169" s="4"/>
      <c r="CJ169" s="4"/>
      <c r="CK169" s="4"/>
      <c r="CL169" s="4"/>
      <c r="CM169" s="4"/>
      <c r="CN169" s="4"/>
      <c r="CO169" s="4"/>
      <c r="CP169" s="4"/>
      <c r="CQ169" s="4"/>
      <c r="CR169" s="4"/>
      <c r="CS169" s="4"/>
      <c r="CT169" s="4"/>
      <c r="CU169" s="4"/>
      <c r="CV169" s="4"/>
      <c r="CW169" s="4">
        <v>0.57803579463283183</v>
      </c>
      <c r="CX169" s="4"/>
      <c r="CY169" s="4">
        <v>0.58273479835939923</v>
      </c>
      <c r="CZ169" s="4"/>
      <c r="DA169" s="4"/>
      <c r="DB169" s="4"/>
      <c r="DC169" s="4">
        <v>0.65366160870470158</v>
      </c>
      <c r="DD169" s="4">
        <v>0.75959974494505156</v>
      </c>
      <c r="DE169" s="4"/>
      <c r="DF169" s="4"/>
      <c r="DG169" s="4"/>
      <c r="DH169" s="4"/>
      <c r="DI169" s="4"/>
      <c r="DJ169" s="4"/>
      <c r="DK169" s="4"/>
      <c r="DL169" s="4"/>
      <c r="DM169" s="4"/>
      <c r="DN169" s="4"/>
      <c r="DO169" s="4"/>
      <c r="DP169" s="4"/>
      <c r="DQ169" s="3">
        <v>28.436235934422193</v>
      </c>
      <c r="DR169">
        <f t="shared" si="4"/>
        <v>43</v>
      </c>
      <c r="DS169" s="4">
        <f t="shared" si="5"/>
        <v>0.40952380952380951</v>
      </c>
    </row>
    <row r="170" spans="1:123" x14ac:dyDescent="0.25">
      <c r="A170" t="s">
        <v>142</v>
      </c>
      <c r="B170" t="s">
        <v>57</v>
      </c>
      <c r="C170" t="s">
        <v>58</v>
      </c>
      <c r="D170" t="s">
        <v>32</v>
      </c>
      <c r="E170" t="s">
        <v>59</v>
      </c>
      <c r="F170">
        <v>0.68153289415588969</v>
      </c>
      <c r="G170">
        <v>0.91306578831177931</v>
      </c>
      <c r="H170">
        <v>0.45</v>
      </c>
      <c r="I170">
        <v>27597278600</v>
      </c>
      <c r="J170">
        <v>65.3</v>
      </c>
      <c r="K170">
        <v>9</v>
      </c>
      <c r="O170" s="2" t="s">
        <v>79</v>
      </c>
      <c r="P170" s="4"/>
      <c r="Q170" s="4">
        <v>0.61291045821141243</v>
      </c>
      <c r="R170" s="4"/>
      <c r="S170" s="4">
        <v>0.60078692147386337</v>
      </c>
      <c r="T170" s="4">
        <v>0.64591578767694058</v>
      </c>
      <c r="U170" s="4">
        <v>0.66582524391161002</v>
      </c>
      <c r="V170" s="4">
        <v>0.65757307448190605</v>
      </c>
      <c r="W170" s="4">
        <v>0.73680354846590879</v>
      </c>
      <c r="X170" s="4">
        <v>0.62917686164316233</v>
      </c>
      <c r="Y170" s="4"/>
      <c r="Z170" s="4"/>
      <c r="AA170" s="4"/>
      <c r="AB170" s="4"/>
      <c r="AC170" s="4"/>
      <c r="AD170" s="4"/>
      <c r="AE170" s="4"/>
      <c r="AF170" s="4">
        <v>0.84231674687018976</v>
      </c>
      <c r="AG170" s="4">
        <v>0.78771002555182412</v>
      </c>
      <c r="AH170" s="4">
        <v>0.82768794905187382</v>
      </c>
      <c r="AI170" s="4">
        <v>0.83633881358660589</v>
      </c>
      <c r="AJ170" s="4">
        <v>0.55564270691242879</v>
      </c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H170" s="4"/>
      <c r="CI170" s="4"/>
      <c r="CJ170" s="4"/>
      <c r="CK170" s="4"/>
      <c r="CL170" s="4"/>
      <c r="CM170" s="4"/>
      <c r="CN170" s="4"/>
      <c r="CO170" s="4"/>
      <c r="CP170" s="4"/>
      <c r="CQ170" s="4"/>
      <c r="CR170" s="4"/>
      <c r="CS170" s="4"/>
      <c r="CT170" s="4"/>
      <c r="CU170" s="4"/>
      <c r="CV170" s="4"/>
      <c r="CW170" s="4"/>
      <c r="CX170" s="4"/>
      <c r="CY170" s="4"/>
      <c r="CZ170" s="4"/>
      <c r="DA170" s="4"/>
      <c r="DB170" s="4"/>
      <c r="DC170" s="4"/>
      <c r="DD170" s="4"/>
      <c r="DE170" s="4"/>
      <c r="DF170" s="4"/>
      <c r="DG170" s="4"/>
      <c r="DH170" s="4"/>
      <c r="DI170" s="4"/>
      <c r="DJ170" s="4"/>
      <c r="DK170" s="4"/>
      <c r="DL170" s="4"/>
      <c r="DM170" s="4"/>
      <c r="DN170" s="4"/>
      <c r="DO170" s="4"/>
      <c r="DP170" s="4"/>
      <c r="DQ170" s="3">
        <v>8.3986881378377269</v>
      </c>
      <c r="DR170">
        <f t="shared" si="4"/>
        <v>12</v>
      </c>
      <c r="DS170" s="4">
        <f t="shared" si="5"/>
        <v>0.11428571428571428</v>
      </c>
    </row>
    <row r="171" spans="1:123" x14ac:dyDescent="0.25">
      <c r="A171" t="s">
        <v>142</v>
      </c>
      <c r="B171" t="s">
        <v>84</v>
      </c>
      <c r="C171" t="s">
        <v>85</v>
      </c>
      <c r="D171" t="s">
        <v>14</v>
      </c>
      <c r="E171" t="s">
        <v>42</v>
      </c>
      <c r="F171">
        <v>0.66486777792298102</v>
      </c>
      <c r="G171">
        <v>0.72973555584596206</v>
      </c>
      <c r="H171">
        <v>0.6</v>
      </c>
      <c r="I171">
        <v>8064900600</v>
      </c>
      <c r="J171">
        <v>136.4</v>
      </c>
      <c r="K171">
        <v>10</v>
      </c>
      <c r="O171" s="2" t="s">
        <v>268</v>
      </c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>
        <v>0.54202695618349805</v>
      </c>
      <c r="AU171" s="4">
        <v>0.59806292683143636</v>
      </c>
      <c r="AV171" s="4"/>
      <c r="AW171" s="4"/>
      <c r="AX171" s="4"/>
      <c r="AY171" s="4"/>
      <c r="AZ171" s="4"/>
      <c r="BA171" s="4"/>
      <c r="BB171" s="4"/>
      <c r="BC171" s="4"/>
      <c r="BD171" s="4">
        <v>0.57604197419223202</v>
      </c>
      <c r="BE171" s="4">
        <v>0.62085401423810471</v>
      </c>
      <c r="BF171" s="4">
        <v>0.5847612999008529</v>
      </c>
      <c r="BG171" s="4">
        <v>0.61995739894274959</v>
      </c>
      <c r="BH171" s="4">
        <v>0.64264390151632289</v>
      </c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  <c r="CI171" s="4"/>
      <c r="CJ171" s="4"/>
      <c r="CK171" s="4"/>
      <c r="CL171" s="4"/>
      <c r="CM171" s="4"/>
      <c r="CN171" s="4"/>
      <c r="CO171" s="4"/>
      <c r="CP171" s="4"/>
      <c r="CQ171" s="4"/>
      <c r="CR171" s="4"/>
      <c r="CS171" s="4"/>
      <c r="CT171" s="4"/>
      <c r="CU171" s="4"/>
      <c r="CV171" s="4"/>
      <c r="CW171" s="4"/>
      <c r="CX171" s="4"/>
      <c r="CY171" s="4"/>
      <c r="CZ171" s="4"/>
      <c r="DA171" s="4"/>
      <c r="DB171" s="4"/>
      <c r="DC171" s="4"/>
      <c r="DD171" s="4"/>
      <c r="DE171" s="4"/>
      <c r="DF171" s="4"/>
      <c r="DG171" s="4"/>
      <c r="DH171" s="4"/>
      <c r="DI171" s="4"/>
      <c r="DJ171" s="4"/>
      <c r="DK171" s="4"/>
      <c r="DL171" s="4"/>
      <c r="DM171" s="4"/>
      <c r="DN171" s="4"/>
      <c r="DO171" s="4"/>
      <c r="DP171" s="4"/>
      <c r="DQ171" s="3">
        <v>4.1843484718051958</v>
      </c>
      <c r="DR171">
        <f t="shared" si="4"/>
        <v>7</v>
      </c>
      <c r="DS171" s="4">
        <f t="shared" si="5"/>
        <v>6.6666666666666666E-2</v>
      </c>
    </row>
    <row r="172" spans="1:123" x14ac:dyDescent="0.25">
      <c r="A172" t="s">
        <v>142</v>
      </c>
      <c r="B172" t="s">
        <v>101</v>
      </c>
      <c r="C172" t="s">
        <v>102</v>
      </c>
      <c r="D172" t="s">
        <v>18</v>
      </c>
      <c r="E172" t="s">
        <v>15</v>
      </c>
      <c r="F172">
        <v>0.65602801745865413</v>
      </c>
      <c r="G172">
        <v>0.8620560349173082</v>
      </c>
      <c r="H172">
        <v>0.45</v>
      </c>
      <c r="I172">
        <v>2492204000</v>
      </c>
      <c r="J172">
        <v>65.099999999999994</v>
      </c>
      <c r="K172">
        <v>11</v>
      </c>
      <c r="O172" s="2" t="s">
        <v>481</v>
      </c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H172" s="4"/>
      <c r="CI172" s="4"/>
      <c r="CJ172" s="4"/>
      <c r="CK172" s="4"/>
      <c r="CL172" s="4"/>
      <c r="CM172" s="4"/>
      <c r="CN172" s="4"/>
      <c r="CO172" s="4"/>
      <c r="CP172" s="4"/>
      <c r="CQ172" s="4"/>
      <c r="CR172" s="4"/>
      <c r="CS172" s="4"/>
      <c r="CT172" s="4"/>
      <c r="CU172" s="4"/>
      <c r="CV172" s="4"/>
      <c r="CW172" s="4">
        <v>0.65024888650361645</v>
      </c>
      <c r="CX172" s="4">
        <v>0.70122868569319741</v>
      </c>
      <c r="CY172" s="4"/>
      <c r="CZ172" s="4">
        <v>0.67009890852295517</v>
      </c>
      <c r="DA172" s="4">
        <v>0.63244789220128705</v>
      </c>
      <c r="DB172" s="4"/>
      <c r="DC172" s="4"/>
      <c r="DD172" s="4">
        <v>0.65566216514467812</v>
      </c>
      <c r="DE172" s="4"/>
      <c r="DF172" s="4">
        <v>0.64852102551883561</v>
      </c>
      <c r="DG172" s="4"/>
      <c r="DH172" s="4">
        <v>0.67534600647338383</v>
      </c>
      <c r="DI172" s="4"/>
      <c r="DJ172" s="4"/>
      <c r="DK172" s="4"/>
      <c r="DL172" s="4"/>
      <c r="DM172" s="4">
        <v>0.72770511477280742</v>
      </c>
      <c r="DN172" s="4"/>
      <c r="DO172" s="4"/>
      <c r="DP172" s="4"/>
      <c r="DQ172" s="3">
        <v>5.3612586848307613</v>
      </c>
      <c r="DR172">
        <f t="shared" si="4"/>
        <v>8</v>
      </c>
      <c r="DS172" s="4">
        <f t="shared" si="5"/>
        <v>7.6190476190476197E-2</v>
      </c>
    </row>
    <row r="173" spans="1:123" x14ac:dyDescent="0.25">
      <c r="A173" t="s">
        <v>142</v>
      </c>
      <c r="B173" t="s">
        <v>143</v>
      </c>
      <c r="C173" t="s">
        <v>144</v>
      </c>
      <c r="D173" t="s">
        <v>32</v>
      </c>
      <c r="E173" t="s">
        <v>26</v>
      </c>
      <c r="F173">
        <v>0.64250918927308875</v>
      </c>
      <c r="G173">
        <v>0.73501837854617735</v>
      </c>
      <c r="H173">
        <v>0.55000000000000004</v>
      </c>
      <c r="I173">
        <v>22679765200</v>
      </c>
      <c r="J173">
        <v>22.1</v>
      </c>
      <c r="K173">
        <v>12</v>
      </c>
      <c r="O173" s="2" t="s">
        <v>342</v>
      </c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>
        <v>0.62387450912736875</v>
      </c>
      <c r="BN173" s="4"/>
      <c r="BO173" s="4"/>
      <c r="BP173" s="4">
        <v>0.58774445970936484</v>
      </c>
      <c r="BQ173" s="4">
        <v>0.59619193618754451</v>
      </c>
      <c r="BR173" s="4">
        <v>0.66240400106675534</v>
      </c>
      <c r="BS173" s="4">
        <v>0.57987791404592615</v>
      </c>
      <c r="BT173" s="4">
        <v>0.57505493987016143</v>
      </c>
      <c r="BU173" s="4">
        <v>0.65474268642452893</v>
      </c>
      <c r="BV173" s="4">
        <v>0.62467398626077297</v>
      </c>
      <c r="BW173" s="4">
        <v>0.67618363163166362</v>
      </c>
      <c r="BX173" s="4">
        <v>0.64310429418364445</v>
      </c>
      <c r="BY173" s="4">
        <v>0.72212244451629704</v>
      </c>
      <c r="BZ173" s="4">
        <v>0.71698768780119293</v>
      </c>
      <c r="CA173" s="4">
        <v>0.65637391250626087</v>
      </c>
      <c r="CB173" s="4">
        <v>0.61321920921247397</v>
      </c>
      <c r="CC173" s="4">
        <v>0.70176477802948356</v>
      </c>
      <c r="CD173" s="4"/>
      <c r="CE173" s="4"/>
      <c r="CF173" s="4"/>
      <c r="CG173" s="4"/>
      <c r="CH173" s="4"/>
      <c r="CI173" s="4"/>
      <c r="CJ173" s="4"/>
      <c r="CK173" s="4"/>
      <c r="CL173" s="4"/>
      <c r="CM173" s="4"/>
      <c r="CN173" s="4"/>
      <c r="CO173" s="4"/>
      <c r="CP173" s="4"/>
      <c r="CQ173" s="4"/>
      <c r="CR173" s="4"/>
      <c r="CS173" s="4"/>
      <c r="CT173" s="4"/>
      <c r="CU173" s="4"/>
      <c r="CV173" s="4"/>
      <c r="CW173" s="4"/>
      <c r="CX173" s="4"/>
      <c r="CY173" s="4"/>
      <c r="CZ173" s="4"/>
      <c r="DA173" s="4"/>
      <c r="DB173" s="4"/>
      <c r="DC173" s="4"/>
      <c r="DD173" s="4"/>
      <c r="DE173" s="4"/>
      <c r="DF173" s="4"/>
      <c r="DG173" s="4"/>
      <c r="DH173" s="4"/>
      <c r="DI173" s="4"/>
      <c r="DJ173" s="4"/>
      <c r="DK173" s="4"/>
      <c r="DL173" s="4"/>
      <c r="DM173" s="4"/>
      <c r="DN173" s="4"/>
      <c r="DO173" s="4"/>
      <c r="DP173" s="4"/>
      <c r="DQ173" s="3">
        <v>9.6343203905734409</v>
      </c>
      <c r="DR173">
        <f t="shared" si="4"/>
        <v>15</v>
      </c>
      <c r="DS173" s="4">
        <f t="shared" si="5"/>
        <v>0.14285714285714285</v>
      </c>
    </row>
    <row r="174" spans="1:123" x14ac:dyDescent="0.25">
      <c r="A174" t="s">
        <v>142</v>
      </c>
      <c r="B174" t="s">
        <v>145</v>
      </c>
      <c r="C174" t="s">
        <v>146</v>
      </c>
      <c r="D174" t="s">
        <v>14</v>
      </c>
      <c r="E174" t="s">
        <v>42</v>
      </c>
      <c r="F174">
        <v>0.6383354861606394</v>
      </c>
      <c r="G174">
        <v>0.57667097232127884</v>
      </c>
      <c r="H174">
        <v>0.7</v>
      </c>
      <c r="I174">
        <v>11206523400</v>
      </c>
      <c r="J174">
        <v>35.799999999999997</v>
      </c>
      <c r="K174">
        <v>13</v>
      </c>
      <c r="O174" s="2" t="s">
        <v>21</v>
      </c>
      <c r="P174" s="4">
        <v>0.75249953915114365</v>
      </c>
      <c r="Q174" s="4">
        <v>0.6978830983343266</v>
      </c>
      <c r="R174" s="4">
        <v>0.70496792031165212</v>
      </c>
      <c r="S174" s="4">
        <v>0.62518046852662379</v>
      </c>
      <c r="T174" s="4"/>
      <c r="U174" s="4">
        <v>0.64502498807585162</v>
      </c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  <c r="CI174" s="4"/>
      <c r="CJ174" s="4"/>
      <c r="CK174" s="4"/>
      <c r="CL174" s="4"/>
      <c r="CM174" s="4"/>
      <c r="CN174" s="4"/>
      <c r="CO174" s="4"/>
      <c r="CP174" s="4"/>
      <c r="CQ174" s="4"/>
      <c r="CR174" s="4"/>
      <c r="CS174" s="4"/>
      <c r="CT174" s="4"/>
      <c r="CU174" s="4"/>
      <c r="CV174" s="4"/>
      <c r="CW174" s="4"/>
      <c r="CX174" s="4"/>
      <c r="CY174" s="4"/>
      <c r="CZ174" s="4"/>
      <c r="DA174" s="4"/>
      <c r="DB174" s="4"/>
      <c r="DC174" s="4"/>
      <c r="DD174" s="4"/>
      <c r="DE174" s="4"/>
      <c r="DF174" s="4"/>
      <c r="DG174" s="4"/>
      <c r="DH174" s="4"/>
      <c r="DI174" s="4"/>
      <c r="DJ174" s="4"/>
      <c r="DK174" s="4">
        <v>0.65912945296782199</v>
      </c>
      <c r="DL174" s="4"/>
      <c r="DM174" s="4"/>
      <c r="DN174" s="4"/>
      <c r="DO174" s="4"/>
      <c r="DP174" s="4">
        <v>0.69676661653274752</v>
      </c>
      <c r="DQ174" s="3">
        <v>4.7814520839001675</v>
      </c>
      <c r="DR174">
        <f t="shared" si="4"/>
        <v>7</v>
      </c>
      <c r="DS174" s="4">
        <f t="shared" si="5"/>
        <v>6.6666666666666666E-2</v>
      </c>
    </row>
    <row r="175" spans="1:123" x14ac:dyDescent="0.25">
      <c r="A175" t="s">
        <v>142</v>
      </c>
      <c r="B175" t="s">
        <v>135</v>
      </c>
      <c r="C175" t="s">
        <v>136</v>
      </c>
      <c r="D175" t="s">
        <v>32</v>
      </c>
      <c r="E175" t="s">
        <v>29</v>
      </c>
      <c r="F175">
        <v>0.63407400416793769</v>
      </c>
      <c r="G175">
        <v>0.81814800833587542</v>
      </c>
      <c r="H175">
        <v>0.45</v>
      </c>
      <c r="I175">
        <v>181184198200</v>
      </c>
      <c r="J175">
        <v>14.95</v>
      </c>
      <c r="K175">
        <v>14</v>
      </c>
      <c r="O175" s="2" t="s">
        <v>186</v>
      </c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>
        <v>0.57903046277360515</v>
      </c>
      <c r="AE175" s="4"/>
      <c r="AF175" s="4"/>
      <c r="AG175" s="4"/>
      <c r="AH175" s="4">
        <v>0.58080661674123313</v>
      </c>
      <c r="AI175" s="4"/>
      <c r="AJ175" s="4"/>
      <c r="AK175" s="4"/>
      <c r="AL175" s="4"/>
      <c r="AM175" s="4"/>
      <c r="AN175" s="4"/>
      <c r="AO175" s="4"/>
      <c r="AP175" s="4"/>
      <c r="AQ175" s="4">
        <v>0.55172939372924645</v>
      </c>
      <c r="AR175" s="4"/>
      <c r="AS175" s="4"/>
      <c r="AT175" s="4"/>
      <c r="AU175" s="4"/>
      <c r="AV175" s="4">
        <v>0.65993429324131903</v>
      </c>
      <c r="AW175" s="4">
        <v>0.66625772559230034</v>
      </c>
      <c r="AX175" s="4">
        <v>0.66313572239709995</v>
      </c>
      <c r="AY175" s="4"/>
      <c r="AZ175" s="4"/>
      <c r="BA175" s="4"/>
      <c r="BB175" s="4">
        <v>0.76003088054727019</v>
      </c>
      <c r="BC175" s="4">
        <v>0.71851022647496465</v>
      </c>
      <c r="BD175" s="4">
        <v>0.65829511049171985</v>
      </c>
      <c r="BE175" s="4"/>
      <c r="BF175" s="4"/>
      <c r="BG175" s="4"/>
      <c r="BH175" s="4"/>
      <c r="BI175" s="4">
        <v>0.75918595385686538</v>
      </c>
      <c r="BJ175" s="4">
        <v>0.66257736762703567</v>
      </c>
      <c r="BK175" s="4"/>
      <c r="BL175" s="4"/>
      <c r="BM175" s="4"/>
      <c r="BN175" s="4"/>
      <c r="BO175" s="4"/>
      <c r="BP175" s="4"/>
      <c r="BQ175" s="4"/>
      <c r="BR175" s="4"/>
      <c r="BS175" s="4">
        <v>0.53484826265796082</v>
      </c>
      <c r="BT175" s="4"/>
      <c r="BU175" s="4"/>
      <c r="BV175" s="4"/>
      <c r="BW175" s="4"/>
      <c r="BX175" s="4"/>
      <c r="BY175" s="4"/>
      <c r="BZ175" s="4"/>
      <c r="CA175" s="4"/>
      <c r="CB175" s="4">
        <v>0.6737632469706758</v>
      </c>
      <c r="CC175" s="4">
        <v>0.66481224177557507</v>
      </c>
      <c r="CD175" s="4">
        <v>0.71291792020319389</v>
      </c>
      <c r="CE175" s="4">
        <v>0.79320353224823614</v>
      </c>
      <c r="CF175" s="4">
        <v>0.82904192122570264</v>
      </c>
      <c r="CG175" s="4">
        <v>0.83225232405407712</v>
      </c>
      <c r="CH175" s="4">
        <v>0.77188306962898667</v>
      </c>
      <c r="CI175" s="4">
        <v>0.64750657831833225</v>
      </c>
      <c r="CJ175" s="4">
        <v>0.65297156794988498</v>
      </c>
      <c r="CK175" s="4"/>
      <c r="CL175" s="4"/>
      <c r="CM175" s="4">
        <v>0.62129450291792376</v>
      </c>
      <c r="CN175" s="4"/>
      <c r="CO175" s="4"/>
      <c r="CP175" s="4">
        <v>0.58748479985499502</v>
      </c>
      <c r="CQ175" s="4"/>
      <c r="CR175" s="4">
        <v>0.58804344668312813</v>
      </c>
      <c r="CS175" s="4"/>
      <c r="CT175" s="4"/>
      <c r="CU175" s="4"/>
      <c r="CV175" s="4"/>
      <c r="CW175" s="4">
        <v>0.6542087065461949</v>
      </c>
      <c r="CX175" s="4">
        <v>0.64014581474570431</v>
      </c>
      <c r="CY175" s="4"/>
      <c r="CZ175" s="4"/>
      <c r="DA175" s="4"/>
      <c r="DB175" s="4"/>
      <c r="DC175" s="4"/>
      <c r="DD175" s="4"/>
      <c r="DE175" s="4"/>
      <c r="DF175" s="4"/>
      <c r="DG175" s="4"/>
      <c r="DH175" s="4"/>
      <c r="DI175" s="4"/>
      <c r="DJ175" s="4"/>
      <c r="DK175" s="4"/>
      <c r="DL175" s="4"/>
      <c r="DM175" s="4"/>
      <c r="DN175" s="4"/>
      <c r="DO175" s="4"/>
      <c r="DP175" s="4">
        <v>0.72889647453304263</v>
      </c>
      <c r="DQ175" s="3">
        <v>18.192768163786269</v>
      </c>
      <c r="DR175">
        <f t="shared" si="4"/>
        <v>27</v>
      </c>
      <c r="DS175" s="4">
        <f t="shared" si="5"/>
        <v>0.25714285714285712</v>
      </c>
    </row>
    <row r="176" spans="1:123" x14ac:dyDescent="0.25">
      <c r="A176" t="s">
        <v>142</v>
      </c>
      <c r="B176" t="s">
        <v>147</v>
      </c>
      <c r="C176" t="s">
        <v>148</v>
      </c>
      <c r="D176" t="s">
        <v>32</v>
      </c>
      <c r="E176" t="s">
        <v>59</v>
      </c>
      <c r="F176">
        <v>0.63305140673834948</v>
      </c>
      <c r="G176">
        <v>0.81610281347669889</v>
      </c>
      <c r="H176">
        <v>0.45</v>
      </c>
      <c r="I176">
        <v>32142741800</v>
      </c>
      <c r="J176">
        <v>47.45</v>
      </c>
      <c r="K176">
        <v>15</v>
      </c>
      <c r="O176" s="2" t="s">
        <v>400</v>
      </c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>
        <v>0.6352253495575384</v>
      </c>
      <c r="CD176" s="4"/>
      <c r="CE176" s="4"/>
      <c r="CF176" s="4"/>
      <c r="CG176" s="4"/>
      <c r="CH176" s="4"/>
      <c r="CI176" s="4"/>
      <c r="CJ176" s="4"/>
      <c r="CK176" s="4"/>
      <c r="CL176" s="4"/>
      <c r="CM176" s="4"/>
      <c r="CN176" s="4"/>
      <c r="CO176" s="4"/>
      <c r="CP176" s="4"/>
      <c r="CQ176" s="4"/>
      <c r="CR176" s="4"/>
      <c r="CS176" s="4"/>
      <c r="CT176" s="4"/>
      <c r="CU176" s="4"/>
      <c r="CV176" s="4"/>
      <c r="CW176" s="4"/>
      <c r="CX176" s="4"/>
      <c r="CY176" s="4"/>
      <c r="CZ176" s="4"/>
      <c r="DA176" s="4"/>
      <c r="DB176" s="4"/>
      <c r="DC176" s="4"/>
      <c r="DD176" s="4"/>
      <c r="DE176" s="4"/>
      <c r="DF176" s="4"/>
      <c r="DG176" s="4"/>
      <c r="DH176" s="4"/>
      <c r="DI176" s="4"/>
      <c r="DJ176" s="4"/>
      <c r="DK176" s="4"/>
      <c r="DL176" s="4"/>
      <c r="DM176" s="4"/>
      <c r="DN176" s="4"/>
      <c r="DO176" s="4"/>
      <c r="DP176" s="4"/>
      <c r="DQ176" s="3">
        <v>0.6352253495575384</v>
      </c>
      <c r="DR176">
        <f t="shared" si="4"/>
        <v>1</v>
      </c>
      <c r="DS176" s="4">
        <f t="shared" si="5"/>
        <v>9.5238095238095247E-3</v>
      </c>
    </row>
    <row r="177" spans="1:123" x14ac:dyDescent="0.25">
      <c r="A177" t="s">
        <v>142</v>
      </c>
      <c r="B177" t="s">
        <v>120</v>
      </c>
      <c r="C177" t="s">
        <v>121</v>
      </c>
      <c r="D177" t="s">
        <v>32</v>
      </c>
      <c r="E177" t="s">
        <v>29</v>
      </c>
      <c r="F177">
        <v>0.63195476694423924</v>
      </c>
      <c r="G177">
        <v>0.66390953388847851</v>
      </c>
      <c r="H177">
        <v>0.6</v>
      </c>
      <c r="I177">
        <v>255239215000</v>
      </c>
      <c r="J177">
        <v>38.85</v>
      </c>
      <c r="K177">
        <v>16</v>
      </c>
      <c r="O177" s="2" t="s">
        <v>242</v>
      </c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>
        <v>0.47026388883682868</v>
      </c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H177" s="4"/>
      <c r="CI177" s="4"/>
      <c r="CJ177" s="4"/>
      <c r="CK177" s="4"/>
      <c r="CL177" s="4"/>
      <c r="CM177" s="4"/>
      <c r="CN177" s="4"/>
      <c r="CO177" s="4"/>
      <c r="CP177" s="4"/>
      <c r="CQ177" s="4"/>
      <c r="CR177" s="4"/>
      <c r="CS177" s="4"/>
      <c r="CT177" s="4"/>
      <c r="CU177" s="4"/>
      <c r="CV177" s="4"/>
      <c r="CW177" s="4"/>
      <c r="CX177" s="4"/>
      <c r="CY177" s="4"/>
      <c r="CZ177" s="4"/>
      <c r="DA177" s="4"/>
      <c r="DB177" s="4"/>
      <c r="DC177" s="4"/>
      <c r="DD177" s="4"/>
      <c r="DE177" s="4"/>
      <c r="DF177" s="4"/>
      <c r="DG177" s="4"/>
      <c r="DH177" s="4"/>
      <c r="DI177" s="4"/>
      <c r="DJ177" s="4"/>
      <c r="DK177" s="4"/>
      <c r="DL177" s="4"/>
      <c r="DM177" s="4"/>
      <c r="DN177" s="4"/>
      <c r="DO177" s="4"/>
      <c r="DP177" s="4"/>
      <c r="DQ177" s="3">
        <v>0.47026388883682868</v>
      </c>
      <c r="DR177">
        <f t="shared" si="4"/>
        <v>1</v>
      </c>
      <c r="DS177" s="4">
        <f t="shared" si="5"/>
        <v>9.5238095238095247E-3</v>
      </c>
    </row>
    <row r="178" spans="1:123" x14ac:dyDescent="0.25">
      <c r="A178" t="s">
        <v>142</v>
      </c>
      <c r="B178" t="s">
        <v>72</v>
      </c>
      <c r="C178" t="s">
        <v>73</v>
      </c>
      <c r="D178" t="s">
        <v>32</v>
      </c>
      <c r="E178" t="s">
        <v>74</v>
      </c>
      <c r="F178">
        <v>0.62979555186437353</v>
      </c>
      <c r="G178">
        <v>0.70959110372874701</v>
      </c>
      <c r="H178">
        <v>0.55000000000000004</v>
      </c>
      <c r="I178">
        <v>278385199800</v>
      </c>
      <c r="J178">
        <v>42.3</v>
      </c>
      <c r="K178">
        <v>17</v>
      </c>
      <c r="O178" s="2" t="s">
        <v>271</v>
      </c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>
        <v>0.5850446666195438</v>
      </c>
      <c r="AV178" s="4">
        <v>0.53839303354065982</v>
      </c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H178" s="4"/>
      <c r="CI178" s="4"/>
      <c r="CJ178" s="4"/>
      <c r="CK178" s="4"/>
      <c r="CL178" s="4"/>
      <c r="CM178" s="4"/>
      <c r="CN178" s="4"/>
      <c r="CO178" s="4"/>
      <c r="CP178" s="4"/>
      <c r="CQ178" s="4"/>
      <c r="CR178" s="4"/>
      <c r="CS178" s="4"/>
      <c r="CT178" s="4"/>
      <c r="CU178" s="4"/>
      <c r="CV178" s="4"/>
      <c r="CW178" s="4"/>
      <c r="CX178" s="4"/>
      <c r="CY178" s="4"/>
      <c r="CZ178" s="4"/>
      <c r="DA178" s="4"/>
      <c r="DB178" s="4"/>
      <c r="DC178" s="4"/>
      <c r="DD178" s="4"/>
      <c r="DE178" s="4"/>
      <c r="DF178" s="4"/>
      <c r="DG178" s="4"/>
      <c r="DH178" s="4"/>
      <c r="DI178" s="4"/>
      <c r="DJ178" s="4"/>
      <c r="DK178" s="4"/>
      <c r="DL178" s="4"/>
      <c r="DM178" s="4"/>
      <c r="DN178" s="4"/>
      <c r="DO178" s="4"/>
      <c r="DP178" s="4"/>
      <c r="DQ178" s="3">
        <v>1.1234377001602036</v>
      </c>
      <c r="DR178">
        <f t="shared" si="4"/>
        <v>2</v>
      </c>
      <c r="DS178" s="4">
        <f t="shared" si="5"/>
        <v>1.9047619047619049E-2</v>
      </c>
    </row>
    <row r="179" spans="1:123" x14ac:dyDescent="0.25">
      <c r="A179" t="s">
        <v>142</v>
      </c>
      <c r="B179" t="s">
        <v>79</v>
      </c>
      <c r="C179" t="s">
        <v>80</v>
      </c>
      <c r="D179" t="s">
        <v>32</v>
      </c>
      <c r="E179" t="s">
        <v>59</v>
      </c>
      <c r="F179">
        <v>0.62917686164316233</v>
      </c>
      <c r="G179">
        <v>0.75835372328632478</v>
      </c>
      <c r="H179">
        <v>0.5</v>
      </c>
      <c r="I179">
        <v>17655288000</v>
      </c>
      <c r="J179">
        <v>79.099999999999994</v>
      </c>
      <c r="K179">
        <v>18</v>
      </c>
      <c r="O179" s="2" t="s">
        <v>120</v>
      </c>
      <c r="P179" s="4"/>
      <c r="Q179" s="4"/>
      <c r="R179" s="4"/>
      <c r="S179" s="4"/>
      <c r="T179" s="4"/>
      <c r="U179" s="4">
        <v>0.67825393543341084</v>
      </c>
      <c r="V179" s="4"/>
      <c r="W179" s="4">
        <v>0.64922428860567949</v>
      </c>
      <c r="X179" s="4">
        <v>0.63195476694423924</v>
      </c>
      <c r="Y179" s="4">
        <v>0.60268778389642919</v>
      </c>
      <c r="Z179" s="4">
        <v>0.63884917916789741</v>
      </c>
      <c r="AA179" s="4">
        <v>0.67027460317544307</v>
      </c>
      <c r="AB179" s="4">
        <v>0.65460939098145343</v>
      </c>
      <c r="AC179" s="4">
        <v>0.62565033725636998</v>
      </c>
      <c r="AD179" s="4">
        <v>0.64018978770183754</v>
      </c>
      <c r="AE179" s="4">
        <v>0.68099899736054859</v>
      </c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H179" s="4"/>
      <c r="CI179" s="4"/>
      <c r="CJ179" s="4"/>
      <c r="CK179" s="4"/>
      <c r="CL179" s="4"/>
      <c r="CM179" s="4"/>
      <c r="CN179" s="4"/>
      <c r="CO179" s="4"/>
      <c r="CP179" s="4"/>
      <c r="CQ179" s="4"/>
      <c r="CR179" s="4"/>
      <c r="CS179" s="4"/>
      <c r="CT179" s="4"/>
      <c r="CU179" s="4"/>
      <c r="CV179" s="4"/>
      <c r="CW179" s="4"/>
      <c r="CX179" s="4"/>
      <c r="CY179" s="4">
        <v>0.59441273406006367</v>
      </c>
      <c r="CZ179" s="4"/>
      <c r="DA179" s="4"/>
      <c r="DB179" s="4"/>
      <c r="DC179" s="4"/>
      <c r="DD179" s="4"/>
      <c r="DE179" s="4"/>
      <c r="DF179" s="4"/>
      <c r="DG179" s="4"/>
      <c r="DH179" s="4">
        <v>0.66335757072438106</v>
      </c>
      <c r="DI179" s="4">
        <v>0.67203195199097543</v>
      </c>
      <c r="DJ179" s="4">
        <v>0.68861563052152885</v>
      </c>
      <c r="DK179" s="4"/>
      <c r="DL179" s="4"/>
      <c r="DM179" s="4"/>
      <c r="DN179" s="4"/>
      <c r="DO179" s="4">
        <v>0.79743860217672036</v>
      </c>
      <c r="DP179" s="4"/>
      <c r="DQ179" s="3">
        <v>9.8885495599969779</v>
      </c>
      <c r="DR179">
        <f t="shared" si="4"/>
        <v>15</v>
      </c>
      <c r="DS179" s="4">
        <f t="shared" si="5"/>
        <v>0.14285714285714285</v>
      </c>
    </row>
    <row r="180" spans="1:123" x14ac:dyDescent="0.25">
      <c r="A180" t="s">
        <v>142</v>
      </c>
      <c r="B180" t="s">
        <v>99</v>
      </c>
      <c r="C180" t="s">
        <v>100</v>
      </c>
      <c r="D180" t="s">
        <v>32</v>
      </c>
      <c r="E180" t="s">
        <v>29</v>
      </c>
      <c r="F180">
        <v>0.62059334023522039</v>
      </c>
      <c r="G180">
        <v>0.89118668047044081</v>
      </c>
      <c r="H180">
        <v>0.35</v>
      </c>
      <c r="I180">
        <v>27623275200</v>
      </c>
      <c r="J180">
        <v>55.8</v>
      </c>
      <c r="K180">
        <v>19</v>
      </c>
      <c r="O180" s="2" t="s">
        <v>106</v>
      </c>
      <c r="P180" s="4"/>
      <c r="Q180" s="4"/>
      <c r="R180" s="4"/>
      <c r="S180" s="4"/>
      <c r="T180" s="4">
        <v>0.66274066634936968</v>
      </c>
      <c r="U180" s="4"/>
      <c r="V180" s="4">
        <v>0.63896774839423287</v>
      </c>
      <c r="W180" s="4">
        <v>0.64245954908530933</v>
      </c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H180" s="4"/>
      <c r="CI180" s="4"/>
      <c r="CJ180" s="4"/>
      <c r="CK180" s="4"/>
      <c r="CL180" s="4"/>
      <c r="CM180" s="4"/>
      <c r="CN180" s="4"/>
      <c r="CO180" s="4"/>
      <c r="CP180" s="4"/>
      <c r="CQ180" s="4"/>
      <c r="CR180" s="4"/>
      <c r="CS180" s="4"/>
      <c r="CT180" s="4"/>
      <c r="CU180" s="4"/>
      <c r="CV180" s="4"/>
      <c r="CW180" s="4"/>
      <c r="CX180" s="4"/>
      <c r="CY180" s="4"/>
      <c r="CZ180" s="4"/>
      <c r="DA180" s="4"/>
      <c r="DB180" s="4"/>
      <c r="DC180" s="4"/>
      <c r="DD180" s="4"/>
      <c r="DE180" s="4"/>
      <c r="DF180" s="4"/>
      <c r="DG180" s="4"/>
      <c r="DH180" s="4"/>
      <c r="DI180" s="4"/>
      <c r="DJ180" s="4"/>
      <c r="DK180" s="4"/>
      <c r="DL180" s="4"/>
      <c r="DM180" s="4"/>
      <c r="DN180" s="4"/>
      <c r="DO180" s="4"/>
      <c r="DP180" s="4"/>
      <c r="DQ180" s="3">
        <v>1.944167963828912</v>
      </c>
      <c r="DR180">
        <f t="shared" si="4"/>
        <v>3</v>
      </c>
      <c r="DS180" s="4">
        <f t="shared" si="5"/>
        <v>2.8571428571428571E-2</v>
      </c>
    </row>
    <row r="181" spans="1:123" x14ac:dyDescent="0.25">
      <c r="A181" t="s">
        <v>142</v>
      </c>
      <c r="B181" t="s">
        <v>149</v>
      </c>
      <c r="C181" t="s">
        <v>150</v>
      </c>
      <c r="D181" t="s">
        <v>32</v>
      </c>
      <c r="E181" t="s">
        <v>26</v>
      </c>
      <c r="F181">
        <v>0.60463872773598759</v>
      </c>
      <c r="G181">
        <v>0.50927745547197523</v>
      </c>
      <c r="H181">
        <v>0.7</v>
      </c>
      <c r="I181">
        <v>106004239100</v>
      </c>
      <c r="J181">
        <v>12.5</v>
      </c>
      <c r="K181">
        <v>20</v>
      </c>
      <c r="O181" s="2" t="s">
        <v>249</v>
      </c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>
        <v>0.50381276777115902</v>
      </c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H181" s="4"/>
      <c r="CI181" s="4"/>
      <c r="CJ181" s="4"/>
      <c r="CK181" s="4"/>
      <c r="CL181" s="4"/>
      <c r="CM181" s="4"/>
      <c r="CN181" s="4"/>
      <c r="CO181" s="4"/>
      <c r="CP181" s="4"/>
      <c r="CQ181" s="4"/>
      <c r="CR181" s="4"/>
      <c r="CS181" s="4"/>
      <c r="CT181" s="4"/>
      <c r="CU181" s="4"/>
      <c r="CV181" s="4"/>
      <c r="CW181" s="4"/>
      <c r="CX181" s="4"/>
      <c r="CY181" s="4"/>
      <c r="CZ181" s="4"/>
      <c r="DA181" s="4"/>
      <c r="DB181" s="4"/>
      <c r="DC181" s="4"/>
      <c r="DD181" s="4"/>
      <c r="DE181" s="4"/>
      <c r="DF181" s="4"/>
      <c r="DG181" s="4"/>
      <c r="DH181" s="4"/>
      <c r="DI181" s="4"/>
      <c r="DJ181" s="4"/>
      <c r="DK181" s="4"/>
      <c r="DL181" s="4"/>
      <c r="DM181" s="4"/>
      <c r="DN181" s="4"/>
      <c r="DO181" s="4"/>
      <c r="DP181" s="4"/>
      <c r="DQ181" s="3">
        <v>0.50381276777115902</v>
      </c>
      <c r="DR181">
        <f t="shared" si="4"/>
        <v>1</v>
      </c>
      <c r="DS181" s="4">
        <f t="shared" si="5"/>
        <v>9.5238095238095247E-3</v>
      </c>
    </row>
    <row r="182" spans="1:123" x14ac:dyDescent="0.25">
      <c r="A182" t="s">
        <v>151</v>
      </c>
      <c r="B182" t="s">
        <v>45</v>
      </c>
      <c r="C182" t="s">
        <v>46</v>
      </c>
      <c r="D182" t="s">
        <v>14</v>
      </c>
      <c r="E182" t="s">
        <v>15</v>
      </c>
      <c r="F182">
        <v>0.83038444194808969</v>
      </c>
      <c r="G182">
        <v>0.71076888389617943</v>
      </c>
      <c r="H182">
        <v>0.95</v>
      </c>
      <c r="I182">
        <v>3403008800</v>
      </c>
      <c r="J182">
        <v>23.4</v>
      </c>
      <c r="K182">
        <v>1</v>
      </c>
      <c r="O182" s="2" t="s">
        <v>290</v>
      </c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>
        <v>0.67393155662830617</v>
      </c>
      <c r="AZ182" s="4">
        <v>0.62503574208788792</v>
      </c>
      <c r="BA182" s="4">
        <v>0.70490221182030677</v>
      </c>
      <c r="BB182" s="4">
        <v>0.6781994393473475</v>
      </c>
      <c r="BC182" s="4">
        <v>0.69150011586956994</v>
      </c>
      <c r="BD182" s="4">
        <v>0.66386542775140789</v>
      </c>
      <c r="BE182" s="4">
        <v>0.66106185020782982</v>
      </c>
      <c r="BF182" s="4">
        <v>0.64912227669480238</v>
      </c>
      <c r="BG182" s="4">
        <v>0.69868730573552706</v>
      </c>
      <c r="BH182" s="4">
        <v>0.66183442989330921</v>
      </c>
      <c r="BI182" s="4"/>
      <c r="BJ182" s="4"/>
      <c r="BK182" s="4"/>
      <c r="BL182" s="4"/>
      <c r="BM182" s="4">
        <v>0.64741295649221065</v>
      </c>
      <c r="BN182" s="4">
        <v>0.66875352191631954</v>
      </c>
      <c r="BO182" s="4">
        <v>0.6914420662461116</v>
      </c>
      <c r="BP182" s="4">
        <v>0.65469726146263851</v>
      </c>
      <c r="BQ182" s="4">
        <v>0.58431338349684148</v>
      </c>
      <c r="BR182" s="4"/>
      <c r="BS182" s="4"/>
      <c r="BT182" s="4"/>
      <c r="BU182" s="4"/>
      <c r="BV182" s="4"/>
      <c r="BW182" s="4"/>
      <c r="BX182" s="4"/>
      <c r="BY182" s="4"/>
      <c r="BZ182" s="4">
        <v>0.66624651574304172</v>
      </c>
      <c r="CA182" s="4"/>
      <c r="CB182" s="4"/>
      <c r="CC182" s="4"/>
      <c r="CD182" s="4">
        <v>0.68838663468998729</v>
      </c>
      <c r="CE182" s="4">
        <v>0.65202057299258087</v>
      </c>
      <c r="CF182" s="4">
        <v>0.63507388326444603</v>
      </c>
      <c r="CG182" s="4"/>
      <c r="CH182" s="4"/>
      <c r="CI182" s="4"/>
      <c r="CJ182" s="4"/>
      <c r="CK182" s="4"/>
      <c r="CL182" s="4"/>
      <c r="CM182" s="4"/>
      <c r="CN182" s="4"/>
      <c r="CO182" s="4"/>
      <c r="CP182" s="4"/>
      <c r="CQ182" s="4"/>
      <c r="CR182" s="4"/>
      <c r="CS182" s="4"/>
      <c r="CT182" s="4"/>
      <c r="CU182" s="4"/>
      <c r="CV182" s="4"/>
      <c r="CW182" s="4"/>
      <c r="CX182" s="4"/>
      <c r="CY182" s="4"/>
      <c r="CZ182" s="4"/>
      <c r="DA182" s="4"/>
      <c r="DB182" s="4"/>
      <c r="DC182" s="4"/>
      <c r="DD182" s="4"/>
      <c r="DE182" s="4"/>
      <c r="DF182" s="4"/>
      <c r="DG182" s="4"/>
      <c r="DH182" s="4"/>
      <c r="DI182" s="4"/>
      <c r="DJ182" s="4"/>
      <c r="DK182" s="4"/>
      <c r="DL182" s="4"/>
      <c r="DM182" s="4"/>
      <c r="DN182" s="4"/>
      <c r="DO182" s="4"/>
      <c r="DP182" s="4"/>
      <c r="DQ182" s="3">
        <v>12.596487152340474</v>
      </c>
      <c r="DR182">
        <f t="shared" si="4"/>
        <v>19</v>
      </c>
      <c r="DS182" s="4">
        <f t="shared" si="5"/>
        <v>0.18095238095238095</v>
      </c>
    </row>
    <row r="183" spans="1:123" x14ac:dyDescent="0.25">
      <c r="A183" t="s">
        <v>151</v>
      </c>
      <c r="B183" t="s">
        <v>110</v>
      </c>
      <c r="C183" t="s">
        <v>111</v>
      </c>
      <c r="D183" t="s">
        <v>32</v>
      </c>
      <c r="E183" t="s">
        <v>112</v>
      </c>
      <c r="F183">
        <v>0.77413996418206121</v>
      </c>
      <c r="G183">
        <v>0.94827992836412234</v>
      </c>
      <c r="H183">
        <v>0.6</v>
      </c>
      <c r="I183">
        <v>3726342260</v>
      </c>
      <c r="J183">
        <v>5.38</v>
      </c>
      <c r="K183">
        <v>2</v>
      </c>
      <c r="O183" s="2" t="s">
        <v>229</v>
      </c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>
        <v>0.59017652556040989</v>
      </c>
      <c r="AO183" s="4"/>
      <c r="AP183" s="4">
        <v>0.5439387978456256</v>
      </c>
      <c r="AQ183" s="4">
        <v>0.69969751730896501</v>
      </c>
      <c r="AR183" s="4">
        <v>0.62645735827706661</v>
      </c>
      <c r="AS183" s="4"/>
      <c r="AT183" s="4"/>
      <c r="AU183" s="4"/>
      <c r="AV183" s="4"/>
      <c r="AW183" s="4"/>
      <c r="AX183" s="4"/>
      <c r="AY183" s="4"/>
      <c r="AZ183" s="4"/>
      <c r="BA183" s="4"/>
      <c r="BB183" s="4">
        <v>0.64686373342866688</v>
      </c>
      <c r="BC183" s="4">
        <v>0.72173323279950508</v>
      </c>
      <c r="BD183" s="4">
        <v>0.72651560450426222</v>
      </c>
      <c r="BE183" s="4">
        <v>0.71993953755693307</v>
      </c>
      <c r="BF183" s="4">
        <v>0.70415833092583235</v>
      </c>
      <c r="BG183" s="4">
        <v>0.69306145853943324</v>
      </c>
      <c r="BH183" s="4">
        <v>0.76440031676486131</v>
      </c>
      <c r="BI183" s="4">
        <v>0.73388199802668264</v>
      </c>
      <c r="BJ183" s="4"/>
      <c r="BK183" s="4">
        <v>0.72291684567944769</v>
      </c>
      <c r="BL183" s="4">
        <v>0.72710544889001427</v>
      </c>
      <c r="BM183" s="4">
        <v>0.72173854672627658</v>
      </c>
      <c r="BN183" s="4">
        <v>0.69665599884609841</v>
      </c>
      <c r="BO183" s="4">
        <v>0.6137430549411762</v>
      </c>
      <c r="BP183" s="4">
        <v>0.59189407120182114</v>
      </c>
      <c r="BQ183" s="4"/>
      <c r="BR183" s="4"/>
      <c r="BS183" s="4">
        <v>0.54334101962913373</v>
      </c>
      <c r="BT183" s="4">
        <v>0.58830526326433363</v>
      </c>
      <c r="BU183" s="4">
        <v>0.61469430671268321</v>
      </c>
      <c r="BV183" s="4">
        <v>0.63340448670650562</v>
      </c>
      <c r="BW183" s="4">
        <v>0.64799563299569374</v>
      </c>
      <c r="BX183" s="4">
        <v>0.65196455311771717</v>
      </c>
      <c r="BY183" s="4"/>
      <c r="BZ183" s="4">
        <v>0.62490167602253555</v>
      </c>
      <c r="CA183" s="4"/>
      <c r="CB183" s="4"/>
      <c r="CC183" s="4"/>
      <c r="CD183" s="4"/>
      <c r="CE183" s="4"/>
      <c r="CF183" s="4">
        <v>0.58517950620266668</v>
      </c>
      <c r="CG183" s="4"/>
      <c r="CH183" s="4"/>
      <c r="CI183" s="4"/>
      <c r="CJ183" s="4">
        <v>0.62328640188717011</v>
      </c>
      <c r="CK183" s="4">
        <v>0.60013174702603977</v>
      </c>
      <c r="CL183" s="4">
        <v>0.67406508220805539</v>
      </c>
      <c r="CM183" s="4">
        <v>0.65353154351097498</v>
      </c>
      <c r="CN183" s="4">
        <v>0.64824038880381685</v>
      </c>
      <c r="CO183" s="4">
        <v>0.62356517665880618</v>
      </c>
      <c r="CP183" s="4">
        <v>0.68958041089556166</v>
      </c>
      <c r="CQ183" s="4">
        <v>0.68394953619009158</v>
      </c>
      <c r="CR183" s="4">
        <v>0.64970330005350929</v>
      </c>
      <c r="CS183" s="4"/>
      <c r="CT183" s="4"/>
      <c r="CU183" s="4"/>
      <c r="CV183" s="4"/>
      <c r="CW183" s="4"/>
      <c r="CX183" s="4"/>
      <c r="CY183" s="4"/>
      <c r="CZ183" s="4"/>
      <c r="DA183" s="4"/>
      <c r="DB183" s="4"/>
      <c r="DC183" s="4"/>
      <c r="DD183" s="4"/>
      <c r="DE183" s="4"/>
      <c r="DF183" s="4"/>
      <c r="DG183" s="4"/>
      <c r="DH183" s="4"/>
      <c r="DI183" s="4"/>
      <c r="DJ183" s="4"/>
      <c r="DK183" s="4"/>
      <c r="DL183" s="4"/>
      <c r="DM183" s="4"/>
      <c r="DN183" s="4"/>
      <c r="DO183" s="4"/>
      <c r="DP183" s="4"/>
      <c r="DQ183" s="3">
        <v>22.980718409708381</v>
      </c>
      <c r="DR183">
        <f t="shared" si="4"/>
        <v>35</v>
      </c>
      <c r="DS183" s="4">
        <f t="shared" si="5"/>
        <v>0.33333333333333331</v>
      </c>
    </row>
    <row r="184" spans="1:123" x14ac:dyDescent="0.25">
      <c r="A184" t="s">
        <v>151</v>
      </c>
      <c r="B184" t="s">
        <v>122</v>
      </c>
      <c r="C184" t="s">
        <v>123</v>
      </c>
      <c r="D184" t="s">
        <v>32</v>
      </c>
      <c r="E184" t="s">
        <v>124</v>
      </c>
      <c r="F184">
        <v>0.71062438331337141</v>
      </c>
      <c r="G184">
        <v>0.97124876662674275</v>
      </c>
      <c r="H184">
        <v>0.45</v>
      </c>
      <c r="I184">
        <v>40265957900</v>
      </c>
      <c r="J184">
        <v>69.5</v>
      </c>
      <c r="K184">
        <v>3</v>
      </c>
      <c r="O184" s="2" t="s">
        <v>201</v>
      </c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>
        <v>0.56811148352033813</v>
      </c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H184" s="4"/>
      <c r="CI184" s="4"/>
      <c r="CJ184" s="4"/>
      <c r="CK184" s="4"/>
      <c r="CL184" s="4"/>
      <c r="CM184" s="4"/>
      <c r="CN184" s="4"/>
      <c r="CO184" s="4"/>
      <c r="CP184" s="4"/>
      <c r="CQ184" s="4"/>
      <c r="CR184" s="4"/>
      <c r="CS184" s="4"/>
      <c r="CT184" s="4"/>
      <c r="CU184" s="4"/>
      <c r="CV184" s="4"/>
      <c r="CW184" s="4"/>
      <c r="CX184" s="4"/>
      <c r="CY184" s="4"/>
      <c r="CZ184" s="4"/>
      <c r="DA184" s="4"/>
      <c r="DB184" s="4"/>
      <c r="DC184" s="4"/>
      <c r="DD184" s="4"/>
      <c r="DE184" s="4"/>
      <c r="DF184" s="4"/>
      <c r="DG184" s="4"/>
      <c r="DH184" s="4"/>
      <c r="DI184" s="4"/>
      <c r="DJ184" s="4"/>
      <c r="DK184" s="4"/>
      <c r="DL184" s="4"/>
      <c r="DM184" s="4"/>
      <c r="DN184" s="4">
        <v>0.71235126465384191</v>
      </c>
      <c r="DO184" s="4"/>
      <c r="DP184" s="4"/>
      <c r="DQ184" s="3">
        <v>1.2804627481741799</v>
      </c>
      <c r="DR184">
        <f t="shared" si="4"/>
        <v>2</v>
      </c>
      <c r="DS184" s="4">
        <f t="shared" si="5"/>
        <v>1.9047619047619049E-2</v>
      </c>
    </row>
    <row r="185" spans="1:123" x14ac:dyDescent="0.25">
      <c r="A185" t="s">
        <v>151</v>
      </c>
      <c r="B185" t="s">
        <v>75</v>
      </c>
      <c r="C185" t="s">
        <v>76</v>
      </c>
      <c r="D185" t="s">
        <v>18</v>
      </c>
      <c r="E185" t="s">
        <v>33</v>
      </c>
      <c r="F185">
        <v>0.70827400904149052</v>
      </c>
      <c r="G185">
        <v>0.71654801808298096</v>
      </c>
      <c r="H185">
        <v>0.7</v>
      </c>
      <c r="I185">
        <v>5601112000</v>
      </c>
      <c r="J185">
        <v>5.6</v>
      </c>
      <c r="K185">
        <v>4</v>
      </c>
      <c r="O185" s="2" t="s">
        <v>441</v>
      </c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H185" s="4"/>
      <c r="CI185" s="4"/>
      <c r="CJ185" s="4"/>
      <c r="CK185" s="4"/>
      <c r="CL185" s="4"/>
      <c r="CM185" s="4"/>
      <c r="CN185" s="4">
        <v>0.55721828676769636</v>
      </c>
      <c r="CO185" s="4">
        <v>0.58183396916608199</v>
      </c>
      <c r="CP185" s="4">
        <v>0.59164373366596279</v>
      </c>
      <c r="CQ185" s="4">
        <v>0.58796948800841697</v>
      </c>
      <c r="CR185" s="4"/>
      <c r="CS185" s="4"/>
      <c r="CT185" s="4">
        <v>0.56497625807105512</v>
      </c>
      <c r="CU185" s="4">
        <v>0.64907559993917818</v>
      </c>
      <c r="CV185" s="4"/>
      <c r="CW185" s="4"/>
      <c r="CX185" s="4"/>
      <c r="CY185" s="4"/>
      <c r="CZ185" s="4"/>
      <c r="DA185" s="4"/>
      <c r="DB185" s="4"/>
      <c r="DC185" s="4"/>
      <c r="DD185" s="4"/>
      <c r="DE185" s="4"/>
      <c r="DF185" s="4"/>
      <c r="DG185" s="4"/>
      <c r="DH185" s="4"/>
      <c r="DI185" s="4"/>
      <c r="DJ185" s="4"/>
      <c r="DK185" s="4"/>
      <c r="DL185" s="4"/>
      <c r="DM185" s="4"/>
      <c r="DN185" s="4"/>
      <c r="DO185" s="4"/>
      <c r="DP185" s="4"/>
      <c r="DQ185" s="3">
        <v>3.5327173356183916</v>
      </c>
      <c r="DR185">
        <f t="shared" si="4"/>
        <v>6</v>
      </c>
      <c r="DS185" s="4">
        <f t="shared" si="5"/>
        <v>5.7142857142857141E-2</v>
      </c>
    </row>
    <row r="186" spans="1:123" x14ac:dyDescent="0.25">
      <c r="A186" t="s">
        <v>151</v>
      </c>
      <c r="B186" t="s">
        <v>132</v>
      </c>
      <c r="C186" t="s">
        <v>133</v>
      </c>
      <c r="D186" t="s">
        <v>18</v>
      </c>
      <c r="E186" t="s">
        <v>134</v>
      </c>
      <c r="F186">
        <v>0.69713321308771725</v>
      </c>
      <c r="G186">
        <v>0.8942664261754345</v>
      </c>
      <c r="H186">
        <v>0.5</v>
      </c>
      <c r="I186">
        <v>2479885600</v>
      </c>
      <c r="J186">
        <v>14.2</v>
      </c>
      <c r="K186">
        <v>5</v>
      </c>
      <c r="O186" s="2" t="s">
        <v>458</v>
      </c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H186" s="4"/>
      <c r="CI186" s="4"/>
      <c r="CJ186" s="4"/>
      <c r="CK186" s="4"/>
      <c r="CL186" s="4"/>
      <c r="CM186" s="4"/>
      <c r="CN186" s="4"/>
      <c r="CO186" s="4"/>
      <c r="CP186" s="4"/>
      <c r="CQ186" s="4">
        <v>0.62301899434354979</v>
      </c>
      <c r="CR186" s="4"/>
      <c r="CS186" s="4"/>
      <c r="CT186" s="4">
        <v>0.6722905169032658</v>
      </c>
      <c r="CU186" s="4"/>
      <c r="CV186" s="4"/>
      <c r="CW186" s="4"/>
      <c r="CX186" s="4"/>
      <c r="CY186" s="4"/>
      <c r="CZ186" s="4"/>
      <c r="DA186" s="4"/>
      <c r="DB186" s="4"/>
      <c r="DC186" s="4"/>
      <c r="DD186" s="4"/>
      <c r="DE186" s="4"/>
      <c r="DF186" s="4"/>
      <c r="DG186" s="4"/>
      <c r="DH186" s="4"/>
      <c r="DI186" s="4"/>
      <c r="DJ186" s="4"/>
      <c r="DK186" s="4"/>
      <c r="DL186" s="4"/>
      <c r="DM186" s="4"/>
      <c r="DN186" s="4"/>
      <c r="DO186" s="4"/>
      <c r="DP186" s="4"/>
      <c r="DQ186" s="3">
        <v>1.2953095112468156</v>
      </c>
      <c r="DR186">
        <f t="shared" si="4"/>
        <v>2</v>
      </c>
      <c r="DS186" s="4">
        <f t="shared" si="5"/>
        <v>1.9047619047619049E-2</v>
      </c>
    </row>
    <row r="187" spans="1:123" x14ac:dyDescent="0.25">
      <c r="A187" t="s">
        <v>151</v>
      </c>
      <c r="B187" t="s">
        <v>101</v>
      </c>
      <c r="C187" t="s">
        <v>102</v>
      </c>
      <c r="D187" t="s">
        <v>18</v>
      </c>
      <c r="E187" t="s">
        <v>15</v>
      </c>
      <c r="F187">
        <v>0.68921090948826569</v>
      </c>
      <c r="G187">
        <v>0.72842181897653135</v>
      </c>
      <c r="H187">
        <v>0.65</v>
      </c>
      <c r="I187">
        <v>2509079200</v>
      </c>
      <c r="J187">
        <v>63.4</v>
      </c>
      <c r="K187">
        <v>6</v>
      </c>
      <c r="O187" s="2" t="s">
        <v>533</v>
      </c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H187" s="4"/>
      <c r="CI187" s="4"/>
      <c r="CJ187" s="4"/>
      <c r="CK187" s="4"/>
      <c r="CL187" s="4"/>
      <c r="CM187" s="4"/>
      <c r="CN187" s="4"/>
      <c r="CO187" s="4"/>
      <c r="CP187" s="4"/>
      <c r="CQ187" s="4"/>
      <c r="CR187" s="4"/>
      <c r="CS187" s="4"/>
      <c r="CT187" s="4"/>
      <c r="CU187" s="4"/>
      <c r="CV187" s="4"/>
      <c r="CW187" s="4"/>
      <c r="CX187" s="4"/>
      <c r="CY187" s="4"/>
      <c r="CZ187" s="4"/>
      <c r="DA187" s="4"/>
      <c r="DB187" s="4"/>
      <c r="DC187" s="4"/>
      <c r="DD187" s="4"/>
      <c r="DE187" s="4"/>
      <c r="DF187" s="4"/>
      <c r="DG187" s="4"/>
      <c r="DH187" s="4"/>
      <c r="DI187" s="4"/>
      <c r="DJ187" s="4"/>
      <c r="DK187" s="4"/>
      <c r="DL187" s="4"/>
      <c r="DM187" s="4"/>
      <c r="DN187" s="4"/>
      <c r="DO187" s="4">
        <v>0.74517437501788963</v>
      </c>
      <c r="DP187" s="4">
        <v>0.70945801570794254</v>
      </c>
      <c r="DQ187" s="3">
        <v>1.4546323907258323</v>
      </c>
      <c r="DR187">
        <f t="shared" si="4"/>
        <v>2</v>
      </c>
      <c r="DS187" s="4">
        <f t="shared" si="5"/>
        <v>1.9047619047619049E-2</v>
      </c>
    </row>
    <row r="188" spans="1:123" x14ac:dyDescent="0.25">
      <c r="A188" t="s">
        <v>151</v>
      </c>
      <c r="B188" t="s">
        <v>82</v>
      </c>
      <c r="C188" t="s">
        <v>83</v>
      </c>
      <c r="D188" t="s">
        <v>32</v>
      </c>
      <c r="E188" t="s">
        <v>39</v>
      </c>
      <c r="F188">
        <v>0.68310889223599003</v>
      </c>
      <c r="G188">
        <v>0.8162177844719799</v>
      </c>
      <c r="H188">
        <v>0.55000000000000004</v>
      </c>
      <c r="I188">
        <v>31247022200</v>
      </c>
      <c r="J188">
        <v>15</v>
      </c>
      <c r="K188">
        <v>7</v>
      </c>
      <c r="O188" s="2" t="s">
        <v>237</v>
      </c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>
        <v>0.48165288315877131</v>
      </c>
      <c r="AP188" s="4">
        <v>0.52282960200400452</v>
      </c>
      <c r="AQ188" s="4">
        <v>0.49927543275592279</v>
      </c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>
        <v>0.56381296402876979</v>
      </c>
      <c r="BJ188" s="4"/>
      <c r="BK188" s="4"/>
      <c r="BL188" s="4"/>
      <c r="BM188" s="4"/>
      <c r="BN188" s="4"/>
      <c r="BO188" s="4"/>
      <c r="BP188" s="4"/>
      <c r="BQ188" s="4">
        <v>0.62978230266312551</v>
      </c>
      <c r="BR188" s="4">
        <v>0.62290776978053541</v>
      </c>
      <c r="BS188" s="4">
        <v>0.6388592559287456</v>
      </c>
      <c r="BT188" s="4">
        <v>0.65998499484344775</v>
      </c>
      <c r="BU188" s="4">
        <v>0.65340912676249419</v>
      </c>
      <c r="BV188" s="4">
        <v>0.68057478919614933</v>
      </c>
      <c r="BW188" s="4">
        <v>0.73579443025372215</v>
      </c>
      <c r="BX188" s="4">
        <v>0.73467717939953125</v>
      </c>
      <c r="BY188" s="4">
        <v>0.75349773664339526</v>
      </c>
      <c r="BZ188" s="4">
        <v>0.77872486665179541</v>
      </c>
      <c r="CA188" s="4">
        <v>0.80125650602884568</v>
      </c>
      <c r="CB188" s="4">
        <v>0.8230429582333687</v>
      </c>
      <c r="CC188" s="4">
        <v>0.84467543474676354</v>
      </c>
      <c r="CD188" s="4">
        <v>0.77590719415911114</v>
      </c>
      <c r="CE188" s="4">
        <v>0.82844316904818993</v>
      </c>
      <c r="CF188" s="4">
        <v>0.86123227999134988</v>
      </c>
      <c r="CG188" s="4">
        <v>0.80619401040686045</v>
      </c>
      <c r="CH188" s="4">
        <v>0.66074409919088528</v>
      </c>
      <c r="CI188" s="4"/>
      <c r="CJ188" s="4"/>
      <c r="CK188" s="4"/>
      <c r="CL188" s="4"/>
      <c r="CM188" s="4"/>
      <c r="CN188" s="4"/>
      <c r="CO188" s="4">
        <v>0.64074787571431846</v>
      </c>
      <c r="CP188" s="4">
        <v>0.57762745811350225</v>
      </c>
      <c r="CQ188" s="4"/>
      <c r="CR188" s="4"/>
      <c r="CS188" s="4"/>
      <c r="CT188" s="4"/>
      <c r="CU188" s="4"/>
      <c r="CV188" s="4"/>
      <c r="CW188" s="4"/>
      <c r="CX188" s="4"/>
      <c r="CY188" s="4"/>
      <c r="CZ188" s="4"/>
      <c r="DA188" s="4">
        <v>0.64917527379390183</v>
      </c>
      <c r="DB188" s="4">
        <v>0.79993763973169596</v>
      </c>
      <c r="DC188" s="4">
        <v>0.85404504646096591</v>
      </c>
      <c r="DD188" s="4">
        <v>0.81505363200925063</v>
      </c>
      <c r="DE188" s="4">
        <v>0.81089595464056341</v>
      </c>
      <c r="DF188" s="4"/>
      <c r="DG188" s="4">
        <v>0.76135117585353473</v>
      </c>
      <c r="DH188" s="4">
        <v>0.66884670186872075</v>
      </c>
      <c r="DI188" s="4"/>
      <c r="DJ188" s="4"/>
      <c r="DK188" s="4"/>
      <c r="DL188" s="4">
        <v>0.74765352087675119</v>
      </c>
      <c r="DM188" s="4"/>
      <c r="DN188" s="4"/>
      <c r="DO188" s="4"/>
      <c r="DP188" s="4"/>
      <c r="DQ188" s="3">
        <v>22.682613264938986</v>
      </c>
      <c r="DR188">
        <f t="shared" si="4"/>
        <v>32</v>
      </c>
      <c r="DS188" s="4">
        <f t="shared" si="5"/>
        <v>0.30476190476190479</v>
      </c>
    </row>
    <row r="189" spans="1:123" x14ac:dyDescent="0.25">
      <c r="A189" t="s">
        <v>151</v>
      </c>
      <c r="B189" t="s">
        <v>84</v>
      </c>
      <c r="C189" t="s">
        <v>85</v>
      </c>
      <c r="D189" t="s">
        <v>14</v>
      </c>
      <c r="E189" t="s">
        <v>42</v>
      </c>
      <c r="F189">
        <v>0.67135800412945934</v>
      </c>
      <c r="G189">
        <v>0.69271600825891855</v>
      </c>
      <c r="H189">
        <v>0.65</v>
      </c>
      <c r="I189">
        <v>8101778000</v>
      </c>
      <c r="J189">
        <v>135.69999999999999</v>
      </c>
      <c r="K189">
        <v>8</v>
      </c>
      <c r="O189" s="2" t="s">
        <v>164</v>
      </c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>
        <v>0.59146440791088739</v>
      </c>
      <c r="AA189" s="4"/>
      <c r="AB189" s="4"/>
      <c r="AC189" s="4"/>
      <c r="AD189" s="4"/>
      <c r="AE189" s="4"/>
      <c r="AF189" s="4">
        <v>0.54271736627416323</v>
      </c>
      <c r="AG189" s="4"/>
      <c r="AH189" s="4"/>
      <c r="AI189" s="4">
        <v>0.54060196134837268</v>
      </c>
      <c r="AJ189" s="4"/>
      <c r="AK189" s="4"/>
      <c r="AL189" s="4"/>
      <c r="AM189" s="4">
        <v>0.63889277906864705</v>
      </c>
      <c r="AN189" s="4">
        <v>0.58969264295460111</v>
      </c>
      <c r="AO189" s="4">
        <v>0.67739303219054536</v>
      </c>
      <c r="AP189" s="4">
        <v>0.6584389314434278</v>
      </c>
      <c r="AQ189" s="4">
        <v>0.55915950186110674</v>
      </c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>
        <v>0.67811950493883466</v>
      </c>
      <c r="CB189" s="4">
        <v>0.67137602045281852</v>
      </c>
      <c r="CC189" s="4">
        <v>0.69595629610589516</v>
      </c>
      <c r="CD189" s="4">
        <v>0.60137330816136769</v>
      </c>
      <c r="CE189" s="4"/>
      <c r="CF189" s="4"/>
      <c r="CG189" s="4"/>
      <c r="CH189" s="4"/>
      <c r="CI189" s="4"/>
      <c r="CJ189" s="4"/>
      <c r="CK189" s="4"/>
      <c r="CL189" s="4"/>
      <c r="CM189" s="4"/>
      <c r="CN189" s="4"/>
      <c r="CO189" s="4"/>
      <c r="CP189" s="4"/>
      <c r="CQ189" s="4"/>
      <c r="CR189" s="4"/>
      <c r="CS189" s="4"/>
      <c r="CT189" s="4"/>
      <c r="CU189" s="4"/>
      <c r="CV189" s="4"/>
      <c r="CW189" s="4"/>
      <c r="CX189" s="4">
        <v>0.59681756257993768</v>
      </c>
      <c r="CY189" s="4">
        <v>0.58778997507557518</v>
      </c>
      <c r="CZ189" s="4">
        <v>0.67685104537634522</v>
      </c>
      <c r="DA189" s="4">
        <v>0.74276208390587284</v>
      </c>
      <c r="DB189" s="4">
        <v>0.82663880686826841</v>
      </c>
      <c r="DC189" s="4"/>
      <c r="DD189" s="4">
        <v>0.72450964133764073</v>
      </c>
      <c r="DE189" s="4"/>
      <c r="DF189" s="4"/>
      <c r="DG189" s="4"/>
      <c r="DH189" s="4"/>
      <c r="DI189" s="4"/>
      <c r="DJ189" s="4"/>
      <c r="DK189" s="4">
        <v>0.6440800812141676</v>
      </c>
      <c r="DL189" s="4">
        <v>0.76898970108487052</v>
      </c>
      <c r="DM189" s="4">
        <v>0.79660111748731444</v>
      </c>
      <c r="DN189" s="4">
        <v>0.74411580442960901</v>
      </c>
      <c r="DO189" s="4"/>
      <c r="DP189" s="4"/>
      <c r="DQ189" s="3">
        <v>14.554341572070271</v>
      </c>
      <c r="DR189">
        <f>COUNT(P189:DP189)</f>
        <v>22</v>
      </c>
      <c r="DS189" s="4">
        <f t="shared" si="5"/>
        <v>0.20952380952380953</v>
      </c>
    </row>
    <row r="190" spans="1:123" x14ac:dyDescent="0.25">
      <c r="A190" t="s">
        <v>151</v>
      </c>
      <c r="B190" t="s">
        <v>37</v>
      </c>
      <c r="C190" t="s">
        <v>38</v>
      </c>
      <c r="D190" t="s">
        <v>18</v>
      </c>
      <c r="E190" t="s">
        <v>39</v>
      </c>
      <c r="F190">
        <v>0.63772961059049904</v>
      </c>
      <c r="G190">
        <v>0.72545922118099815</v>
      </c>
      <c r="H190">
        <v>0.55000000000000004</v>
      </c>
      <c r="I190">
        <v>4677733600</v>
      </c>
      <c r="J190">
        <v>37.6</v>
      </c>
      <c r="K190">
        <v>9</v>
      </c>
      <c r="O190" s="2" t="s">
        <v>204</v>
      </c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>
        <v>0.77935777026094222</v>
      </c>
      <c r="AH190" s="4">
        <v>0.80414783294696135</v>
      </c>
      <c r="AI190" s="4">
        <v>0.75340712547004207</v>
      </c>
      <c r="AJ190" s="4">
        <v>0.66547827211500843</v>
      </c>
      <c r="AK190" s="4">
        <v>0.7106773096728195</v>
      </c>
      <c r="AL190" s="4">
        <v>0.71036805545385939</v>
      </c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>
        <v>0.60425531837416258</v>
      </c>
      <c r="BB190" s="4">
        <v>0.61124576756679305</v>
      </c>
      <c r="BC190" s="4">
        <v>0.6492639776021899</v>
      </c>
      <c r="BD190" s="4">
        <v>0.67087876155440218</v>
      </c>
      <c r="BE190" s="4">
        <v>0.62844620874427926</v>
      </c>
      <c r="BF190" s="4">
        <v>0.62911397579758987</v>
      </c>
      <c r="BG190" s="4">
        <v>0.62839067194571196</v>
      </c>
      <c r="BH190" s="4">
        <v>0.60441658230064654</v>
      </c>
      <c r="BI190" s="4"/>
      <c r="BJ190" s="4">
        <v>0.57279235210258839</v>
      </c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H190" s="4"/>
      <c r="CI190" s="4"/>
      <c r="CJ190" s="4"/>
      <c r="CK190" s="4"/>
      <c r="CL190" s="4"/>
      <c r="CM190" s="4"/>
      <c r="CN190" s="4"/>
      <c r="CO190" s="4"/>
      <c r="CP190" s="4"/>
      <c r="CQ190" s="4"/>
      <c r="CR190" s="4"/>
      <c r="CS190" s="4"/>
      <c r="CT190" s="4"/>
      <c r="CU190" s="4"/>
      <c r="CV190" s="4"/>
      <c r="CW190" s="4"/>
      <c r="CX190" s="4"/>
      <c r="CY190" s="4"/>
      <c r="CZ190" s="4"/>
      <c r="DA190" s="4"/>
      <c r="DB190" s="4"/>
      <c r="DC190" s="4"/>
      <c r="DD190" s="4"/>
      <c r="DE190" s="4"/>
      <c r="DF190" s="4"/>
      <c r="DG190" s="4"/>
      <c r="DH190" s="4"/>
      <c r="DI190" s="4"/>
      <c r="DJ190" s="4"/>
      <c r="DK190" s="4"/>
      <c r="DL190" s="4"/>
      <c r="DM190" s="4"/>
      <c r="DN190" s="4"/>
      <c r="DO190" s="4"/>
      <c r="DP190" s="4"/>
      <c r="DQ190" s="3">
        <v>10.022239981907997</v>
      </c>
      <c r="DR190">
        <f t="shared" ref="DR190:DR198" si="6">COUNT(P190:DP190)</f>
        <v>15</v>
      </c>
      <c r="DS190" s="4">
        <f t="shared" si="5"/>
        <v>0.14285714285714285</v>
      </c>
    </row>
    <row r="191" spans="1:123" x14ac:dyDescent="0.25">
      <c r="A191" t="s">
        <v>151</v>
      </c>
      <c r="B191" t="s">
        <v>147</v>
      </c>
      <c r="C191" t="s">
        <v>148</v>
      </c>
      <c r="D191" t="s">
        <v>32</v>
      </c>
      <c r="E191" t="s">
        <v>59</v>
      </c>
      <c r="F191">
        <v>0.63298472173558706</v>
      </c>
      <c r="G191">
        <v>0.76596944347117413</v>
      </c>
      <c r="H191">
        <v>0.5</v>
      </c>
      <c r="I191">
        <v>33274624300</v>
      </c>
      <c r="J191">
        <v>46.9</v>
      </c>
      <c r="K191">
        <v>10</v>
      </c>
      <c r="O191" s="2" t="s">
        <v>162</v>
      </c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>
        <v>0.64624153895850078</v>
      </c>
      <c r="AA191" s="4">
        <v>0.620464442087024</v>
      </c>
      <c r="AB191" s="4">
        <v>0.66220000768013243</v>
      </c>
      <c r="AC191" s="4">
        <v>0.60322783621733156</v>
      </c>
      <c r="AD191" s="4">
        <v>0.6002412900425349</v>
      </c>
      <c r="AE191" s="4">
        <v>0.56090264175409121</v>
      </c>
      <c r="AF191" s="4">
        <v>0.64644444229445219</v>
      </c>
      <c r="AG191" s="4">
        <v>0.70542411409053729</v>
      </c>
      <c r="AH191" s="4">
        <v>0.61811554105094157</v>
      </c>
      <c r="AI191" s="4">
        <v>0.63214768392065879</v>
      </c>
      <c r="AJ191" s="4"/>
      <c r="AK191" s="4">
        <v>0.6373383839887774</v>
      </c>
      <c r="AL191" s="4">
        <v>0.6941749461307003</v>
      </c>
      <c r="AM191" s="4">
        <v>0.61715020235239915</v>
      </c>
      <c r="AN191" s="4">
        <v>0.57307142195933192</v>
      </c>
      <c r="AO191" s="4"/>
      <c r="AP191" s="4"/>
      <c r="AQ191" s="4"/>
      <c r="AR191" s="4"/>
      <c r="AS191" s="4">
        <v>0.7629765354563105</v>
      </c>
      <c r="AT191" s="4">
        <v>0.74104875168498707</v>
      </c>
      <c r="AU191" s="4">
        <v>0.73088028557866025</v>
      </c>
      <c r="AV191" s="4">
        <v>0.74303286547726999</v>
      </c>
      <c r="AW191" s="4">
        <v>0.71909278177713087</v>
      </c>
      <c r="AX191" s="4">
        <v>0.66169197678207392</v>
      </c>
      <c r="AY191" s="4">
        <v>0.67893879540875923</v>
      </c>
      <c r="AZ191" s="4">
        <v>0.57421057461147196</v>
      </c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>
        <v>0.62033920267090903</v>
      </c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H191" s="4"/>
      <c r="CI191" s="4"/>
      <c r="CJ191" s="4"/>
      <c r="CK191" s="4"/>
      <c r="CL191" s="4"/>
      <c r="CM191" s="4"/>
      <c r="CN191" s="4"/>
      <c r="CO191" s="4"/>
      <c r="CP191" s="4"/>
      <c r="CQ191" s="4"/>
      <c r="CR191" s="4"/>
      <c r="CS191" s="4"/>
      <c r="CT191" s="4"/>
      <c r="CU191" s="4"/>
      <c r="CV191" s="4"/>
      <c r="CW191" s="4">
        <v>0.56889951131487737</v>
      </c>
      <c r="CX191" s="4">
        <v>0.59691746157748105</v>
      </c>
      <c r="CY191" s="4"/>
      <c r="CZ191" s="4">
        <v>0.61075851761578615</v>
      </c>
      <c r="DA191" s="4">
        <v>0.56520766116411014</v>
      </c>
      <c r="DB191" s="4"/>
      <c r="DC191" s="4"/>
      <c r="DD191" s="4"/>
      <c r="DE191" s="4">
        <v>0.76265934465396779</v>
      </c>
      <c r="DF191" s="4">
        <v>0.8379706869832626</v>
      </c>
      <c r="DG191" s="4">
        <v>0.81878155854311618</v>
      </c>
      <c r="DH191" s="4">
        <v>0.81870289398164542</v>
      </c>
      <c r="DI191" s="4">
        <v>0.7437540924724817</v>
      </c>
      <c r="DJ191" s="4"/>
      <c r="DK191" s="4"/>
      <c r="DL191" s="4"/>
      <c r="DM191" s="4"/>
      <c r="DN191" s="4">
        <v>0.69352881688544543</v>
      </c>
      <c r="DO191" s="4">
        <v>0.66716316740566084</v>
      </c>
      <c r="DP191" s="4"/>
      <c r="DQ191" s="3">
        <v>22.733699974572819</v>
      </c>
      <c r="DR191">
        <f t="shared" si="6"/>
        <v>34</v>
      </c>
      <c r="DS191" s="4">
        <f t="shared" si="5"/>
        <v>0.32380952380952382</v>
      </c>
    </row>
    <row r="192" spans="1:123" x14ac:dyDescent="0.25">
      <c r="A192" t="s">
        <v>151</v>
      </c>
      <c r="B192" t="s">
        <v>72</v>
      </c>
      <c r="C192" t="s">
        <v>73</v>
      </c>
      <c r="D192" t="s">
        <v>32</v>
      </c>
      <c r="E192" t="s">
        <v>74</v>
      </c>
      <c r="F192">
        <v>0.63022394919588254</v>
      </c>
      <c r="G192">
        <v>0.71044789839176503</v>
      </c>
      <c r="H192">
        <v>0.55000000000000004</v>
      </c>
      <c r="I192">
        <v>281270409600</v>
      </c>
      <c r="J192">
        <v>42.3</v>
      </c>
      <c r="K192">
        <v>11</v>
      </c>
      <c r="O192" s="2" t="s">
        <v>135</v>
      </c>
      <c r="P192" s="4"/>
      <c r="Q192" s="4"/>
      <c r="R192" s="4"/>
      <c r="S192" s="4"/>
      <c r="T192" s="4"/>
      <c r="U192" s="4"/>
      <c r="V192" s="4">
        <v>0.62965635676783549</v>
      </c>
      <c r="W192" s="4"/>
      <c r="X192" s="4">
        <v>0.63407400416793769</v>
      </c>
      <c r="Y192" s="4">
        <v>0.62653937974002383</v>
      </c>
      <c r="Z192" s="4"/>
      <c r="AA192" s="4">
        <v>0.60656141958814747</v>
      </c>
      <c r="AB192" s="4"/>
      <c r="AC192" s="4"/>
      <c r="AD192" s="4">
        <v>0.63279738626136139</v>
      </c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>
        <v>0.60668549007197536</v>
      </c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>
        <v>0.63428699717405757</v>
      </c>
      <c r="BZ192" s="4">
        <v>0.74836043126225027</v>
      </c>
      <c r="CA192" s="4">
        <v>0.6733681559162904</v>
      </c>
      <c r="CB192" s="4">
        <v>0.63588727362579256</v>
      </c>
      <c r="CC192" s="4">
        <v>0.66511133870822181</v>
      </c>
      <c r="CD192" s="4">
        <v>0.72852901382379409</v>
      </c>
      <c r="CE192" s="4">
        <v>0.67008993734622835</v>
      </c>
      <c r="CF192" s="4"/>
      <c r="CG192" s="4">
        <v>0.74104038332279765</v>
      </c>
      <c r="CH192" s="4">
        <v>0.62396103150301885</v>
      </c>
      <c r="CI192" s="4">
        <v>0.65281187414599662</v>
      </c>
      <c r="CJ192" s="4">
        <v>0.68908146024524686</v>
      </c>
      <c r="CK192" s="4">
        <v>0.57690034954447977</v>
      </c>
      <c r="CL192" s="4"/>
      <c r="CM192" s="4"/>
      <c r="CN192" s="4"/>
      <c r="CO192" s="4"/>
      <c r="CP192" s="4">
        <v>0.63304057945753511</v>
      </c>
      <c r="CQ192" s="4">
        <v>0.59588909849000982</v>
      </c>
      <c r="CR192" s="4">
        <v>0.65050500165091996</v>
      </c>
      <c r="CS192" s="4">
        <v>0.58061230536584418</v>
      </c>
      <c r="CT192" s="4"/>
      <c r="CU192" s="4"/>
      <c r="CV192" s="4"/>
      <c r="CW192" s="4"/>
      <c r="CX192" s="4">
        <v>0.60708629252651725</v>
      </c>
      <c r="CY192" s="4">
        <v>0.61458428505600016</v>
      </c>
      <c r="CZ192" s="4">
        <v>0.61019518657599769</v>
      </c>
      <c r="DA192" s="4">
        <v>0.5789812395966627</v>
      </c>
      <c r="DB192" s="4"/>
      <c r="DC192" s="4"/>
      <c r="DD192" s="4"/>
      <c r="DE192" s="4"/>
      <c r="DF192" s="4"/>
      <c r="DG192" s="4"/>
      <c r="DH192" s="4"/>
      <c r="DI192" s="4"/>
      <c r="DJ192" s="4"/>
      <c r="DK192" s="4"/>
      <c r="DL192" s="4">
        <v>0.90213781637630031</v>
      </c>
      <c r="DM192" s="4">
        <v>0.91113662855995647</v>
      </c>
      <c r="DN192" s="4">
        <v>0.82587661116763278</v>
      </c>
      <c r="DO192" s="4">
        <v>0.98355250870714173</v>
      </c>
      <c r="DP192" s="4">
        <v>0.98668182275040994</v>
      </c>
      <c r="DQ192" s="3">
        <v>21.25602165949638</v>
      </c>
      <c r="DR192">
        <f t="shared" si="6"/>
        <v>31</v>
      </c>
      <c r="DS192" s="4">
        <f t="shared" si="5"/>
        <v>0.29523809523809524</v>
      </c>
    </row>
    <row r="193" spans="1:123" x14ac:dyDescent="0.25">
      <c r="A193" t="s">
        <v>151</v>
      </c>
      <c r="B193" t="s">
        <v>135</v>
      </c>
      <c r="C193" t="s">
        <v>136</v>
      </c>
      <c r="D193" t="s">
        <v>32</v>
      </c>
      <c r="E193" t="s">
        <v>29</v>
      </c>
      <c r="F193">
        <v>0.62653937974002383</v>
      </c>
      <c r="G193">
        <v>0.75307875948004765</v>
      </c>
      <c r="H193">
        <v>0.5</v>
      </c>
      <c r="I193">
        <v>187347672100</v>
      </c>
      <c r="J193">
        <v>14.95</v>
      </c>
      <c r="K193">
        <v>12</v>
      </c>
      <c r="O193" s="2" t="s">
        <v>410</v>
      </c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>
        <v>0.60680104531100487</v>
      </c>
      <c r="CF193" s="4">
        <v>0.63828070948569293</v>
      </c>
      <c r="CG193" s="4">
        <v>0.70056408320156671</v>
      </c>
      <c r="CH193" s="4">
        <v>0.65198761220852186</v>
      </c>
      <c r="CI193" s="4">
        <v>0.62842778765205087</v>
      </c>
      <c r="CJ193" s="4">
        <v>0.72954115843559053</v>
      </c>
      <c r="CK193" s="4">
        <v>0.71237576069576014</v>
      </c>
      <c r="CL193" s="4">
        <v>0.64079948287732291</v>
      </c>
      <c r="CM193" s="4"/>
      <c r="CN193" s="4"/>
      <c r="CO193" s="4"/>
      <c r="CP193" s="4"/>
      <c r="CQ193" s="4"/>
      <c r="CR193" s="4"/>
      <c r="CS193" s="4"/>
      <c r="CT193" s="4"/>
      <c r="CU193" s="4"/>
      <c r="CV193" s="4"/>
      <c r="CW193" s="4"/>
      <c r="CX193" s="4"/>
      <c r="CY193" s="4"/>
      <c r="CZ193" s="4"/>
      <c r="DA193" s="4"/>
      <c r="DB193" s="4"/>
      <c r="DC193" s="4">
        <v>0.70336498441638307</v>
      </c>
      <c r="DD193" s="4">
        <v>0.67540566180578765</v>
      </c>
      <c r="DE193" s="4"/>
      <c r="DF193" s="4"/>
      <c r="DG193" s="4"/>
      <c r="DH193" s="4"/>
      <c r="DI193" s="4"/>
      <c r="DJ193" s="4"/>
      <c r="DK193" s="4"/>
      <c r="DL193" s="4"/>
      <c r="DM193" s="4"/>
      <c r="DN193" s="4"/>
      <c r="DO193" s="4"/>
      <c r="DP193" s="4"/>
      <c r="DQ193" s="3">
        <v>6.6875482860896813</v>
      </c>
      <c r="DR193">
        <f t="shared" si="6"/>
        <v>10</v>
      </c>
      <c r="DS193" s="4">
        <f t="shared" si="5"/>
        <v>9.5238095238095233E-2</v>
      </c>
    </row>
    <row r="194" spans="1:123" x14ac:dyDescent="0.25">
      <c r="A194" t="s">
        <v>151</v>
      </c>
      <c r="B194" t="s">
        <v>152</v>
      </c>
      <c r="C194" t="s">
        <v>153</v>
      </c>
      <c r="D194" t="s">
        <v>32</v>
      </c>
      <c r="E194" t="s">
        <v>74</v>
      </c>
      <c r="F194">
        <v>0.62422400633653896</v>
      </c>
      <c r="G194">
        <v>0.64844801267307783</v>
      </c>
      <c r="H194">
        <v>0.6</v>
      </c>
      <c r="I194">
        <v>334199527500</v>
      </c>
      <c r="J194">
        <v>38.85</v>
      </c>
      <c r="K194">
        <v>13</v>
      </c>
      <c r="O194" s="2" t="s">
        <v>190</v>
      </c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>
        <v>0.55995577554224174</v>
      </c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H194" s="4"/>
      <c r="CI194" s="4"/>
      <c r="CJ194" s="4"/>
      <c r="CK194" s="4"/>
      <c r="CL194" s="4"/>
      <c r="CM194" s="4"/>
      <c r="CN194" s="4"/>
      <c r="CO194" s="4"/>
      <c r="CP194" s="4"/>
      <c r="CQ194" s="4"/>
      <c r="CR194" s="4"/>
      <c r="CS194" s="4"/>
      <c r="CT194" s="4"/>
      <c r="CU194" s="4"/>
      <c r="CV194" s="4"/>
      <c r="CW194" s="4"/>
      <c r="CX194" s="4"/>
      <c r="CY194" s="4"/>
      <c r="CZ194" s="4"/>
      <c r="DA194" s="4"/>
      <c r="DB194" s="4"/>
      <c r="DC194" s="4"/>
      <c r="DD194" s="4"/>
      <c r="DE194" s="4"/>
      <c r="DF194" s="4"/>
      <c r="DG194" s="4"/>
      <c r="DH194" s="4"/>
      <c r="DI194" s="4"/>
      <c r="DJ194" s="4"/>
      <c r="DK194" s="4"/>
      <c r="DL194" s="4"/>
      <c r="DM194" s="4"/>
      <c r="DN194" s="4"/>
      <c r="DO194" s="4">
        <v>0.69036388816277072</v>
      </c>
      <c r="DP194" s="4"/>
      <c r="DQ194" s="3">
        <v>1.2503196637050125</v>
      </c>
      <c r="DR194">
        <f t="shared" si="6"/>
        <v>2</v>
      </c>
      <c r="DS194" s="4">
        <f t="shared" si="5"/>
        <v>1.9047619047619049E-2</v>
      </c>
    </row>
    <row r="195" spans="1:123" x14ac:dyDescent="0.25">
      <c r="A195" t="s">
        <v>151</v>
      </c>
      <c r="B195" t="s">
        <v>154</v>
      </c>
      <c r="C195" t="s">
        <v>155</v>
      </c>
      <c r="D195" t="s">
        <v>32</v>
      </c>
      <c r="E195" t="s">
        <v>39</v>
      </c>
      <c r="F195">
        <v>0.61141179295355408</v>
      </c>
      <c r="G195">
        <v>0.87282358590710818</v>
      </c>
      <c r="H195">
        <v>0.35</v>
      </c>
      <c r="I195">
        <v>104588568600</v>
      </c>
      <c r="J195">
        <v>33.200000000000003</v>
      </c>
      <c r="K195">
        <v>14</v>
      </c>
      <c r="O195" s="2" t="s">
        <v>374</v>
      </c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>
        <v>0.57642629686874369</v>
      </c>
      <c r="BY195" s="4"/>
      <c r="BZ195" s="4"/>
      <c r="CA195" s="4"/>
      <c r="CB195" s="4"/>
      <c r="CC195" s="4"/>
      <c r="CD195" s="4"/>
      <c r="CE195" s="4"/>
      <c r="CF195" s="4"/>
      <c r="CG195" s="4"/>
      <c r="CH195" s="4"/>
      <c r="CI195" s="4"/>
      <c r="CJ195" s="4"/>
      <c r="CK195" s="4"/>
      <c r="CL195" s="4"/>
      <c r="CM195" s="4"/>
      <c r="CN195" s="4"/>
      <c r="CO195" s="4"/>
      <c r="CP195" s="4"/>
      <c r="CQ195" s="4"/>
      <c r="CR195" s="4"/>
      <c r="CS195" s="4"/>
      <c r="CT195" s="4"/>
      <c r="CU195" s="4"/>
      <c r="CV195" s="4"/>
      <c r="CW195" s="4"/>
      <c r="CX195" s="4"/>
      <c r="CY195" s="4"/>
      <c r="CZ195" s="4"/>
      <c r="DA195" s="4"/>
      <c r="DB195" s="4"/>
      <c r="DC195" s="4"/>
      <c r="DD195" s="4"/>
      <c r="DE195" s="4"/>
      <c r="DF195" s="4"/>
      <c r="DG195" s="4"/>
      <c r="DH195" s="4"/>
      <c r="DI195" s="4"/>
      <c r="DJ195" s="4"/>
      <c r="DK195" s="4"/>
      <c r="DL195" s="4"/>
      <c r="DM195" s="4"/>
      <c r="DN195" s="4"/>
      <c r="DO195" s="4"/>
      <c r="DP195" s="4"/>
      <c r="DQ195" s="3">
        <v>0.57642629686874369</v>
      </c>
      <c r="DR195">
        <f t="shared" si="6"/>
        <v>1</v>
      </c>
      <c r="DS195" s="4">
        <f t="shared" si="5"/>
        <v>9.5238095238095247E-3</v>
      </c>
    </row>
    <row r="196" spans="1:123" x14ac:dyDescent="0.25">
      <c r="A196" t="s">
        <v>151</v>
      </c>
      <c r="B196" t="s">
        <v>120</v>
      </c>
      <c r="C196" t="s">
        <v>121</v>
      </c>
      <c r="D196" t="s">
        <v>32</v>
      </c>
      <c r="E196" t="s">
        <v>29</v>
      </c>
      <c r="F196">
        <v>0.60268778389642919</v>
      </c>
      <c r="G196">
        <v>0.60537556779285839</v>
      </c>
      <c r="H196">
        <v>0.6</v>
      </c>
      <c r="I196">
        <v>258261355000</v>
      </c>
      <c r="J196">
        <v>38.9</v>
      </c>
      <c r="K196">
        <v>15</v>
      </c>
      <c r="O196" s="2" t="s">
        <v>307</v>
      </c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>
        <v>0.55796882227082589</v>
      </c>
      <c r="BD196" s="4"/>
      <c r="BE196" s="4"/>
      <c r="BF196" s="4"/>
      <c r="BG196" s="4"/>
      <c r="BH196" s="4">
        <v>0.59017310553880353</v>
      </c>
      <c r="BI196" s="4">
        <v>0.59077216080996331</v>
      </c>
      <c r="BJ196" s="4">
        <v>0.58658354465321116</v>
      </c>
      <c r="BK196" s="4">
        <v>0.56692892004911222</v>
      </c>
      <c r="BL196" s="4">
        <v>0.60563888952113065</v>
      </c>
      <c r="BM196" s="4">
        <v>0.59971789928613639</v>
      </c>
      <c r="BN196" s="4">
        <v>0.60204828815992562</v>
      </c>
      <c r="BO196" s="4">
        <v>0.67195293587248817</v>
      </c>
      <c r="BP196" s="4">
        <v>0.65647147898855263</v>
      </c>
      <c r="BQ196" s="4">
        <v>0.75144659358781263</v>
      </c>
      <c r="BR196" s="4">
        <v>0.57146028461110587</v>
      </c>
      <c r="BS196" s="4">
        <v>0.64240439048655607</v>
      </c>
      <c r="BT196" s="4">
        <v>0.67230708099175629</v>
      </c>
      <c r="BU196" s="4">
        <v>0.60815619237539198</v>
      </c>
      <c r="BV196" s="4">
        <v>0.7085796382659223</v>
      </c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H196" s="4"/>
      <c r="CI196" s="4"/>
      <c r="CJ196" s="4"/>
      <c r="CK196" s="4"/>
      <c r="CL196" s="4"/>
      <c r="CM196" s="4"/>
      <c r="CN196" s="4"/>
      <c r="CO196" s="4"/>
      <c r="CP196" s="4"/>
      <c r="CQ196" s="4"/>
      <c r="CR196" s="4"/>
      <c r="CS196" s="4"/>
      <c r="CT196" s="4"/>
      <c r="CU196" s="4"/>
      <c r="CV196" s="4"/>
      <c r="CW196" s="4"/>
      <c r="CX196" s="4"/>
      <c r="CY196" s="4"/>
      <c r="CZ196" s="4"/>
      <c r="DA196" s="4"/>
      <c r="DB196" s="4"/>
      <c r="DC196" s="4"/>
      <c r="DD196" s="4"/>
      <c r="DE196" s="4"/>
      <c r="DF196" s="4"/>
      <c r="DG196" s="4"/>
      <c r="DH196" s="4"/>
      <c r="DI196" s="4"/>
      <c r="DJ196" s="4"/>
      <c r="DK196" s="4"/>
      <c r="DL196" s="4"/>
      <c r="DM196" s="4"/>
      <c r="DN196" s="4"/>
      <c r="DO196" s="4"/>
      <c r="DP196" s="4"/>
      <c r="DQ196" s="3">
        <v>9.9826102254686937</v>
      </c>
      <c r="DR196">
        <f t="shared" si="6"/>
        <v>16</v>
      </c>
      <c r="DS196" s="4">
        <f t="shared" ref="DS196:DS198" si="7">DR196/$DR$2</f>
        <v>0.15238095238095239</v>
      </c>
    </row>
    <row r="197" spans="1:123" x14ac:dyDescent="0.25">
      <c r="A197" t="s">
        <v>151</v>
      </c>
      <c r="B197" t="s">
        <v>156</v>
      </c>
      <c r="C197" t="s">
        <v>157</v>
      </c>
      <c r="D197" t="s">
        <v>14</v>
      </c>
      <c r="E197" t="s">
        <v>26</v>
      </c>
      <c r="F197">
        <v>0.60246912565106003</v>
      </c>
      <c r="G197">
        <v>0.60493825130212009</v>
      </c>
      <c r="H197">
        <v>0.6</v>
      </c>
      <c r="I197">
        <v>13371102400</v>
      </c>
      <c r="J197">
        <v>6.9</v>
      </c>
      <c r="K197">
        <v>16</v>
      </c>
      <c r="O197" s="2" t="s">
        <v>257</v>
      </c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>
        <v>0.58271080601694214</v>
      </c>
      <c r="AS197" s="4">
        <v>0.66731752265072042</v>
      </c>
      <c r="AT197" s="4">
        <v>0.64284165229462953</v>
      </c>
      <c r="AU197" s="4">
        <v>0.61920337493687339</v>
      </c>
      <c r="AV197" s="4">
        <v>0.69354802856684661</v>
      </c>
      <c r="AW197" s="4">
        <v>0.68374116296552578</v>
      </c>
      <c r="AX197" s="4">
        <v>0.60807418086799048</v>
      </c>
      <c r="AY197" s="4"/>
      <c r="AZ197" s="4">
        <v>0.64066355173060985</v>
      </c>
      <c r="BA197" s="4">
        <v>0.54719640215286525</v>
      </c>
      <c r="BB197" s="4">
        <v>0.59475482954469849</v>
      </c>
      <c r="BC197" s="4">
        <v>0.59020385597835545</v>
      </c>
      <c r="BD197" s="4"/>
      <c r="BE197" s="4"/>
      <c r="BF197" s="4"/>
      <c r="BG197" s="4">
        <v>0.6663766999827494</v>
      </c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H197" s="4"/>
      <c r="CI197" s="4"/>
      <c r="CJ197" s="4"/>
      <c r="CK197" s="4"/>
      <c r="CL197" s="4"/>
      <c r="CM197" s="4"/>
      <c r="CN197" s="4"/>
      <c r="CO197" s="4"/>
      <c r="CP197" s="4"/>
      <c r="CQ197" s="4"/>
      <c r="CR197" s="4"/>
      <c r="CS197" s="4"/>
      <c r="CT197" s="4"/>
      <c r="CU197" s="4"/>
      <c r="CV197" s="4"/>
      <c r="CW197" s="4"/>
      <c r="CX197" s="4"/>
      <c r="CY197" s="4"/>
      <c r="CZ197" s="4"/>
      <c r="DA197" s="4"/>
      <c r="DB197" s="4"/>
      <c r="DC197" s="4"/>
      <c r="DD197" s="4"/>
      <c r="DE197" s="4"/>
      <c r="DF197" s="4"/>
      <c r="DG197" s="4"/>
      <c r="DH197" s="4"/>
      <c r="DI197" s="4"/>
      <c r="DJ197" s="4"/>
      <c r="DK197" s="4"/>
      <c r="DL197" s="4"/>
      <c r="DM197" s="4"/>
      <c r="DN197" s="4"/>
      <c r="DO197" s="4"/>
      <c r="DP197" s="4"/>
      <c r="DQ197" s="3">
        <v>7.5366320676888066</v>
      </c>
      <c r="DR197">
        <f t="shared" si="6"/>
        <v>12</v>
      </c>
      <c r="DS197" s="4">
        <f t="shared" si="7"/>
        <v>0.11428571428571428</v>
      </c>
    </row>
    <row r="198" spans="1:123" x14ac:dyDescent="0.25">
      <c r="A198" t="s">
        <v>151</v>
      </c>
      <c r="B198" t="s">
        <v>125</v>
      </c>
      <c r="C198" t="s">
        <v>126</v>
      </c>
      <c r="D198" t="s">
        <v>32</v>
      </c>
      <c r="E198" t="s">
        <v>127</v>
      </c>
      <c r="F198">
        <v>0.59684167325567317</v>
      </c>
      <c r="G198">
        <v>0.54368334651134642</v>
      </c>
      <c r="H198">
        <v>0.65</v>
      </c>
      <c r="I198">
        <v>3771946920</v>
      </c>
      <c r="J198">
        <v>7.28</v>
      </c>
      <c r="K198">
        <v>17</v>
      </c>
      <c r="O198" s="2" t="s">
        <v>40</v>
      </c>
      <c r="P198" s="4">
        <v>0.6888926428124964</v>
      </c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H198" s="4"/>
      <c r="CI198" s="4"/>
      <c r="CJ198" s="4"/>
      <c r="CK198" s="4"/>
      <c r="CL198" s="4"/>
      <c r="CM198" s="4"/>
      <c r="CN198" s="4"/>
      <c r="CO198" s="4"/>
      <c r="CP198" s="4"/>
      <c r="CQ198" s="4"/>
      <c r="CR198" s="4"/>
      <c r="CS198" s="4"/>
      <c r="CT198" s="4"/>
      <c r="CU198" s="4"/>
      <c r="CV198" s="4"/>
      <c r="CW198" s="4"/>
      <c r="CX198" s="4"/>
      <c r="CY198" s="4"/>
      <c r="CZ198" s="4"/>
      <c r="DA198" s="4"/>
      <c r="DB198" s="4"/>
      <c r="DC198" s="4"/>
      <c r="DD198" s="4"/>
      <c r="DE198" s="4"/>
      <c r="DF198" s="4"/>
      <c r="DG198" s="4"/>
      <c r="DH198" s="4"/>
      <c r="DI198" s="4"/>
      <c r="DJ198" s="4"/>
      <c r="DK198" s="4"/>
      <c r="DL198" s="4"/>
      <c r="DM198" s="4"/>
      <c r="DN198" s="4"/>
      <c r="DO198" s="4"/>
      <c r="DP198" s="4"/>
      <c r="DQ198" s="3">
        <v>0.6888926428124964</v>
      </c>
      <c r="DR198">
        <f t="shared" si="6"/>
        <v>1</v>
      </c>
      <c r="DS198" s="4">
        <f t="shared" si="7"/>
        <v>9.5238095238095247E-3</v>
      </c>
    </row>
    <row r="199" spans="1:123" x14ac:dyDescent="0.25">
      <c r="A199" t="s">
        <v>151</v>
      </c>
      <c r="B199" t="s">
        <v>118</v>
      </c>
      <c r="C199" t="s">
        <v>119</v>
      </c>
      <c r="D199" t="s">
        <v>32</v>
      </c>
      <c r="E199" t="s">
        <v>33</v>
      </c>
      <c r="F199">
        <v>0.59678808101176239</v>
      </c>
      <c r="G199">
        <v>0.84357616202352481</v>
      </c>
      <c r="H199">
        <v>0.35</v>
      </c>
      <c r="I199">
        <v>30774237600</v>
      </c>
      <c r="J199">
        <v>79</v>
      </c>
      <c r="K199">
        <v>18</v>
      </c>
      <c r="O199" s="2" t="s">
        <v>543</v>
      </c>
      <c r="P199" s="3">
        <v>14.255880004484901</v>
      </c>
      <c r="Q199" s="3">
        <v>13.410754487222336</v>
      </c>
      <c r="R199" s="3">
        <v>13.579761087338966</v>
      </c>
      <c r="S199" s="3">
        <v>13.224148224654733</v>
      </c>
      <c r="T199" s="3">
        <v>13.540708570874164</v>
      </c>
      <c r="U199" s="3">
        <v>13.809267495380615</v>
      </c>
      <c r="V199" s="3">
        <v>13.553572143291609</v>
      </c>
      <c r="W199" s="3">
        <v>13.949172429386245</v>
      </c>
      <c r="X199" s="3">
        <v>13.604964066379479</v>
      </c>
      <c r="Y199" s="3">
        <v>13.108874349389385</v>
      </c>
      <c r="Z199" s="3">
        <v>13.314944088458635</v>
      </c>
      <c r="AA199" s="3">
        <v>13.261885481035378</v>
      </c>
      <c r="AB199" s="3">
        <v>13.019898849912828</v>
      </c>
      <c r="AC199" s="3">
        <v>12.857588778343993</v>
      </c>
      <c r="AD199" s="3">
        <v>13.014472747220308</v>
      </c>
      <c r="AE199" s="3">
        <v>12.913332862756352</v>
      </c>
      <c r="AF199" s="3">
        <v>12.847075810981007</v>
      </c>
      <c r="AG199" s="3">
        <v>13.033669399571826</v>
      </c>
      <c r="AH199" s="3">
        <v>12.714558892607329</v>
      </c>
      <c r="AI199" s="3">
        <v>13.146064085098844</v>
      </c>
      <c r="AJ199" s="3">
        <v>12.49672978791237</v>
      </c>
      <c r="AK199" s="3">
        <v>13.365146572675478</v>
      </c>
      <c r="AL199" s="3">
        <v>13.815358463859663</v>
      </c>
      <c r="AM199" s="3">
        <v>13.090410266113185</v>
      </c>
      <c r="AN199" s="3">
        <v>12.865387594110828</v>
      </c>
      <c r="AO199" s="3">
        <v>10.802462547408084</v>
      </c>
      <c r="AP199" s="3">
        <v>10.580227591381318</v>
      </c>
      <c r="AQ199" s="3">
        <v>11.939571621423614</v>
      </c>
      <c r="AR199" s="3">
        <v>12.439984397458041</v>
      </c>
      <c r="AS199" s="3">
        <v>12.964781234264859</v>
      </c>
      <c r="AT199" s="3">
        <v>12.748975977627687</v>
      </c>
      <c r="AU199" s="3">
        <v>12.903953998756153</v>
      </c>
      <c r="AV199" s="3">
        <v>13.127250133619965</v>
      </c>
      <c r="AW199" s="3">
        <v>13.1051897999176</v>
      </c>
      <c r="AX199" s="3">
        <v>13.303614298785597</v>
      </c>
      <c r="AY199" s="3">
        <v>13.61257043302836</v>
      </c>
      <c r="AZ199" s="3">
        <v>12.997006150910893</v>
      </c>
      <c r="BA199" s="3">
        <v>12.676930208693097</v>
      </c>
      <c r="BB199" s="3">
        <v>13.275472036594815</v>
      </c>
      <c r="BC199" s="3">
        <v>12.819114155953793</v>
      </c>
      <c r="BD199" s="3">
        <v>13.207595263852138</v>
      </c>
      <c r="BE199" s="3">
        <v>12.899284413631189</v>
      </c>
      <c r="BF199" s="3">
        <v>13.042485493280916</v>
      </c>
      <c r="BG199" s="3">
        <v>13.858384531964997</v>
      </c>
      <c r="BH199" s="3">
        <v>13.379386304699199</v>
      </c>
      <c r="BI199" s="3">
        <v>12.739673088076122</v>
      </c>
      <c r="BJ199" s="3">
        <v>12.662660654256605</v>
      </c>
      <c r="BK199" s="3">
        <v>12.548128607202703</v>
      </c>
      <c r="BL199" s="3">
        <v>12.590364612860293</v>
      </c>
      <c r="BM199" s="3">
        <v>12.905357437397106</v>
      </c>
      <c r="BN199" s="3">
        <v>13.185699070215643</v>
      </c>
      <c r="BO199" s="3">
        <v>12.925636936395374</v>
      </c>
      <c r="BP199" s="3">
        <v>12.920166813109009</v>
      </c>
      <c r="BQ199" s="3">
        <v>12.801534306185467</v>
      </c>
      <c r="BR199" s="3">
        <v>12.924554135787924</v>
      </c>
      <c r="BS199" s="3">
        <v>12.76815550309756</v>
      </c>
      <c r="BT199" s="3">
        <v>13.116750990974868</v>
      </c>
      <c r="BU199" s="3">
        <v>13.504942727024249</v>
      </c>
      <c r="BV199" s="3">
        <v>13.406411286229071</v>
      </c>
      <c r="BW199" s="3">
        <v>13.202914378853128</v>
      </c>
      <c r="BX199" s="3">
        <v>13.151506468733066</v>
      </c>
      <c r="BY199" s="3">
        <v>13.507164959812467</v>
      </c>
      <c r="BZ199" s="3">
        <v>13.553341337119281</v>
      </c>
      <c r="CA199" s="3">
        <v>13.69723988604928</v>
      </c>
      <c r="CB199" s="3">
        <v>13.353748447161443</v>
      </c>
      <c r="CC199" s="3">
        <v>13.65386449892776</v>
      </c>
      <c r="CD199" s="3">
        <v>13.235256388307954</v>
      </c>
      <c r="CE199" s="3">
        <v>13.091454583667264</v>
      </c>
      <c r="CF199" s="3">
        <v>13.439555292624817</v>
      </c>
      <c r="CG199" s="3">
        <v>13.900333662310533</v>
      </c>
      <c r="CH199" s="3">
        <v>13.155084946475052</v>
      </c>
      <c r="CI199" s="3">
        <v>12.844207768559301</v>
      </c>
      <c r="CJ199" s="3">
        <v>13.361433744205181</v>
      </c>
      <c r="CK199" s="3">
        <v>13.134018205902674</v>
      </c>
      <c r="CL199" s="3">
        <v>13.251157049009226</v>
      </c>
      <c r="CM199" s="3">
        <v>13.30343860639859</v>
      </c>
      <c r="CN199" s="3">
        <v>12.429315325344909</v>
      </c>
      <c r="CO199" s="3">
        <v>12.339761508280741</v>
      </c>
      <c r="CP199" s="3">
        <v>12.675548148925708</v>
      </c>
      <c r="CQ199" s="3">
        <v>12.621761650406485</v>
      </c>
      <c r="CR199" s="3">
        <v>13.046316262690137</v>
      </c>
      <c r="CS199" s="3">
        <v>12.90822742605236</v>
      </c>
      <c r="CT199" s="3">
        <v>12.88673946579328</v>
      </c>
      <c r="CU199" s="3">
        <v>12.491171408252537</v>
      </c>
      <c r="CV199" s="3">
        <v>12.710993258814687</v>
      </c>
      <c r="CW199" s="3">
        <v>12.798704377865333</v>
      </c>
      <c r="CX199" s="3">
        <v>13.045840003827211</v>
      </c>
      <c r="CY199" s="3">
        <v>12.911827147746791</v>
      </c>
      <c r="CZ199" s="3">
        <v>13.211856565383393</v>
      </c>
      <c r="DA199" s="3">
        <v>13.120946627662478</v>
      </c>
      <c r="DB199" s="3">
        <v>13.497062159883052</v>
      </c>
      <c r="DC199" s="3">
        <v>13.852485172391368</v>
      </c>
      <c r="DD199" s="3">
        <v>14.470129205427947</v>
      </c>
      <c r="DE199" s="3">
        <v>14.595265626185043</v>
      </c>
      <c r="DF199" s="3">
        <v>14.65956028951268</v>
      </c>
      <c r="DG199" s="3">
        <v>14.523503318901025</v>
      </c>
      <c r="DH199" s="3">
        <v>14.082742531287083</v>
      </c>
      <c r="DI199" s="3">
        <v>14.372541603222615</v>
      </c>
      <c r="DJ199" s="3">
        <v>14.555838508688797</v>
      </c>
      <c r="DK199" s="3">
        <v>14.118641306300631</v>
      </c>
      <c r="DL199" s="3">
        <v>15.467319256406704</v>
      </c>
      <c r="DM199" s="3">
        <v>15.525520209166119</v>
      </c>
      <c r="DN199" s="3">
        <v>14.720252203706339</v>
      </c>
      <c r="DO199" s="3">
        <v>14.631734159684623</v>
      </c>
      <c r="DP199" s="3">
        <v>14.905944029394774</v>
      </c>
      <c r="DQ199" s="3">
        <v>1392.4911722824472</v>
      </c>
    </row>
    <row r="200" spans="1:123" x14ac:dyDescent="0.25">
      <c r="A200" t="s">
        <v>151</v>
      </c>
      <c r="B200" t="s">
        <v>70</v>
      </c>
      <c r="C200" t="s">
        <v>71</v>
      </c>
      <c r="D200" t="s">
        <v>32</v>
      </c>
      <c r="E200" t="s">
        <v>33</v>
      </c>
      <c r="F200">
        <v>0.5930749478547801</v>
      </c>
      <c r="G200">
        <v>0.78614989570956006</v>
      </c>
      <c r="H200">
        <v>0.4</v>
      </c>
      <c r="I200">
        <v>14541981340</v>
      </c>
      <c r="J200">
        <v>6.45</v>
      </c>
      <c r="K200">
        <v>19</v>
      </c>
    </row>
    <row r="201" spans="1:123" x14ac:dyDescent="0.25">
      <c r="A201" t="s">
        <v>151</v>
      </c>
      <c r="B201" t="s">
        <v>158</v>
      </c>
      <c r="C201" t="s">
        <v>159</v>
      </c>
      <c r="D201" t="s">
        <v>32</v>
      </c>
      <c r="E201" t="s">
        <v>160</v>
      </c>
      <c r="F201">
        <v>0.58966545974114903</v>
      </c>
      <c r="G201">
        <v>0.729330919482298</v>
      </c>
      <c r="H201">
        <v>0.45</v>
      </c>
      <c r="I201">
        <v>9637405900</v>
      </c>
      <c r="J201">
        <v>13.45</v>
      </c>
      <c r="K201">
        <v>20</v>
      </c>
    </row>
    <row r="202" spans="1:123" x14ac:dyDescent="0.25">
      <c r="A202" t="s">
        <v>161</v>
      </c>
      <c r="B202" t="s">
        <v>154</v>
      </c>
      <c r="C202" t="s">
        <v>155</v>
      </c>
      <c r="D202" t="s">
        <v>32</v>
      </c>
      <c r="E202" t="s">
        <v>39</v>
      </c>
      <c r="F202">
        <v>0.78626283593048862</v>
      </c>
      <c r="G202">
        <v>0.77252567186097731</v>
      </c>
      <c r="H202">
        <v>0.8</v>
      </c>
      <c r="I202">
        <v>100813638700</v>
      </c>
      <c r="J202">
        <v>33.1</v>
      </c>
      <c r="K202">
        <v>1</v>
      </c>
    </row>
    <row r="203" spans="1:123" x14ac:dyDescent="0.25">
      <c r="A203" t="s">
        <v>161</v>
      </c>
      <c r="B203" t="s">
        <v>110</v>
      </c>
      <c r="C203" t="s">
        <v>111</v>
      </c>
      <c r="D203" t="s">
        <v>32</v>
      </c>
      <c r="E203" t="s">
        <v>112</v>
      </c>
      <c r="F203">
        <v>0.77425853394345667</v>
      </c>
      <c r="G203">
        <v>0.94851706788691326</v>
      </c>
      <c r="H203">
        <v>0.6</v>
      </c>
      <c r="I203">
        <v>3791990260</v>
      </c>
      <c r="J203">
        <v>5.4</v>
      </c>
      <c r="K203">
        <v>2</v>
      </c>
    </row>
    <row r="204" spans="1:123" x14ac:dyDescent="0.25">
      <c r="A204" t="s">
        <v>161</v>
      </c>
      <c r="B204" t="s">
        <v>75</v>
      </c>
      <c r="C204" t="s">
        <v>76</v>
      </c>
      <c r="D204" t="s">
        <v>18</v>
      </c>
      <c r="E204" t="s">
        <v>33</v>
      </c>
      <c r="F204">
        <v>0.7426727735181442</v>
      </c>
      <c r="G204">
        <v>0.88534554703628832</v>
      </c>
      <c r="H204">
        <v>0.6</v>
      </c>
      <c r="I204">
        <v>5661724400</v>
      </c>
      <c r="J204">
        <v>6</v>
      </c>
      <c r="K204">
        <v>3</v>
      </c>
    </row>
    <row r="205" spans="1:123" x14ac:dyDescent="0.25">
      <c r="A205" t="s">
        <v>161</v>
      </c>
      <c r="B205" t="s">
        <v>45</v>
      </c>
      <c r="C205" t="s">
        <v>46</v>
      </c>
      <c r="D205" t="s">
        <v>14</v>
      </c>
      <c r="E205" t="s">
        <v>15</v>
      </c>
      <c r="F205">
        <v>0.72565590543498715</v>
      </c>
      <c r="G205">
        <v>0.50131181086997423</v>
      </c>
      <c r="H205">
        <v>0.95</v>
      </c>
      <c r="I205">
        <v>3393178200</v>
      </c>
      <c r="J205">
        <v>22.7</v>
      </c>
      <c r="K205">
        <v>4</v>
      </c>
    </row>
    <row r="206" spans="1:123" x14ac:dyDescent="0.25">
      <c r="A206" t="s">
        <v>161</v>
      </c>
      <c r="B206" t="s">
        <v>122</v>
      </c>
      <c r="C206" t="s">
        <v>123</v>
      </c>
      <c r="D206" t="s">
        <v>32</v>
      </c>
      <c r="E206" t="s">
        <v>124</v>
      </c>
      <c r="F206">
        <v>0.71160721837133933</v>
      </c>
      <c r="G206">
        <v>0.9732144367426786</v>
      </c>
      <c r="H206">
        <v>0.45</v>
      </c>
      <c r="I206">
        <v>41654154600</v>
      </c>
      <c r="J206">
        <v>70.8</v>
      </c>
      <c r="K206">
        <v>5</v>
      </c>
    </row>
    <row r="207" spans="1:123" x14ac:dyDescent="0.25">
      <c r="A207" t="s">
        <v>161</v>
      </c>
      <c r="B207" t="s">
        <v>132</v>
      </c>
      <c r="C207" t="s">
        <v>133</v>
      </c>
      <c r="D207" t="s">
        <v>18</v>
      </c>
      <c r="E207" t="s">
        <v>134</v>
      </c>
      <c r="F207">
        <v>0.6849811693050325</v>
      </c>
      <c r="G207">
        <v>0.86996233861006489</v>
      </c>
      <c r="H207">
        <v>0.5</v>
      </c>
      <c r="I207">
        <v>2552470400</v>
      </c>
      <c r="J207">
        <v>14.3</v>
      </c>
      <c r="K207">
        <v>6</v>
      </c>
    </row>
    <row r="208" spans="1:123" x14ac:dyDescent="0.25">
      <c r="A208" t="s">
        <v>161</v>
      </c>
      <c r="B208" t="s">
        <v>84</v>
      </c>
      <c r="C208" t="s">
        <v>85</v>
      </c>
      <c r="D208" t="s">
        <v>14</v>
      </c>
      <c r="E208" t="s">
        <v>42</v>
      </c>
      <c r="F208">
        <v>0.67804488285816678</v>
      </c>
      <c r="G208">
        <v>0.65608976571633359</v>
      </c>
      <c r="H208">
        <v>0.7</v>
      </c>
      <c r="I208">
        <v>8190980400</v>
      </c>
      <c r="J208">
        <v>133</v>
      </c>
      <c r="K208">
        <v>7</v>
      </c>
    </row>
    <row r="209" spans="1:11" x14ac:dyDescent="0.25">
      <c r="A209" t="s">
        <v>161</v>
      </c>
      <c r="B209" t="s">
        <v>101</v>
      </c>
      <c r="C209" t="s">
        <v>102</v>
      </c>
      <c r="D209" t="s">
        <v>18</v>
      </c>
      <c r="E209" t="s">
        <v>15</v>
      </c>
      <c r="F209">
        <v>0.66270205448679764</v>
      </c>
      <c r="G209">
        <v>0.67540410897359526</v>
      </c>
      <c r="H209">
        <v>0.65</v>
      </c>
      <c r="I209">
        <v>2557423200</v>
      </c>
      <c r="J209">
        <v>63.9</v>
      </c>
      <c r="K209">
        <v>8</v>
      </c>
    </row>
    <row r="210" spans="1:11" x14ac:dyDescent="0.25">
      <c r="A210" t="s">
        <v>161</v>
      </c>
      <c r="B210" t="s">
        <v>108</v>
      </c>
      <c r="C210" t="s">
        <v>109</v>
      </c>
      <c r="D210" t="s">
        <v>32</v>
      </c>
      <c r="E210" t="s">
        <v>33</v>
      </c>
      <c r="F210">
        <v>0.6626893471375519</v>
      </c>
      <c r="G210">
        <v>0.8253786942751038</v>
      </c>
      <c r="H210">
        <v>0.5</v>
      </c>
      <c r="I210">
        <v>79602123400</v>
      </c>
      <c r="J210">
        <v>18</v>
      </c>
      <c r="K210">
        <v>9</v>
      </c>
    </row>
    <row r="211" spans="1:11" x14ac:dyDescent="0.25">
      <c r="A211" t="s">
        <v>161</v>
      </c>
      <c r="B211" t="s">
        <v>82</v>
      </c>
      <c r="C211" t="s">
        <v>83</v>
      </c>
      <c r="D211" t="s">
        <v>32</v>
      </c>
      <c r="E211" t="s">
        <v>39</v>
      </c>
      <c r="F211">
        <v>0.65652674133951483</v>
      </c>
      <c r="G211">
        <v>0.81305348267902955</v>
      </c>
      <c r="H211">
        <v>0.5</v>
      </c>
      <c r="I211">
        <v>31641356000</v>
      </c>
      <c r="J211">
        <v>15.1</v>
      </c>
      <c r="K211">
        <v>10</v>
      </c>
    </row>
    <row r="212" spans="1:11" x14ac:dyDescent="0.25">
      <c r="A212" t="s">
        <v>161</v>
      </c>
      <c r="B212" t="s">
        <v>99</v>
      </c>
      <c r="C212" t="s">
        <v>100</v>
      </c>
      <c r="D212" t="s">
        <v>32</v>
      </c>
      <c r="E212" t="s">
        <v>29</v>
      </c>
      <c r="F212">
        <v>0.64764122313914785</v>
      </c>
      <c r="G212">
        <v>0.84528244627829574</v>
      </c>
      <c r="H212">
        <v>0.45</v>
      </c>
      <c r="I212">
        <v>28485908400</v>
      </c>
      <c r="J212">
        <v>56.4</v>
      </c>
      <c r="K212">
        <v>11</v>
      </c>
    </row>
    <row r="213" spans="1:11" x14ac:dyDescent="0.25">
      <c r="A213" t="s">
        <v>161</v>
      </c>
      <c r="B213" t="s">
        <v>162</v>
      </c>
      <c r="C213" t="s">
        <v>163</v>
      </c>
      <c r="D213" t="s">
        <v>32</v>
      </c>
      <c r="E213" t="s">
        <v>29</v>
      </c>
      <c r="F213">
        <v>0.64624153895850078</v>
      </c>
      <c r="G213">
        <v>0.6924830779170017</v>
      </c>
      <c r="H213">
        <v>0.6</v>
      </c>
      <c r="I213">
        <v>338822791900</v>
      </c>
      <c r="J213">
        <v>12.3</v>
      </c>
      <c r="K213">
        <v>12</v>
      </c>
    </row>
    <row r="214" spans="1:11" x14ac:dyDescent="0.25">
      <c r="A214" t="s">
        <v>161</v>
      </c>
      <c r="B214" t="s">
        <v>118</v>
      </c>
      <c r="C214" t="s">
        <v>119</v>
      </c>
      <c r="D214" t="s">
        <v>32</v>
      </c>
      <c r="E214" t="s">
        <v>33</v>
      </c>
      <c r="F214">
        <v>0.64275084157064977</v>
      </c>
      <c r="G214">
        <v>0.93550168314129944</v>
      </c>
      <c r="H214">
        <v>0.35</v>
      </c>
      <c r="I214">
        <v>32577374400</v>
      </c>
      <c r="J214">
        <v>81.8</v>
      </c>
      <c r="K214">
        <v>13</v>
      </c>
    </row>
    <row r="215" spans="1:11" x14ac:dyDescent="0.25">
      <c r="A215" t="s">
        <v>161</v>
      </c>
      <c r="B215" t="s">
        <v>120</v>
      </c>
      <c r="C215" t="s">
        <v>121</v>
      </c>
      <c r="D215" t="s">
        <v>32</v>
      </c>
      <c r="E215" t="s">
        <v>29</v>
      </c>
      <c r="F215">
        <v>0.63884917916789741</v>
      </c>
      <c r="G215">
        <v>0.62769835833579479</v>
      </c>
      <c r="H215">
        <v>0.65</v>
      </c>
      <c r="I215">
        <v>260396476900</v>
      </c>
      <c r="J215">
        <v>39.450000000000003</v>
      </c>
      <c r="K215">
        <v>14</v>
      </c>
    </row>
    <row r="216" spans="1:11" x14ac:dyDescent="0.25">
      <c r="A216" t="s">
        <v>161</v>
      </c>
      <c r="B216" t="s">
        <v>88</v>
      </c>
      <c r="C216" t="s">
        <v>89</v>
      </c>
      <c r="D216" t="s">
        <v>32</v>
      </c>
      <c r="E216" t="s">
        <v>33</v>
      </c>
      <c r="F216">
        <v>0.63349474744259648</v>
      </c>
      <c r="G216">
        <v>0.86698949488519306</v>
      </c>
      <c r="H216">
        <v>0.4</v>
      </c>
      <c r="I216">
        <v>13369258000</v>
      </c>
      <c r="J216">
        <v>8.8000000000000007</v>
      </c>
      <c r="K216">
        <v>15</v>
      </c>
    </row>
    <row r="217" spans="1:11" x14ac:dyDescent="0.25">
      <c r="A217" t="s">
        <v>161</v>
      </c>
      <c r="B217" t="s">
        <v>70</v>
      </c>
      <c r="C217" t="s">
        <v>71</v>
      </c>
      <c r="D217" t="s">
        <v>32</v>
      </c>
      <c r="E217" t="s">
        <v>33</v>
      </c>
      <c r="F217">
        <v>0.62619611804985242</v>
      </c>
      <c r="G217">
        <v>0.80239223609970489</v>
      </c>
      <c r="H217">
        <v>0.45</v>
      </c>
      <c r="I217">
        <v>14927113740</v>
      </c>
      <c r="J217">
        <v>6.64</v>
      </c>
      <c r="K217">
        <v>16</v>
      </c>
    </row>
    <row r="218" spans="1:11" x14ac:dyDescent="0.25">
      <c r="A218" t="s">
        <v>161</v>
      </c>
      <c r="B218" t="s">
        <v>24</v>
      </c>
      <c r="C218" t="s">
        <v>25</v>
      </c>
      <c r="D218" t="s">
        <v>18</v>
      </c>
      <c r="E218" t="s">
        <v>26</v>
      </c>
      <c r="F218">
        <v>0.62485075867922457</v>
      </c>
      <c r="G218">
        <v>0.84970151735844912</v>
      </c>
      <c r="H218">
        <v>0.4</v>
      </c>
      <c r="I218">
        <v>6955649400</v>
      </c>
      <c r="J218">
        <v>13.1</v>
      </c>
      <c r="K218">
        <v>17</v>
      </c>
    </row>
    <row r="219" spans="1:11" x14ac:dyDescent="0.25">
      <c r="A219" t="s">
        <v>161</v>
      </c>
      <c r="B219" t="s">
        <v>138</v>
      </c>
      <c r="C219" t="s">
        <v>139</v>
      </c>
      <c r="D219" t="s">
        <v>32</v>
      </c>
      <c r="E219" t="s">
        <v>33</v>
      </c>
      <c r="F219">
        <v>0.5952075862426186</v>
      </c>
      <c r="G219">
        <v>0.84041517248523723</v>
      </c>
      <c r="H219">
        <v>0.35</v>
      </c>
      <c r="I219">
        <v>35794924800</v>
      </c>
      <c r="J219">
        <v>15.8</v>
      </c>
      <c r="K219">
        <v>18</v>
      </c>
    </row>
    <row r="220" spans="1:11" x14ac:dyDescent="0.25">
      <c r="A220" t="s">
        <v>161</v>
      </c>
      <c r="B220" t="s">
        <v>164</v>
      </c>
      <c r="C220" t="s">
        <v>165</v>
      </c>
      <c r="D220" t="s">
        <v>32</v>
      </c>
      <c r="E220" t="s">
        <v>33</v>
      </c>
      <c r="F220">
        <v>0.59146440791088739</v>
      </c>
      <c r="G220">
        <v>0.98292881582177472</v>
      </c>
      <c r="H220">
        <v>0.2</v>
      </c>
      <c r="I220">
        <v>119815866200</v>
      </c>
      <c r="J220">
        <v>52.1</v>
      </c>
      <c r="K220">
        <v>19</v>
      </c>
    </row>
    <row r="221" spans="1:11" x14ac:dyDescent="0.25">
      <c r="A221" t="s">
        <v>161</v>
      </c>
      <c r="B221" t="s">
        <v>166</v>
      </c>
      <c r="C221" t="s">
        <v>167</v>
      </c>
      <c r="D221" t="s">
        <v>32</v>
      </c>
      <c r="E221" t="s">
        <v>59</v>
      </c>
      <c r="F221">
        <v>0.58284622497177896</v>
      </c>
      <c r="G221">
        <v>0.61569244994355798</v>
      </c>
      <c r="H221">
        <v>0.55000000000000004</v>
      </c>
      <c r="I221">
        <v>82180853900</v>
      </c>
      <c r="J221">
        <v>33.049999999999997</v>
      </c>
      <c r="K221">
        <v>20</v>
      </c>
    </row>
    <row r="222" spans="1:11" x14ac:dyDescent="0.25">
      <c r="A222" t="s">
        <v>168</v>
      </c>
      <c r="B222" t="s">
        <v>169</v>
      </c>
      <c r="C222" t="s">
        <v>170</v>
      </c>
      <c r="D222" t="s">
        <v>32</v>
      </c>
      <c r="E222" t="s">
        <v>23</v>
      </c>
      <c r="F222">
        <v>0.8339077720541197</v>
      </c>
      <c r="G222">
        <v>0.8339077720541197</v>
      </c>
      <c r="I222">
        <v>3723778500</v>
      </c>
      <c r="J222">
        <v>13.15</v>
      </c>
      <c r="K222">
        <v>1</v>
      </c>
    </row>
    <row r="223" spans="1:11" x14ac:dyDescent="0.25">
      <c r="A223" t="s">
        <v>168</v>
      </c>
      <c r="B223" t="s">
        <v>110</v>
      </c>
      <c r="C223" t="s">
        <v>111</v>
      </c>
      <c r="D223" t="s">
        <v>32</v>
      </c>
      <c r="E223" t="s">
        <v>112</v>
      </c>
      <c r="F223">
        <v>0.76575042726530196</v>
      </c>
      <c r="G223">
        <v>0.93150085453060405</v>
      </c>
      <c r="H223">
        <v>0.6</v>
      </c>
      <c r="I223">
        <v>3837860740</v>
      </c>
      <c r="J223">
        <v>5.31</v>
      </c>
      <c r="K223">
        <v>2</v>
      </c>
    </row>
    <row r="224" spans="1:11" x14ac:dyDescent="0.25">
      <c r="A224" t="s">
        <v>168</v>
      </c>
      <c r="B224" t="s">
        <v>75</v>
      </c>
      <c r="C224" t="s">
        <v>76</v>
      </c>
      <c r="D224" t="s">
        <v>18</v>
      </c>
      <c r="E224" t="s">
        <v>33</v>
      </c>
      <c r="F224">
        <v>0.75118073959745302</v>
      </c>
      <c r="G224">
        <v>0.80236147919490608</v>
      </c>
      <c r="H224">
        <v>0.7</v>
      </c>
      <c r="I224">
        <v>5742757000</v>
      </c>
      <c r="J224">
        <v>5.7</v>
      </c>
      <c r="K224">
        <v>3</v>
      </c>
    </row>
    <row r="225" spans="1:11" x14ac:dyDescent="0.25">
      <c r="A225" t="s">
        <v>168</v>
      </c>
      <c r="B225" t="s">
        <v>84</v>
      </c>
      <c r="C225" t="s">
        <v>85</v>
      </c>
      <c r="D225" t="s">
        <v>14</v>
      </c>
      <c r="E225" t="s">
        <v>42</v>
      </c>
      <c r="F225">
        <v>0.72046186464304651</v>
      </c>
      <c r="G225">
        <v>0.79092372928609311</v>
      </c>
      <c r="H225">
        <v>0.65</v>
      </c>
      <c r="I225">
        <v>8319752800</v>
      </c>
      <c r="J225">
        <v>137.80000000000001</v>
      </c>
      <c r="K225">
        <v>4</v>
      </c>
    </row>
    <row r="226" spans="1:11" x14ac:dyDescent="0.25">
      <c r="A226" t="s">
        <v>168</v>
      </c>
      <c r="B226" t="s">
        <v>101</v>
      </c>
      <c r="C226" t="s">
        <v>102</v>
      </c>
      <c r="D226" t="s">
        <v>18</v>
      </c>
      <c r="E226" t="s">
        <v>15</v>
      </c>
      <c r="F226">
        <v>0.71774881739126994</v>
      </c>
      <c r="G226">
        <v>0.73549763478253993</v>
      </c>
      <c r="H226">
        <v>0.7</v>
      </c>
      <c r="I226">
        <v>2657053200</v>
      </c>
      <c r="J226">
        <v>67.8</v>
      </c>
      <c r="K226">
        <v>5</v>
      </c>
    </row>
    <row r="227" spans="1:11" x14ac:dyDescent="0.25">
      <c r="A227" t="s">
        <v>168</v>
      </c>
      <c r="B227" t="s">
        <v>154</v>
      </c>
      <c r="C227" t="s">
        <v>155</v>
      </c>
      <c r="D227" t="s">
        <v>32</v>
      </c>
      <c r="E227" t="s">
        <v>39</v>
      </c>
      <c r="F227">
        <v>0.71602487622492039</v>
      </c>
      <c r="G227">
        <v>0.8320497524498407</v>
      </c>
      <c r="H227">
        <v>0.6</v>
      </c>
      <c r="I227">
        <v>100444828700</v>
      </c>
      <c r="J227">
        <v>33.35</v>
      </c>
      <c r="K227">
        <v>6</v>
      </c>
    </row>
    <row r="228" spans="1:11" x14ac:dyDescent="0.25">
      <c r="A228" t="s">
        <v>168</v>
      </c>
      <c r="B228" t="s">
        <v>45</v>
      </c>
      <c r="C228" t="s">
        <v>46</v>
      </c>
      <c r="D228" t="s">
        <v>14</v>
      </c>
      <c r="E228" t="s">
        <v>15</v>
      </c>
      <c r="F228">
        <v>0.68623358850816563</v>
      </c>
      <c r="G228">
        <v>0.42246717701633119</v>
      </c>
      <c r="H228">
        <v>0.95</v>
      </c>
      <c r="I228">
        <v>3440149400</v>
      </c>
      <c r="J228">
        <v>21.4</v>
      </c>
      <c r="K228">
        <v>7</v>
      </c>
    </row>
    <row r="229" spans="1:11" x14ac:dyDescent="0.25">
      <c r="A229" t="s">
        <v>168</v>
      </c>
      <c r="B229" t="s">
        <v>120</v>
      </c>
      <c r="C229" t="s">
        <v>121</v>
      </c>
      <c r="D229" t="s">
        <v>32</v>
      </c>
      <c r="E229" t="s">
        <v>29</v>
      </c>
      <c r="F229">
        <v>0.67027460317544307</v>
      </c>
      <c r="G229">
        <v>0.59054920635088615</v>
      </c>
      <c r="H229">
        <v>0.75</v>
      </c>
      <c r="I229">
        <v>265074976900</v>
      </c>
      <c r="J229">
        <v>39.1</v>
      </c>
      <c r="K229">
        <v>8</v>
      </c>
    </row>
    <row r="230" spans="1:11" x14ac:dyDescent="0.25">
      <c r="A230" t="s">
        <v>168</v>
      </c>
      <c r="B230" t="s">
        <v>132</v>
      </c>
      <c r="C230" t="s">
        <v>133</v>
      </c>
      <c r="D230" t="s">
        <v>18</v>
      </c>
      <c r="E230" t="s">
        <v>134</v>
      </c>
      <c r="F230">
        <v>0.65761381272929287</v>
      </c>
      <c r="G230">
        <v>0.86522762545858567</v>
      </c>
      <c r="H230">
        <v>0.45</v>
      </c>
      <c r="I230">
        <v>2634640600</v>
      </c>
      <c r="J230">
        <v>14.3</v>
      </c>
      <c r="K230">
        <v>9</v>
      </c>
    </row>
    <row r="231" spans="1:11" x14ac:dyDescent="0.25">
      <c r="A231" t="s">
        <v>168</v>
      </c>
      <c r="B231" t="s">
        <v>82</v>
      </c>
      <c r="C231" t="s">
        <v>83</v>
      </c>
      <c r="D231" t="s">
        <v>32</v>
      </c>
      <c r="E231" t="s">
        <v>39</v>
      </c>
      <c r="F231">
        <v>0.65565076621970497</v>
      </c>
      <c r="G231">
        <v>0.81130153243940994</v>
      </c>
      <c r="H231">
        <v>0.5</v>
      </c>
      <c r="I231">
        <v>31998309700</v>
      </c>
      <c r="J231">
        <v>15.15</v>
      </c>
      <c r="K231">
        <v>10</v>
      </c>
    </row>
    <row r="232" spans="1:11" x14ac:dyDescent="0.25">
      <c r="A232" t="s">
        <v>168</v>
      </c>
      <c r="B232" t="s">
        <v>99</v>
      </c>
      <c r="C232" t="s">
        <v>100</v>
      </c>
      <c r="D232" t="s">
        <v>32</v>
      </c>
      <c r="E232" t="s">
        <v>29</v>
      </c>
      <c r="F232">
        <v>0.65113546863426586</v>
      </c>
      <c r="G232">
        <v>0.80227093726853171</v>
      </c>
      <c r="H232">
        <v>0.5</v>
      </c>
      <c r="I232">
        <v>28808109200</v>
      </c>
      <c r="J232">
        <v>55.6</v>
      </c>
      <c r="K232">
        <v>11</v>
      </c>
    </row>
    <row r="233" spans="1:11" x14ac:dyDescent="0.25">
      <c r="A233" t="s">
        <v>168</v>
      </c>
      <c r="B233" t="s">
        <v>171</v>
      </c>
      <c r="C233" t="s">
        <v>172</v>
      </c>
      <c r="D233" t="s">
        <v>32</v>
      </c>
      <c r="E233" t="s">
        <v>33</v>
      </c>
      <c r="F233">
        <v>0.63204072514978549</v>
      </c>
      <c r="G233">
        <v>0.56408145029957113</v>
      </c>
      <c r="H233">
        <v>0.7</v>
      </c>
      <c r="I233">
        <v>11766978740</v>
      </c>
      <c r="J233">
        <v>7.45</v>
      </c>
      <c r="K233">
        <v>12</v>
      </c>
    </row>
    <row r="234" spans="1:11" x14ac:dyDescent="0.25">
      <c r="A234" t="s">
        <v>168</v>
      </c>
      <c r="B234" t="s">
        <v>118</v>
      </c>
      <c r="C234" t="s">
        <v>119</v>
      </c>
      <c r="D234" t="s">
        <v>32</v>
      </c>
      <c r="E234" t="s">
        <v>33</v>
      </c>
      <c r="F234">
        <v>0.62829388888983506</v>
      </c>
      <c r="G234">
        <v>0.90658777777967026</v>
      </c>
      <c r="H234">
        <v>0.35</v>
      </c>
      <c r="I234">
        <v>33458776400</v>
      </c>
      <c r="J234">
        <v>81.8</v>
      </c>
      <c r="K234">
        <v>13</v>
      </c>
    </row>
    <row r="235" spans="1:11" x14ac:dyDescent="0.25">
      <c r="A235" t="s">
        <v>168</v>
      </c>
      <c r="B235" t="s">
        <v>162</v>
      </c>
      <c r="C235" t="s">
        <v>163</v>
      </c>
      <c r="D235" t="s">
        <v>32</v>
      </c>
      <c r="E235" t="s">
        <v>29</v>
      </c>
      <c r="F235">
        <v>0.620464442087024</v>
      </c>
      <c r="G235">
        <v>0.64092888417404792</v>
      </c>
      <c r="H235">
        <v>0.6</v>
      </c>
      <c r="I235">
        <v>344442503100</v>
      </c>
      <c r="J235">
        <v>12.2</v>
      </c>
      <c r="K235">
        <v>14</v>
      </c>
    </row>
    <row r="236" spans="1:11" x14ac:dyDescent="0.25">
      <c r="A236" t="s">
        <v>168</v>
      </c>
      <c r="B236" t="s">
        <v>88</v>
      </c>
      <c r="C236" t="s">
        <v>89</v>
      </c>
      <c r="D236" t="s">
        <v>32</v>
      </c>
      <c r="E236" t="s">
        <v>33</v>
      </c>
      <c r="F236">
        <v>0.6198611153397553</v>
      </c>
      <c r="G236">
        <v>0.73972223067951048</v>
      </c>
      <c r="H236">
        <v>0.5</v>
      </c>
      <c r="I236">
        <v>13598331040</v>
      </c>
      <c r="J236">
        <v>8.82</v>
      </c>
      <c r="K236">
        <v>15</v>
      </c>
    </row>
    <row r="237" spans="1:11" x14ac:dyDescent="0.25">
      <c r="A237" t="s">
        <v>168</v>
      </c>
      <c r="B237" t="s">
        <v>135</v>
      </c>
      <c r="C237" t="s">
        <v>136</v>
      </c>
      <c r="D237" t="s">
        <v>32</v>
      </c>
      <c r="E237" t="s">
        <v>29</v>
      </c>
      <c r="F237">
        <v>0.60656141958814747</v>
      </c>
      <c r="G237">
        <v>0.76312283917629498</v>
      </c>
      <c r="H237">
        <v>0.45</v>
      </c>
      <c r="I237">
        <v>199451887400</v>
      </c>
      <c r="J237">
        <v>15.2</v>
      </c>
      <c r="K237">
        <v>16</v>
      </c>
    </row>
    <row r="238" spans="1:11" x14ac:dyDescent="0.25">
      <c r="A238" t="s">
        <v>168</v>
      </c>
      <c r="B238" t="s">
        <v>70</v>
      </c>
      <c r="C238" t="s">
        <v>71</v>
      </c>
      <c r="D238" t="s">
        <v>32</v>
      </c>
      <c r="E238" t="s">
        <v>33</v>
      </c>
      <c r="F238">
        <v>0.591208209843471</v>
      </c>
      <c r="G238">
        <v>0.73241641968694193</v>
      </c>
      <c r="H238">
        <v>0.45</v>
      </c>
      <c r="I238">
        <v>15245178720</v>
      </c>
      <c r="J238">
        <v>6.49</v>
      </c>
      <c r="K238">
        <v>17</v>
      </c>
    </row>
    <row r="239" spans="1:11" x14ac:dyDescent="0.25">
      <c r="A239" t="s">
        <v>168</v>
      </c>
      <c r="B239" t="s">
        <v>24</v>
      </c>
      <c r="C239" t="s">
        <v>25</v>
      </c>
      <c r="D239" t="s">
        <v>18</v>
      </c>
      <c r="E239" t="s">
        <v>26</v>
      </c>
      <c r="F239">
        <v>0.58457887617689419</v>
      </c>
      <c r="G239">
        <v>0.76915775235378836</v>
      </c>
      <c r="H239">
        <v>0.4</v>
      </c>
      <c r="I239">
        <v>7039673000</v>
      </c>
      <c r="J239">
        <v>13</v>
      </c>
      <c r="K239">
        <v>18</v>
      </c>
    </row>
    <row r="240" spans="1:11" x14ac:dyDescent="0.25">
      <c r="A240" t="s">
        <v>168</v>
      </c>
      <c r="B240" t="s">
        <v>173</v>
      </c>
      <c r="C240" t="s">
        <v>174</v>
      </c>
      <c r="D240" t="s">
        <v>32</v>
      </c>
      <c r="E240" t="s">
        <v>74</v>
      </c>
      <c r="F240">
        <v>0.58071834193734162</v>
      </c>
      <c r="G240">
        <v>0.8614366838746832</v>
      </c>
      <c r="H240">
        <v>0.3</v>
      </c>
      <c r="I240">
        <v>206578030180</v>
      </c>
      <c r="J240">
        <v>11.6</v>
      </c>
      <c r="K240">
        <v>19</v>
      </c>
    </row>
    <row r="241" spans="1:11" x14ac:dyDescent="0.25">
      <c r="A241" t="s">
        <v>168</v>
      </c>
      <c r="B241" t="s">
        <v>122</v>
      </c>
      <c r="C241" t="s">
        <v>123</v>
      </c>
      <c r="D241" t="s">
        <v>32</v>
      </c>
      <c r="E241" t="s">
        <v>124</v>
      </c>
      <c r="F241">
        <v>0.57217572558014285</v>
      </c>
      <c r="G241">
        <v>0.94435145116028563</v>
      </c>
      <c r="H241">
        <v>0.2</v>
      </c>
      <c r="I241">
        <v>42282256800</v>
      </c>
      <c r="J241">
        <v>69.3</v>
      </c>
      <c r="K241">
        <v>20</v>
      </c>
    </row>
    <row r="242" spans="1:11" x14ac:dyDescent="0.25">
      <c r="A242" t="s">
        <v>175</v>
      </c>
      <c r="B242" t="s">
        <v>154</v>
      </c>
      <c r="C242" t="s">
        <v>155</v>
      </c>
      <c r="D242" t="s">
        <v>32</v>
      </c>
      <c r="E242" t="s">
        <v>39</v>
      </c>
      <c r="F242">
        <v>0.81171073544205008</v>
      </c>
      <c r="G242">
        <v>0.77342147088410018</v>
      </c>
      <c r="H242">
        <v>0.85</v>
      </c>
      <c r="I242">
        <v>98554628700</v>
      </c>
      <c r="J242">
        <v>33.049999999999997</v>
      </c>
      <c r="K242">
        <v>1</v>
      </c>
    </row>
    <row r="243" spans="1:11" x14ac:dyDescent="0.25">
      <c r="A243" t="s">
        <v>175</v>
      </c>
      <c r="B243" t="s">
        <v>169</v>
      </c>
      <c r="C243" t="s">
        <v>170</v>
      </c>
      <c r="D243" t="s">
        <v>32</v>
      </c>
      <c r="E243" t="s">
        <v>23</v>
      </c>
      <c r="F243">
        <v>0.78189161514687555</v>
      </c>
      <c r="G243">
        <v>0.78189161514687555</v>
      </c>
      <c r="I243">
        <v>3805284100</v>
      </c>
      <c r="J243">
        <v>12.8</v>
      </c>
      <c r="K243">
        <v>2</v>
      </c>
    </row>
    <row r="244" spans="1:11" x14ac:dyDescent="0.25">
      <c r="A244" t="s">
        <v>175</v>
      </c>
      <c r="B244" t="s">
        <v>75</v>
      </c>
      <c r="C244" t="s">
        <v>76</v>
      </c>
      <c r="D244" t="s">
        <v>18</v>
      </c>
      <c r="E244" t="s">
        <v>33</v>
      </c>
      <c r="F244">
        <v>0.71707765350758601</v>
      </c>
      <c r="G244">
        <v>0.78415530701517189</v>
      </c>
      <c r="H244">
        <v>0.65</v>
      </c>
      <c r="I244">
        <v>5646303000</v>
      </c>
      <c r="J244">
        <v>5.8</v>
      </c>
      <c r="K244">
        <v>3</v>
      </c>
    </row>
    <row r="245" spans="1:11" x14ac:dyDescent="0.25">
      <c r="A245" t="s">
        <v>175</v>
      </c>
      <c r="B245" t="s">
        <v>110</v>
      </c>
      <c r="C245" t="s">
        <v>111</v>
      </c>
      <c r="D245" t="s">
        <v>32</v>
      </c>
      <c r="E245" t="s">
        <v>112</v>
      </c>
      <c r="F245">
        <v>0.71670909667415161</v>
      </c>
      <c r="G245">
        <v>0.93341819334830323</v>
      </c>
      <c r="H245">
        <v>0.5</v>
      </c>
      <c r="I245">
        <v>3861497600</v>
      </c>
      <c r="J245">
        <v>5.27</v>
      </c>
      <c r="K245">
        <v>4</v>
      </c>
    </row>
    <row r="246" spans="1:11" x14ac:dyDescent="0.25">
      <c r="A246" t="s">
        <v>175</v>
      </c>
      <c r="B246" t="s">
        <v>84</v>
      </c>
      <c r="C246" t="s">
        <v>85</v>
      </c>
      <c r="D246" t="s">
        <v>14</v>
      </c>
      <c r="E246" t="s">
        <v>42</v>
      </c>
      <c r="F246">
        <v>0.68182285940225595</v>
      </c>
      <c r="G246">
        <v>0.76364571880451182</v>
      </c>
      <c r="H246">
        <v>0.6</v>
      </c>
      <c r="I246">
        <v>8355327800</v>
      </c>
      <c r="J246">
        <v>137</v>
      </c>
      <c r="K246">
        <v>5</v>
      </c>
    </row>
    <row r="247" spans="1:11" x14ac:dyDescent="0.25">
      <c r="A247" t="s">
        <v>175</v>
      </c>
      <c r="B247" t="s">
        <v>82</v>
      </c>
      <c r="C247" t="s">
        <v>83</v>
      </c>
      <c r="D247" t="s">
        <v>32</v>
      </c>
      <c r="E247" t="s">
        <v>39</v>
      </c>
      <c r="F247">
        <v>0.67788344120952027</v>
      </c>
      <c r="G247">
        <v>0.80576688241904038</v>
      </c>
      <c r="H247">
        <v>0.55000000000000004</v>
      </c>
      <c r="I247">
        <v>32196830700</v>
      </c>
      <c r="J247">
        <v>15.05</v>
      </c>
      <c r="K247">
        <v>6</v>
      </c>
    </row>
    <row r="248" spans="1:11" x14ac:dyDescent="0.25">
      <c r="A248" t="s">
        <v>175</v>
      </c>
      <c r="B248" t="s">
        <v>132</v>
      </c>
      <c r="C248" t="s">
        <v>133</v>
      </c>
      <c r="D248" t="s">
        <v>18</v>
      </c>
      <c r="E248" t="s">
        <v>134</v>
      </c>
      <c r="F248">
        <v>0.66409520175133152</v>
      </c>
      <c r="G248">
        <v>0.87819040350266298</v>
      </c>
      <c r="H248">
        <v>0.45</v>
      </c>
      <c r="I248">
        <v>2692618400</v>
      </c>
      <c r="J248">
        <v>14.4</v>
      </c>
      <c r="K248">
        <v>7</v>
      </c>
    </row>
    <row r="249" spans="1:11" x14ac:dyDescent="0.25">
      <c r="A249" t="s">
        <v>175</v>
      </c>
      <c r="B249" t="s">
        <v>162</v>
      </c>
      <c r="C249" t="s">
        <v>163</v>
      </c>
      <c r="D249" t="s">
        <v>32</v>
      </c>
      <c r="E249" t="s">
        <v>29</v>
      </c>
      <c r="F249">
        <v>0.66220000768013243</v>
      </c>
      <c r="G249">
        <v>0.57440001536026475</v>
      </c>
      <c r="H249">
        <v>0.75</v>
      </c>
      <c r="I249">
        <v>347783564100</v>
      </c>
      <c r="J249">
        <v>12.1</v>
      </c>
      <c r="K249">
        <v>8</v>
      </c>
    </row>
    <row r="250" spans="1:11" x14ac:dyDescent="0.25">
      <c r="A250" t="s">
        <v>175</v>
      </c>
      <c r="B250" t="s">
        <v>120</v>
      </c>
      <c r="C250" t="s">
        <v>121</v>
      </c>
      <c r="D250" t="s">
        <v>32</v>
      </c>
      <c r="E250" t="s">
        <v>29</v>
      </c>
      <c r="F250">
        <v>0.65460939098145343</v>
      </c>
      <c r="G250">
        <v>0.55921878196290675</v>
      </c>
      <c r="H250">
        <v>0.75</v>
      </c>
      <c r="I250">
        <v>269523820200</v>
      </c>
      <c r="J250">
        <v>38.75</v>
      </c>
      <c r="K250">
        <v>9</v>
      </c>
    </row>
    <row r="251" spans="1:11" x14ac:dyDescent="0.25">
      <c r="A251" t="s">
        <v>175</v>
      </c>
      <c r="B251" t="s">
        <v>99</v>
      </c>
      <c r="C251" t="s">
        <v>100</v>
      </c>
      <c r="D251" t="s">
        <v>32</v>
      </c>
      <c r="E251" t="s">
        <v>29</v>
      </c>
      <c r="F251">
        <v>0.64720768580302535</v>
      </c>
      <c r="G251">
        <v>0.79441537160605069</v>
      </c>
      <c r="H251">
        <v>0.5</v>
      </c>
      <c r="I251">
        <v>29574033200</v>
      </c>
      <c r="J251">
        <v>55.2</v>
      </c>
      <c r="K251">
        <v>10</v>
      </c>
    </row>
    <row r="252" spans="1:11" x14ac:dyDescent="0.25">
      <c r="A252" t="s">
        <v>175</v>
      </c>
      <c r="B252" t="s">
        <v>171</v>
      </c>
      <c r="C252" t="s">
        <v>172</v>
      </c>
      <c r="D252" t="s">
        <v>32</v>
      </c>
      <c r="E252" t="s">
        <v>33</v>
      </c>
      <c r="F252">
        <v>0.64413262400894955</v>
      </c>
      <c r="G252">
        <v>0.488265248017899</v>
      </c>
      <c r="H252">
        <v>0.8</v>
      </c>
      <c r="I252">
        <v>11827992580</v>
      </c>
      <c r="J252">
        <v>7.39</v>
      </c>
      <c r="K252">
        <v>11</v>
      </c>
    </row>
    <row r="253" spans="1:11" x14ac:dyDescent="0.25">
      <c r="A253" t="s">
        <v>175</v>
      </c>
      <c r="B253" t="s">
        <v>176</v>
      </c>
      <c r="C253" t="s">
        <v>177</v>
      </c>
      <c r="D253" t="s">
        <v>32</v>
      </c>
      <c r="E253" t="s">
        <v>33</v>
      </c>
      <c r="F253">
        <v>0.63372394535166232</v>
      </c>
      <c r="G253">
        <v>0.9674478907033246</v>
      </c>
      <c r="H253">
        <v>0.3</v>
      </c>
      <c r="I253">
        <v>2008075400</v>
      </c>
      <c r="J253">
        <v>8.17</v>
      </c>
      <c r="K253">
        <v>12</v>
      </c>
    </row>
    <row r="254" spans="1:11" x14ac:dyDescent="0.25">
      <c r="A254" t="s">
        <v>175</v>
      </c>
      <c r="B254" t="s">
        <v>118</v>
      </c>
      <c r="C254" t="s">
        <v>119</v>
      </c>
      <c r="D254" t="s">
        <v>32</v>
      </c>
      <c r="E254" t="s">
        <v>33</v>
      </c>
      <c r="F254">
        <v>0.63148226961774001</v>
      </c>
      <c r="G254">
        <v>0.86296453923548</v>
      </c>
      <c r="H254">
        <v>0.4</v>
      </c>
      <c r="I254">
        <v>33910272600</v>
      </c>
      <c r="J254">
        <v>80.7</v>
      </c>
      <c r="K254">
        <v>13</v>
      </c>
    </row>
    <row r="255" spans="1:11" x14ac:dyDescent="0.25">
      <c r="A255" t="s">
        <v>175</v>
      </c>
      <c r="B255" t="s">
        <v>166</v>
      </c>
      <c r="C255" t="s">
        <v>167</v>
      </c>
      <c r="D255" t="s">
        <v>32</v>
      </c>
      <c r="E255" t="s">
        <v>59</v>
      </c>
      <c r="F255">
        <v>0.6291853405531862</v>
      </c>
      <c r="G255">
        <v>0.85837068110637238</v>
      </c>
      <c r="H255">
        <v>0.4</v>
      </c>
      <c r="I255">
        <v>89623667900</v>
      </c>
      <c r="J255">
        <v>34.799999999999997</v>
      </c>
      <c r="K255">
        <v>14</v>
      </c>
    </row>
    <row r="256" spans="1:11" x14ac:dyDescent="0.25">
      <c r="A256" t="s">
        <v>175</v>
      </c>
      <c r="B256" t="s">
        <v>173</v>
      </c>
      <c r="C256" t="s">
        <v>174</v>
      </c>
      <c r="D256" t="s">
        <v>32</v>
      </c>
      <c r="E256" t="s">
        <v>74</v>
      </c>
      <c r="F256">
        <v>0.61474576685228954</v>
      </c>
      <c r="G256">
        <v>0.87949153370457911</v>
      </c>
      <c r="H256">
        <v>0.35</v>
      </c>
      <c r="I256">
        <v>221126259780</v>
      </c>
      <c r="J256">
        <v>11.65</v>
      </c>
      <c r="K256">
        <v>15</v>
      </c>
    </row>
    <row r="257" spans="1:11" x14ac:dyDescent="0.25">
      <c r="A257" t="s">
        <v>175</v>
      </c>
      <c r="B257" t="s">
        <v>158</v>
      </c>
      <c r="C257" t="s">
        <v>159</v>
      </c>
      <c r="D257" t="s">
        <v>32</v>
      </c>
      <c r="E257" t="s">
        <v>160</v>
      </c>
      <c r="F257">
        <v>0.58303377405916224</v>
      </c>
      <c r="G257">
        <v>0.86606754811832454</v>
      </c>
      <c r="H257">
        <v>0.3</v>
      </c>
      <c r="I257">
        <v>10384702800</v>
      </c>
      <c r="J257">
        <v>14.15</v>
      </c>
      <c r="K257">
        <v>16</v>
      </c>
    </row>
    <row r="258" spans="1:11" x14ac:dyDescent="0.25">
      <c r="A258" t="s">
        <v>175</v>
      </c>
      <c r="B258" t="s">
        <v>113</v>
      </c>
      <c r="C258" t="s">
        <v>114</v>
      </c>
      <c r="D258" t="s">
        <v>32</v>
      </c>
      <c r="E258" t="s">
        <v>74</v>
      </c>
      <c r="F258">
        <v>0.57658937798558041</v>
      </c>
      <c r="G258">
        <v>0.65317875597116071</v>
      </c>
      <c r="H258">
        <v>0.5</v>
      </c>
      <c r="I258">
        <v>110788446500</v>
      </c>
      <c r="J258">
        <v>35.950000000000003</v>
      </c>
      <c r="K258">
        <v>17</v>
      </c>
    </row>
    <row r="259" spans="1:11" x14ac:dyDescent="0.25">
      <c r="A259" t="s">
        <v>175</v>
      </c>
      <c r="B259" t="s">
        <v>152</v>
      </c>
      <c r="C259" t="s">
        <v>153</v>
      </c>
      <c r="D259" t="s">
        <v>32</v>
      </c>
      <c r="E259" t="s">
        <v>74</v>
      </c>
      <c r="F259">
        <v>0.56484032978587195</v>
      </c>
      <c r="G259">
        <v>0.57968065957174386</v>
      </c>
      <c r="H259">
        <v>0.55000000000000004</v>
      </c>
      <c r="I259">
        <v>329728923600</v>
      </c>
      <c r="J259">
        <v>38.4</v>
      </c>
      <c r="K259">
        <v>18</v>
      </c>
    </row>
    <row r="260" spans="1:11" x14ac:dyDescent="0.25">
      <c r="A260" t="s">
        <v>175</v>
      </c>
      <c r="B260" t="s">
        <v>88</v>
      </c>
      <c r="C260" t="s">
        <v>89</v>
      </c>
      <c r="D260" t="s">
        <v>32</v>
      </c>
      <c r="E260" t="s">
        <v>33</v>
      </c>
      <c r="F260">
        <v>0.5642567154887187</v>
      </c>
      <c r="G260">
        <v>0.67851343097743733</v>
      </c>
      <c r="H260">
        <v>0.45</v>
      </c>
      <c r="I260">
        <v>13819557240</v>
      </c>
      <c r="J260">
        <v>8.76</v>
      </c>
      <c r="K260">
        <v>19</v>
      </c>
    </row>
    <row r="261" spans="1:11" x14ac:dyDescent="0.25">
      <c r="A261" t="s">
        <v>175</v>
      </c>
      <c r="B261" t="s">
        <v>101</v>
      </c>
      <c r="C261" t="s">
        <v>102</v>
      </c>
      <c r="D261" t="s">
        <v>18</v>
      </c>
      <c r="E261" t="s">
        <v>15</v>
      </c>
      <c r="F261">
        <v>0.56270101861128485</v>
      </c>
      <c r="G261">
        <v>0.52540203722256973</v>
      </c>
      <c r="H261">
        <v>0.6</v>
      </c>
      <c r="I261">
        <v>2717095200</v>
      </c>
      <c r="J261">
        <v>64.2</v>
      </c>
      <c r="K261">
        <v>20</v>
      </c>
    </row>
    <row r="262" spans="1:11" x14ac:dyDescent="0.25">
      <c r="A262" t="s">
        <v>178</v>
      </c>
      <c r="B262" t="s">
        <v>169</v>
      </c>
      <c r="C262" t="s">
        <v>170</v>
      </c>
      <c r="D262" t="s">
        <v>32</v>
      </c>
      <c r="E262" t="s">
        <v>23</v>
      </c>
      <c r="F262">
        <v>0.86035053730224942</v>
      </c>
      <c r="G262">
        <v>0.86035053730224942</v>
      </c>
      <c r="I262">
        <v>3956516900</v>
      </c>
      <c r="J262">
        <v>13.2</v>
      </c>
      <c r="K262">
        <v>1</v>
      </c>
    </row>
    <row r="263" spans="1:11" x14ac:dyDescent="0.25">
      <c r="A263" t="s">
        <v>178</v>
      </c>
      <c r="B263" t="s">
        <v>110</v>
      </c>
      <c r="C263" t="s">
        <v>111</v>
      </c>
      <c r="D263" t="s">
        <v>32</v>
      </c>
      <c r="E263" t="s">
        <v>112</v>
      </c>
      <c r="F263">
        <v>0.81164551335694968</v>
      </c>
      <c r="G263">
        <v>0.9232910267138994</v>
      </c>
      <c r="H263">
        <v>0.7</v>
      </c>
      <c r="I263">
        <v>3891951600</v>
      </c>
      <c r="J263">
        <v>5.25</v>
      </c>
      <c r="K263">
        <v>2</v>
      </c>
    </row>
    <row r="264" spans="1:11" x14ac:dyDescent="0.25">
      <c r="A264" t="s">
        <v>178</v>
      </c>
      <c r="B264" t="s">
        <v>99</v>
      </c>
      <c r="C264" t="s">
        <v>100</v>
      </c>
      <c r="D264" t="s">
        <v>32</v>
      </c>
      <c r="E264" t="s">
        <v>29</v>
      </c>
      <c r="F264">
        <v>0.7004821517728983</v>
      </c>
      <c r="G264">
        <v>0.80096430354579662</v>
      </c>
      <c r="H264">
        <v>0.6</v>
      </c>
      <c r="I264">
        <v>30514511500</v>
      </c>
      <c r="J264">
        <v>55.3</v>
      </c>
      <c r="K264">
        <v>3</v>
      </c>
    </row>
    <row r="265" spans="1:11" x14ac:dyDescent="0.25">
      <c r="A265" t="s">
        <v>178</v>
      </c>
      <c r="B265" t="s">
        <v>154</v>
      </c>
      <c r="C265" t="s">
        <v>155</v>
      </c>
      <c r="D265" t="s">
        <v>32</v>
      </c>
      <c r="E265" t="s">
        <v>39</v>
      </c>
      <c r="F265">
        <v>0.69622750731381156</v>
      </c>
      <c r="G265">
        <v>0.79245501462762324</v>
      </c>
      <c r="H265">
        <v>0.6</v>
      </c>
      <c r="I265">
        <v>100517778300</v>
      </c>
      <c r="J265">
        <v>33</v>
      </c>
      <c r="K265">
        <v>4</v>
      </c>
    </row>
    <row r="266" spans="1:11" x14ac:dyDescent="0.25">
      <c r="A266" t="s">
        <v>178</v>
      </c>
      <c r="B266" t="s">
        <v>75</v>
      </c>
      <c r="C266" t="s">
        <v>76</v>
      </c>
      <c r="D266" t="s">
        <v>18</v>
      </c>
      <c r="E266" t="s">
        <v>33</v>
      </c>
      <c r="F266">
        <v>0.69568887238636901</v>
      </c>
      <c r="G266">
        <v>0.84137774477273797</v>
      </c>
      <c r="H266">
        <v>0.55000000000000004</v>
      </c>
      <c r="I266">
        <v>5897809800</v>
      </c>
      <c r="J266">
        <v>5.7</v>
      </c>
      <c r="K266">
        <v>5</v>
      </c>
    </row>
    <row r="267" spans="1:11" x14ac:dyDescent="0.25">
      <c r="A267" t="s">
        <v>178</v>
      </c>
      <c r="B267" t="s">
        <v>84</v>
      </c>
      <c r="C267" t="s">
        <v>85</v>
      </c>
      <c r="D267" t="s">
        <v>14</v>
      </c>
      <c r="E267" t="s">
        <v>42</v>
      </c>
      <c r="F267">
        <v>0.69505898400458821</v>
      </c>
      <c r="G267">
        <v>0.74011796800917651</v>
      </c>
      <c r="H267">
        <v>0.65</v>
      </c>
      <c r="I267">
        <v>8364179600</v>
      </c>
      <c r="J267">
        <v>136.30000000000001</v>
      </c>
      <c r="K267">
        <v>6</v>
      </c>
    </row>
    <row r="268" spans="1:11" x14ac:dyDescent="0.25">
      <c r="A268" t="s">
        <v>178</v>
      </c>
      <c r="B268" t="s">
        <v>132</v>
      </c>
      <c r="C268" t="s">
        <v>133</v>
      </c>
      <c r="D268" t="s">
        <v>18</v>
      </c>
      <c r="E268" t="s">
        <v>134</v>
      </c>
      <c r="F268">
        <v>0.6552385896096814</v>
      </c>
      <c r="G268">
        <v>0.86047717921936284</v>
      </c>
      <c r="H268">
        <v>0.45</v>
      </c>
      <c r="I268">
        <v>2778611800</v>
      </c>
      <c r="J268">
        <v>14.4</v>
      </c>
      <c r="K268">
        <v>7</v>
      </c>
    </row>
    <row r="269" spans="1:11" x14ac:dyDescent="0.25">
      <c r="A269" t="s">
        <v>178</v>
      </c>
      <c r="B269" t="s">
        <v>176</v>
      </c>
      <c r="C269" t="s">
        <v>177</v>
      </c>
      <c r="D269" t="s">
        <v>32</v>
      </c>
      <c r="E269" t="s">
        <v>33</v>
      </c>
      <c r="F269">
        <v>0.62759637829089077</v>
      </c>
      <c r="G269">
        <v>0.90519275658178155</v>
      </c>
      <c r="H269">
        <v>0.35</v>
      </c>
      <c r="I269">
        <v>2037989760</v>
      </c>
      <c r="J269">
        <v>7.9</v>
      </c>
      <c r="K269">
        <v>8</v>
      </c>
    </row>
    <row r="270" spans="1:11" x14ac:dyDescent="0.25">
      <c r="A270" t="s">
        <v>178</v>
      </c>
      <c r="B270" t="s">
        <v>120</v>
      </c>
      <c r="C270" t="s">
        <v>121</v>
      </c>
      <c r="D270" t="s">
        <v>32</v>
      </c>
      <c r="E270" t="s">
        <v>29</v>
      </c>
      <c r="F270">
        <v>0.62565033725636998</v>
      </c>
      <c r="G270">
        <v>0.60130067451274005</v>
      </c>
      <c r="H270">
        <v>0.65</v>
      </c>
      <c r="I270">
        <v>273587213800</v>
      </c>
      <c r="J270">
        <v>39.200000000000003</v>
      </c>
      <c r="K270">
        <v>9</v>
      </c>
    </row>
    <row r="271" spans="1:11" x14ac:dyDescent="0.25">
      <c r="A271" t="s">
        <v>178</v>
      </c>
      <c r="B271" t="s">
        <v>158</v>
      </c>
      <c r="C271" t="s">
        <v>159</v>
      </c>
      <c r="D271" t="s">
        <v>32</v>
      </c>
      <c r="E271" t="s">
        <v>160</v>
      </c>
      <c r="F271">
        <v>0.6172275125011264</v>
      </c>
      <c r="G271">
        <v>0.78445502500225284</v>
      </c>
      <c r="H271">
        <v>0.45</v>
      </c>
      <c r="I271">
        <v>10534865400</v>
      </c>
      <c r="J271">
        <v>14</v>
      </c>
      <c r="K271">
        <v>10</v>
      </c>
    </row>
    <row r="272" spans="1:11" x14ac:dyDescent="0.25">
      <c r="A272" t="s">
        <v>178</v>
      </c>
      <c r="B272" t="s">
        <v>162</v>
      </c>
      <c r="C272" t="s">
        <v>163</v>
      </c>
      <c r="D272" t="s">
        <v>32</v>
      </c>
      <c r="E272" t="s">
        <v>29</v>
      </c>
      <c r="F272">
        <v>0.60322783621733156</v>
      </c>
      <c r="G272">
        <v>0.60645567243466314</v>
      </c>
      <c r="H272">
        <v>0.6</v>
      </c>
      <c r="I272">
        <v>352181147300</v>
      </c>
      <c r="J272">
        <v>12.3</v>
      </c>
      <c r="K272">
        <v>11</v>
      </c>
    </row>
    <row r="273" spans="1:11" x14ac:dyDescent="0.25">
      <c r="A273" t="s">
        <v>178</v>
      </c>
      <c r="B273" t="s">
        <v>179</v>
      </c>
      <c r="C273" t="s">
        <v>180</v>
      </c>
      <c r="D273" t="s">
        <v>32</v>
      </c>
      <c r="E273" t="s">
        <v>124</v>
      </c>
      <c r="F273">
        <v>0.60271942039800297</v>
      </c>
      <c r="G273">
        <v>0.85543884079600596</v>
      </c>
      <c r="H273">
        <v>0.35</v>
      </c>
      <c r="I273">
        <v>172161461500</v>
      </c>
      <c r="J273">
        <v>23.85</v>
      </c>
      <c r="K273">
        <v>12</v>
      </c>
    </row>
    <row r="274" spans="1:11" x14ac:dyDescent="0.25">
      <c r="A274" t="s">
        <v>178</v>
      </c>
      <c r="B274" t="s">
        <v>173</v>
      </c>
      <c r="C274" t="s">
        <v>174</v>
      </c>
      <c r="D274" t="s">
        <v>32</v>
      </c>
      <c r="E274" t="s">
        <v>74</v>
      </c>
      <c r="F274">
        <v>0.60033403467241864</v>
      </c>
      <c r="G274">
        <v>0.90066806934483734</v>
      </c>
      <c r="H274">
        <v>0.3</v>
      </c>
      <c r="I274">
        <v>238570842280</v>
      </c>
      <c r="J274">
        <v>11.75</v>
      </c>
      <c r="K274">
        <v>13</v>
      </c>
    </row>
    <row r="275" spans="1:11" x14ac:dyDescent="0.25">
      <c r="A275" t="s">
        <v>178</v>
      </c>
      <c r="B275" t="s">
        <v>166</v>
      </c>
      <c r="C275" t="s">
        <v>167</v>
      </c>
      <c r="D275" t="s">
        <v>32</v>
      </c>
      <c r="E275" t="s">
        <v>59</v>
      </c>
      <c r="F275">
        <v>0.59909133334223053</v>
      </c>
      <c r="G275">
        <v>0.69818266668446116</v>
      </c>
      <c r="H275">
        <v>0.5</v>
      </c>
      <c r="I275">
        <v>90680904900</v>
      </c>
      <c r="J275">
        <v>34.5</v>
      </c>
      <c r="K275">
        <v>14</v>
      </c>
    </row>
    <row r="276" spans="1:11" x14ac:dyDescent="0.25">
      <c r="A276" t="s">
        <v>178</v>
      </c>
      <c r="B276" t="s">
        <v>118</v>
      </c>
      <c r="C276" t="s">
        <v>119</v>
      </c>
      <c r="D276" t="s">
        <v>32</v>
      </c>
      <c r="E276" t="s">
        <v>33</v>
      </c>
      <c r="F276">
        <v>0.59297175221198417</v>
      </c>
      <c r="G276">
        <v>0.83594350442396836</v>
      </c>
      <c r="H276">
        <v>0.35</v>
      </c>
      <c r="I276">
        <v>35081510400</v>
      </c>
      <c r="J276">
        <v>79.5</v>
      </c>
      <c r="K276">
        <v>15</v>
      </c>
    </row>
    <row r="277" spans="1:11" x14ac:dyDescent="0.25">
      <c r="A277" t="s">
        <v>178</v>
      </c>
      <c r="B277" t="s">
        <v>88</v>
      </c>
      <c r="C277" t="s">
        <v>89</v>
      </c>
      <c r="D277" t="s">
        <v>32</v>
      </c>
      <c r="E277" t="s">
        <v>33</v>
      </c>
      <c r="F277">
        <v>0.58668420926749665</v>
      </c>
      <c r="G277">
        <v>0.6733684185349933</v>
      </c>
      <c r="H277">
        <v>0.5</v>
      </c>
      <c r="I277">
        <v>14140369120</v>
      </c>
      <c r="J277">
        <v>8.6999999999999993</v>
      </c>
      <c r="K277">
        <v>16</v>
      </c>
    </row>
    <row r="278" spans="1:11" x14ac:dyDescent="0.25">
      <c r="A278" t="s">
        <v>178</v>
      </c>
      <c r="B278" t="s">
        <v>181</v>
      </c>
      <c r="C278" t="s">
        <v>182</v>
      </c>
      <c r="D278" t="s">
        <v>32</v>
      </c>
      <c r="E278" t="s">
        <v>26</v>
      </c>
      <c r="F278">
        <v>0.58333549609404312</v>
      </c>
      <c r="G278">
        <v>0.76667099218808632</v>
      </c>
      <c r="H278">
        <v>0.4</v>
      </c>
      <c r="I278">
        <v>10318803500</v>
      </c>
      <c r="J278">
        <v>14.25</v>
      </c>
      <c r="K278">
        <v>17</v>
      </c>
    </row>
    <row r="279" spans="1:11" x14ac:dyDescent="0.25">
      <c r="A279" t="s">
        <v>178</v>
      </c>
      <c r="B279" t="s">
        <v>171</v>
      </c>
      <c r="C279" t="s">
        <v>172</v>
      </c>
      <c r="D279" t="s">
        <v>32</v>
      </c>
      <c r="E279" t="s">
        <v>33</v>
      </c>
      <c r="F279">
        <v>0.58198813385037473</v>
      </c>
      <c r="G279">
        <v>0.46397626770074962</v>
      </c>
      <c r="H279">
        <v>0.7</v>
      </c>
      <c r="I279">
        <v>12018807340</v>
      </c>
      <c r="J279">
        <v>7.3</v>
      </c>
      <c r="K279">
        <v>18</v>
      </c>
    </row>
    <row r="280" spans="1:11" x14ac:dyDescent="0.25">
      <c r="A280" t="s">
        <v>178</v>
      </c>
      <c r="B280" t="s">
        <v>19</v>
      </c>
      <c r="C280" t="s">
        <v>20</v>
      </c>
      <c r="D280" t="s">
        <v>18</v>
      </c>
      <c r="E280" t="s">
        <v>15</v>
      </c>
      <c r="F280">
        <v>0.56393662565699487</v>
      </c>
      <c r="G280">
        <v>0.72787325131398961</v>
      </c>
      <c r="H280">
        <v>0.4</v>
      </c>
      <c r="I280">
        <v>2658277200</v>
      </c>
      <c r="J280">
        <v>329</v>
      </c>
      <c r="K280">
        <v>19</v>
      </c>
    </row>
    <row r="281" spans="1:11" x14ac:dyDescent="0.25">
      <c r="A281" t="s">
        <v>178</v>
      </c>
      <c r="B281" t="s">
        <v>183</v>
      </c>
      <c r="C281" t="s">
        <v>184</v>
      </c>
      <c r="D281" t="s">
        <v>32</v>
      </c>
      <c r="E281" t="s">
        <v>33</v>
      </c>
      <c r="F281">
        <v>0.55813355283818211</v>
      </c>
      <c r="G281">
        <v>0.76626710567636425</v>
      </c>
      <c r="H281">
        <v>0.35</v>
      </c>
      <c r="I281">
        <v>2587122320</v>
      </c>
      <c r="J281">
        <v>2.12</v>
      </c>
      <c r="K281">
        <v>20</v>
      </c>
    </row>
    <row r="282" spans="1:11" x14ac:dyDescent="0.25">
      <c r="A282" t="s">
        <v>185</v>
      </c>
      <c r="B282" t="s">
        <v>110</v>
      </c>
      <c r="C282" t="s">
        <v>111</v>
      </c>
      <c r="D282" t="s">
        <v>32</v>
      </c>
      <c r="E282" t="s">
        <v>112</v>
      </c>
      <c r="F282">
        <v>0.8015200330032527</v>
      </c>
      <c r="G282">
        <v>0.95304006600650537</v>
      </c>
      <c r="H282">
        <v>0.65</v>
      </c>
      <c r="I282">
        <v>3916840440</v>
      </c>
      <c r="J282">
        <v>5.39</v>
      </c>
      <c r="K282">
        <v>1</v>
      </c>
    </row>
    <row r="283" spans="1:11" x14ac:dyDescent="0.25">
      <c r="A283" t="s">
        <v>185</v>
      </c>
      <c r="B283" t="s">
        <v>169</v>
      </c>
      <c r="C283" t="s">
        <v>170</v>
      </c>
      <c r="D283" t="s">
        <v>32</v>
      </c>
      <c r="E283" t="s">
        <v>23</v>
      </c>
      <c r="F283">
        <v>0.74668046183856962</v>
      </c>
      <c r="G283">
        <v>0.74668046183856962</v>
      </c>
      <c r="I283">
        <v>3986982800</v>
      </c>
      <c r="J283">
        <v>12.95</v>
      </c>
      <c r="K283">
        <v>2</v>
      </c>
    </row>
    <row r="284" spans="1:11" x14ac:dyDescent="0.25">
      <c r="A284" t="s">
        <v>185</v>
      </c>
      <c r="B284" t="s">
        <v>75</v>
      </c>
      <c r="C284" t="s">
        <v>76</v>
      </c>
      <c r="D284" t="s">
        <v>18</v>
      </c>
      <c r="E284" t="s">
        <v>33</v>
      </c>
      <c r="F284">
        <v>0.73050567403244315</v>
      </c>
      <c r="G284">
        <v>0.81101134806488628</v>
      </c>
      <c r="H284">
        <v>0.65</v>
      </c>
      <c r="I284">
        <v>5915551400</v>
      </c>
      <c r="J284">
        <v>5.9</v>
      </c>
      <c r="K284">
        <v>3</v>
      </c>
    </row>
    <row r="285" spans="1:11" x14ac:dyDescent="0.25">
      <c r="A285" t="s">
        <v>185</v>
      </c>
      <c r="B285" t="s">
        <v>158</v>
      </c>
      <c r="C285" t="s">
        <v>159</v>
      </c>
      <c r="D285" t="s">
        <v>32</v>
      </c>
      <c r="E285" t="s">
        <v>160</v>
      </c>
      <c r="F285">
        <v>0.72821112505541619</v>
      </c>
      <c r="G285">
        <v>0.70642225011083237</v>
      </c>
      <c r="H285">
        <v>0.75</v>
      </c>
      <c r="I285">
        <v>10618077000</v>
      </c>
      <c r="J285">
        <v>13.8</v>
      </c>
      <c r="K285">
        <v>4</v>
      </c>
    </row>
    <row r="286" spans="1:11" x14ac:dyDescent="0.25">
      <c r="A286" t="s">
        <v>185</v>
      </c>
      <c r="B286" t="s">
        <v>84</v>
      </c>
      <c r="C286" t="s">
        <v>85</v>
      </c>
      <c r="D286" t="s">
        <v>14</v>
      </c>
      <c r="E286" t="s">
        <v>42</v>
      </c>
      <c r="F286">
        <v>0.71974584667062391</v>
      </c>
      <c r="G286">
        <v>0.73949169334124776</v>
      </c>
      <c r="H286">
        <v>0.7</v>
      </c>
      <c r="I286">
        <v>8387562000</v>
      </c>
      <c r="J286">
        <v>135.4</v>
      </c>
      <c r="K286">
        <v>5</v>
      </c>
    </row>
    <row r="287" spans="1:11" x14ac:dyDescent="0.25">
      <c r="A287" t="s">
        <v>185</v>
      </c>
      <c r="B287" t="s">
        <v>99</v>
      </c>
      <c r="C287" t="s">
        <v>100</v>
      </c>
      <c r="D287" t="s">
        <v>32</v>
      </c>
      <c r="E287" t="s">
        <v>29</v>
      </c>
      <c r="F287">
        <v>0.70697219282781032</v>
      </c>
      <c r="G287">
        <v>0.81394438565562066</v>
      </c>
      <c r="H287">
        <v>0.6</v>
      </c>
      <c r="I287">
        <v>30918715900</v>
      </c>
      <c r="J287">
        <v>55.9</v>
      </c>
      <c r="K287">
        <v>6</v>
      </c>
    </row>
    <row r="288" spans="1:11" x14ac:dyDescent="0.25">
      <c r="A288" t="s">
        <v>185</v>
      </c>
      <c r="B288" t="s">
        <v>154</v>
      </c>
      <c r="C288" t="s">
        <v>155</v>
      </c>
      <c r="D288" t="s">
        <v>32</v>
      </c>
      <c r="E288" t="s">
        <v>39</v>
      </c>
      <c r="F288">
        <v>0.68716496720492903</v>
      </c>
      <c r="G288">
        <v>0.72432993440985805</v>
      </c>
      <c r="H288">
        <v>0.65</v>
      </c>
      <c r="I288">
        <v>99176728800</v>
      </c>
      <c r="J288">
        <v>32.85</v>
      </c>
      <c r="K288">
        <v>7</v>
      </c>
    </row>
    <row r="289" spans="1:11" x14ac:dyDescent="0.25">
      <c r="A289" t="s">
        <v>185</v>
      </c>
      <c r="B289" t="s">
        <v>82</v>
      </c>
      <c r="C289" t="s">
        <v>83</v>
      </c>
      <c r="D289" t="s">
        <v>32</v>
      </c>
      <c r="E289" t="s">
        <v>39</v>
      </c>
      <c r="F289">
        <v>0.66305152845888693</v>
      </c>
      <c r="G289">
        <v>0.82610305691777397</v>
      </c>
      <c r="H289">
        <v>0.5</v>
      </c>
      <c r="I289">
        <v>33762115800</v>
      </c>
      <c r="J289">
        <v>15.1</v>
      </c>
      <c r="K289">
        <v>8</v>
      </c>
    </row>
    <row r="290" spans="1:11" x14ac:dyDescent="0.25">
      <c r="A290" t="s">
        <v>185</v>
      </c>
      <c r="B290" t="s">
        <v>173</v>
      </c>
      <c r="C290" t="s">
        <v>174</v>
      </c>
      <c r="D290" t="s">
        <v>32</v>
      </c>
      <c r="E290" t="s">
        <v>74</v>
      </c>
      <c r="F290">
        <v>0.64778901663650901</v>
      </c>
      <c r="G290">
        <v>0.89557803327301788</v>
      </c>
      <c r="H290">
        <v>0.4</v>
      </c>
      <c r="I290">
        <v>253774859780</v>
      </c>
      <c r="J290">
        <v>11.75</v>
      </c>
      <c r="K290">
        <v>9</v>
      </c>
    </row>
    <row r="291" spans="1:11" x14ac:dyDescent="0.25">
      <c r="A291" t="s">
        <v>185</v>
      </c>
      <c r="B291" t="s">
        <v>120</v>
      </c>
      <c r="C291" t="s">
        <v>121</v>
      </c>
      <c r="D291" t="s">
        <v>32</v>
      </c>
      <c r="E291" t="s">
        <v>29</v>
      </c>
      <c r="F291">
        <v>0.64018978770183754</v>
      </c>
      <c r="G291">
        <v>0.63037957540367506</v>
      </c>
      <c r="H291">
        <v>0.65</v>
      </c>
      <c r="I291">
        <v>280549499400</v>
      </c>
      <c r="J291">
        <v>39.1</v>
      </c>
      <c r="K291">
        <v>10</v>
      </c>
    </row>
    <row r="292" spans="1:11" x14ac:dyDescent="0.25">
      <c r="A292" t="s">
        <v>185</v>
      </c>
      <c r="B292" t="s">
        <v>135</v>
      </c>
      <c r="C292" t="s">
        <v>136</v>
      </c>
      <c r="D292" t="s">
        <v>32</v>
      </c>
      <c r="E292" t="s">
        <v>29</v>
      </c>
      <c r="F292">
        <v>0.63279738626136139</v>
      </c>
      <c r="G292">
        <v>0.81559477252272283</v>
      </c>
      <c r="H292">
        <v>0.45</v>
      </c>
      <c r="I292">
        <v>220491355300</v>
      </c>
      <c r="J292">
        <v>15.35</v>
      </c>
      <c r="K292">
        <v>11</v>
      </c>
    </row>
    <row r="293" spans="1:11" x14ac:dyDescent="0.25">
      <c r="A293" t="s">
        <v>185</v>
      </c>
      <c r="B293" t="s">
        <v>176</v>
      </c>
      <c r="C293" t="s">
        <v>177</v>
      </c>
      <c r="D293" t="s">
        <v>32</v>
      </c>
      <c r="E293" t="s">
        <v>33</v>
      </c>
      <c r="F293">
        <v>0.62749098851627372</v>
      </c>
      <c r="G293">
        <v>0.9549819770325475</v>
      </c>
      <c r="H293">
        <v>0.3</v>
      </c>
      <c r="I293">
        <v>2098987520</v>
      </c>
      <c r="J293">
        <v>8.25</v>
      </c>
      <c r="K293">
        <v>12</v>
      </c>
    </row>
    <row r="294" spans="1:11" x14ac:dyDescent="0.25">
      <c r="A294" t="s">
        <v>185</v>
      </c>
      <c r="B294" t="s">
        <v>132</v>
      </c>
      <c r="C294" t="s">
        <v>133</v>
      </c>
      <c r="D294" t="s">
        <v>18</v>
      </c>
      <c r="E294" t="s">
        <v>134</v>
      </c>
      <c r="F294">
        <v>0.62028580517687226</v>
      </c>
      <c r="G294">
        <v>0.8405716103537445</v>
      </c>
      <c r="H294">
        <v>0.4</v>
      </c>
      <c r="I294">
        <v>2844957600</v>
      </c>
      <c r="J294">
        <v>14.5</v>
      </c>
      <c r="K294">
        <v>13</v>
      </c>
    </row>
    <row r="295" spans="1:11" x14ac:dyDescent="0.25">
      <c r="A295" t="s">
        <v>185</v>
      </c>
      <c r="B295" t="s">
        <v>162</v>
      </c>
      <c r="C295" t="s">
        <v>163</v>
      </c>
      <c r="D295" t="s">
        <v>32</v>
      </c>
      <c r="E295" t="s">
        <v>29</v>
      </c>
      <c r="F295">
        <v>0.6002412900425349</v>
      </c>
      <c r="G295">
        <v>0.60048258008506972</v>
      </c>
      <c r="H295">
        <v>0.6</v>
      </c>
      <c r="I295">
        <v>357020722940</v>
      </c>
      <c r="J295">
        <v>12.25</v>
      </c>
      <c r="K295">
        <v>14</v>
      </c>
    </row>
    <row r="296" spans="1:11" x14ac:dyDescent="0.25">
      <c r="A296" t="s">
        <v>185</v>
      </c>
      <c r="B296" t="s">
        <v>19</v>
      </c>
      <c r="C296" t="s">
        <v>20</v>
      </c>
      <c r="D296" t="s">
        <v>18</v>
      </c>
      <c r="E296" t="s">
        <v>15</v>
      </c>
      <c r="F296">
        <v>0.59805408251919356</v>
      </c>
      <c r="G296">
        <v>0.74610816503838717</v>
      </c>
      <c r="H296">
        <v>0.45</v>
      </c>
      <c r="I296">
        <v>2676273200</v>
      </c>
      <c r="J296">
        <v>329</v>
      </c>
      <c r="K296">
        <v>15</v>
      </c>
    </row>
    <row r="297" spans="1:11" x14ac:dyDescent="0.25">
      <c r="A297" t="s">
        <v>185</v>
      </c>
      <c r="B297" t="s">
        <v>186</v>
      </c>
      <c r="C297" t="s">
        <v>187</v>
      </c>
      <c r="D297" t="s">
        <v>32</v>
      </c>
      <c r="E297" t="s">
        <v>74</v>
      </c>
      <c r="F297">
        <v>0.57903046277360515</v>
      </c>
      <c r="G297">
        <v>0.80806092554721021</v>
      </c>
      <c r="H297">
        <v>0.35</v>
      </c>
      <c r="I297">
        <v>8703708200</v>
      </c>
      <c r="J297">
        <v>10.7</v>
      </c>
      <c r="K297">
        <v>16</v>
      </c>
    </row>
    <row r="298" spans="1:11" x14ac:dyDescent="0.25">
      <c r="A298" t="s">
        <v>185</v>
      </c>
      <c r="B298" t="s">
        <v>188</v>
      </c>
      <c r="C298" t="s">
        <v>189</v>
      </c>
      <c r="D298" t="s">
        <v>32</v>
      </c>
      <c r="E298" t="s">
        <v>29</v>
      </c>
      <c r="F298">
        <v>0.57738234202631478</v>
      </c>
      <c r="G298">
        <v>0.85476468405262951</v>
      </c>
      <c r="H298">
        <v>0.3</v>
      </c>
      <c r="I298">
        <v>4706204120</v>
      </c>
      <c r="J298">
        <v>10.55</v>
      </c>
      <c r="K298">
        <v>17</v>
      </c>
    </row>
    <row r="299" spans="1:11" x14ac:dyDescent="0.25">
      <c r="A299" t="s">
        <v>185</v>
      </c>
      <c r="B299" t="s">
        <v>166</v>
      </c>
      <c r="C299" t="s">
        <v>167</v>
      </c>
      <c r="D299" t="s">
        <v>32</v>
      </c>
      <c r="E299" t="s">
        <v>59</v>
      </c>
      <c r="F299">
        <v>0.57409433803748444</v>
      </c>
      <c r="G299">
        <v>0.74818867607496886</v>
      </c>
      <c r="H299">
        <v>0.4</v>
      </c>
      <c r="I299">
        <v>92533226800</v>
      </c>
      <c r="J299">
        <v>34.549999999999997</v>
      </c>
      <c r="K299">
        <v>18</v>
      </c>
    </row>
    <row r="300" spans="1:11" x14ac:dyDescent="0.25">
      <c r="A300" t="s">
        <v>185</v>
      </c>
      <c r="B300" t="s">
        <v>70</v>
      </c>
      <c r="C300" t="s">
        <v>71</v>
      </c>
      <c r="D300" t="s">
        <v>32</v>
      </c>
      <c r="E300" t="s">
        <v>33</v>
      </c>
      <c r="F300">
        <v>0.57330964289414832</v>
      </c>
      <c r="G300">
        <v>0.79661928578829666</v>
      </c>
      <c r="H300">
        <v>0.35</v>
      </c>
      <c r="I300">
        <v>16164764460</v>
      </c>
      <c r="J300">
        <v>6.77</v>
      </c>
      <c r="K300">
        <v>19</v>
      </c>
    </row>
    <row r="301" spans="1:11" x14ac:dyDescent="0.25">
      <c r="A301" t="s">
        <v>185</v>
      </c>
      <c r="B301" t="s">
        <v>190</v>
      </c>
      <c r="C301" t="s">
        <v>191</v>
      </c>
      <c r="D301" t="s">
        <v>32</v>
      </c>
      <c r="E301" t="s">
        <v>74</v>
      </c>
      <c r="F301">
        <v>0.55995577554224174</v>
      </c>
      <c r="G301">
        <v>0.51991155108448361</v>
      </c>
      <c r="H301">
        <v>0.6</v>
      </c>
      <c r="I301">
        <v>304046034500</v>
      </c>
      <c r="J301">
        <v>19.5</v>
      </c>
      <c r="K301">
        <v>20</v>
      </c>
    </row>
    <row r="302" spans="1:11" x14ac:dyDescent="0.25">
      <c r="A302" t="s">
        <v>192</v>
      </c>
      <c r="B302" t="s">
        <v>110</v>
      </c>
      <c r="C302" t="s">
        <v>111</v>
      </c>
      <c r="D302" t="s">
        <v>32</v>
      </c>
      <c r="E302" t="s">
        <v>112</v>
      </c>
      <c r="F302">
        <v>0.74935224662509103</v>
      </c>
      <c r="G302">
        <v>0.94870449325018191</v>
      </c>
      <c r="H302">
        <v>0.55000000000000004</v>
      </c>
      <c r="I302">
        <v>3897675120</v>
      </c>
      <c r="J302">
        <v>5.45</v>
      </c>
      <c r="K302">
        <v>1</v>
      </c>
    </row>
    <row r="303" spans="1:11" x14ac:dyDescent="0.25">
      <c r="A303" t="s">
        <v>192</v>
      </c>
      <c r="B303" t="s">
        <v>169</v>
      </c>
      <c r="C303" t="s">
        <v>170</v>
      </c>
      <c r="D303" t="s">
        <v>32</v>
      </c>
      <c r="E303" t="s">
        <v>23</v>
      </c>
      <c r="F303">
        <v>0.73599155451984943</v>
      </c>
      <c r="G303">
        <v>0.73599155451984943</v>
      </c>
      <c r="I303">
        <v>4007122200</v>
      </c>
      <c r="J303">
        <v>12.95</v>
      </c>
      <c r="K303">
        <v>2</v>
      </c>
    </row>
    <row r="304" spans="1:11" x14ac:dyDescent="0.25">
      <c r="A304" t="s">
        <v>192</v>
      </c>
      <c r="B304" t="s">
        <v>173</v>
      </c>
      <c r="C304" t="s">
        <v>174</v>
      </c>
      <c r="D304" t="s">
        <v>32</v>
      </c>
      <c r="E304" t="s">
        <v>74</v>
      </c>
      <c r="F304">
        <v>0.72608912774286893</v>
      </c>
      <c r="G304">
        <v>0.95217825548573776</v>
      </c>
      <c r="H304">
        <v>0.5</v>
      </c>
      <c r="I304">
        <v>272781132980</v>
      </c>
      <c r="J304">
        <v>12.4</v>
      </c>
      <c r="K304">
        <v>3</v>
      </c>
    </row>
    <row r="305" spans="1:11" x14ac:dyDescent="0.25">
      <c r="A305" t="s">
        <v>192</v>
      </c>
      <c r="B305" t="s">
        <v>84</v>
      </c>
      <c r="C305" t="s">
        <v>85</v>
      </c>
      <c r="D305" t="s">
        <v>14</v>
      </c>
      <c r="E305" t="s">
        <v>42</v>
      </c>
      <c r="F305">
        <v>0.72172761388042805</v>
      </c>
      <c r="G305">
        <v>0.74345522776085604</v>
      </c>
      <c r="H305">
        <v>0.7</v>
      </c>
      <c r="I305">
        <v>8424708000</v>
      </c>
      <c r="J305">
        <v>135</v>
      </c>
      <c r="K305">
        <v>4</v>
      </c>
    </row>
    <row r="306" spans="1:11" x14ac:dyDescent="0.25">
      <c r="A306" t="s">
        <v>192</v>
      </c>
      <c r="B306" t="s">
        <v>24</v>
      </c>
      <c r="C306" t="s">
        <v>25</v>
      </c>
      <c r="D306" t="s">
        <v>18</v>
      </c>
      <c r="E306" t="s">
        <v>26</v>
      </c>
      <c r="F306">
        <v>0.71510974670721228</v>
      </c>
      <c r="G306">
        <v>0.88021949341442451</v>
      </c>
      <c r="H306">
        <v>0.55000000000000004</v>
      </c>
      <c r="I306">
        <v>7802217200</v>
      </c>
      <c r="J306">
        <v>13.6</v>
      </c>
      <c r="K306">
        <v>5</v>
      </c>
    </row>
    <row r="307" spans="1:11" x14ac:dyDescent="0.25">
      <c r="A307" t="s">
        <v>192</v>
      </c>
      <c r="B307" t="s">
        <v>99</v>
      </c>
      <c r="C307" t="s">
        <v>100</v>
      </c>
      <c r="D307" t="s">
        <v>32</v>
      </c>
      <c r="E307" t="s">
        <v>29</v>
      </c>
      <c r="F307">
        <v>0.70334653124744761</v>
      </c>
      <c r="G307">
        <v>0.8566930624948953</v>
      </c>
      <c r="H307">
        <v>0.55000000000000004</v>
      </c>
      <c r="I307">
        <v>31625777900</v>
      </c>
      <c r="J307">
        <v>58</v>
      </c>
      <c r="K307">
        <v>6</v>
      </c>
    </row>
    <row r="308" spans="1:11" x14ac:dyDescent="0.25">
      <c r="A308" t="s">
        <v>192</v>
      </c>
      <c r="B308" t="s">
        <v>193</v>
      </c>
      <c r="C308" t="s">
        <v>194</v>
      </c>
      <c r="D308" t="s">
        <v>32</v>
      </c>
      <c r="E308" t="s">
        <v>33</v>
      </c>
      <c r="F308">
        <v>0.68920554422987235</v>
      </c>
      <c r="G308">
        <v>0.7784110884597446</v>
      </c>
      <c r="H308">
        <v>0.6</v>
      </c>
      <c r="I308">
        <v>9988662940</v>
      </c>
      <c r="J308">
        <v>3.47</v>
      </c>
      <c r="K308">
        <v>7</v>
      </c>
    </row>
    <row r="309" spans="1:11" x14ac:dyDescent="0.25">
      <c r="A309" t="s">
        <v>192</v>
      </c>
      <c r="B309" t="s">
        <v>120</v>
      </c>
      <c r="C309" t="s">
        <v>121</v>
      </c>
      <c r="D309" t="s">
        <v>32</v>
      </c>
      <c r="E309" t="s">
        <v>29</v>
      </c>
      <c r="F309">
        <v>0.68099899736054859</v>
      </c>
      <c r="G309">
        <v>0.61199799472109728</v>
      </c>
      <c r="H309">
        <v>0.75</v>
      </c>
      <c r="I309">
        <v>285318510500</v>
      </c>
      <c r="J309">
        <v>39.450000000000003</v>
      </c>
      <c r="K309">
        <v>8</v>
      </c>
    </row>
    <row r="310" spans="1:11" x14ac:dyDescent="0.25">
      <c r="A310" t="s">
        <v>192</v>
      </c>
      <c r="B310" t="s">
        <v>19</v>
      </c>
      <c r="C310" t="s">
        <v>20</v>
      </c>
      <c r="D310" t="s">
        <v>18</v>
      </c>
      <c r="E310" t="s">
        <v>15</v>
      </c>
      <c r="F310">
        <v>0.64737642851560151</v>
      </c>
      <c r="G310">
        <v>0.84475285703120306</v>
      </c>
      <c r="H310">
        <v>0.45</v>
      </c>
      <c r="I310">
        <v>2710483400</v>
      </c>
      <c r="J310">
        <v>331.3</v>
      </c>
      <c r="K310">
        <v>9</v>
      </c>
    </row>
    <row r="311" spans="1:11" x14ac:dyDescent="0.25">
      <c r="A311" t="s">
        <v>192</v>
      </c>
      <c r="B311" t="s">
        <v>176</v>
      </c>
      <c r="C311" t="s">
        <v>177</v>
      </c>
      <c r="D311" t="s">
        <v>32</v>
      </c>
      <c r="E311" t="s">
        <v>33</v>
      </c>
      <c r="F311">
        <v>0.62992245324691587</v>
      </c>
      <c r="G311">
        <v>0.90984490649383176</v>
      </c>
      <c r="H311">
        <v>0.35</v>
      </c>
      <c r="I311">
        <v>2063316640</v>
      </c>
      <c r="J311">
        <v>8.15</v>
      </c>
      <c r="K311">
        <v>10</v>
      </c>
    </row>
    <row r="312" spans="1:11" x14ac:dyDescent="0.25">
      <c r="A312" t="s">
        <v>192</v>
      </c>
      <c r="B312" t="s">
        <v>158</v>
      </c>
      <c r="C312" t="s">
        <v>159</v>
      </c>
      <c r="D312" t="s">
        <v>32</v>
      </c>
      <c r="E312" t="s">
        <v>160</v>
      </c>
      <c r="F312">
        <v>0.62612768373739525</v>
      </c>
      <c r="G312">
        <v>0.65225536747479063</v>
      </c>
      <c r="H312">
        <v>0.6</v>
      </c>
      <c r="I312">
        <v>10787397000</v>
      </c>
      <c r="J312">
        <v>13.7</v>
      </c>
      <c r="K312">
        <v>11</v>
      </c>
    </row>
    <row r="313" spans="1:11" x14ac:dyDescent="0.25">
      <c r="A313" t="s">
        <v>192</v>
      </c>
      <c r="B313" t="s">
        <v>132</v>
      </c>
      <c r="C313" t="s">
        <v>133</v>
      </c>
      <c r="D313" t="s">
        <v>18</v>
      </c>
      <c r="E313" t="s">
        <v>134</v>
      </c>
      <c r="F313">
        <v>0.61399725941011718</v>
      </c>
      <c r="G313">
        <v>0.87799451882023438</v>
      </c>
      <c r="H313">
        <v>0.35</v>
      </c>
      <c r="I313">
        <v>2932536600</v>
      </c>
      <c r="J313">
        <v>14.7</v>
      </c>
      <c r="K313">
        <v>12</v>
      </c>
    </row>
    <row r="314" spans="1:11" x14ac:dyDescent="0.25">
      <c r="A314" t="s">
        <v>192</v>
      </c>
      <c r="B314" t="s">
        <v>154</v>
      </c>
      <c r="C314" t="s">
        <v>155</v>
      </c>
      <c r="D314" t="s">
        <v>32</v>
      </c>
      <c r="E314" t="s">
        <v>39</v>
      </c>
      <c r="F314">
        <v>0.61194986442810917</v>
      </c>
      <c r="G314">
        <v>0.72389972885621845</v>
      </c>
      <c r="H314">
        <v>0.5</v>
      </c>
      <c r="I314">
        <v>99188021000</v>
      </c>
      <c r="J314">
        <v>33</v>
      </c>
      <c r="K314">
        <v>13</v>
      </c>
    </row>
    <row r="315" spans="1:11" x14ac:dyDescent="0.25">
      <c r="A315" t="s">
        <v>192</v>
      </c>
      <c r="B315" t="s">
        <v>82</v>
      </c>
      <c r="C315" t="s">
        <v>83</v>
      </c>
      <c r="D315" t="s">
        <v>32</v>
      </c>
      <c r="E315" t="s">
        <v>39</v>
      </c>
      <c r="F315">
        <v>0.61086928256892858</v>
      </c>
      <c r="G315">
        <v>0.77173856513785721</v>
      </c>
      <c r="H315">
        <v>0.45</v>
      </c>
      <c r="I315">
        <v>33938628800</v>
      </c>
      <c r="J315">
        <v>15.05</v>
      </c>
      <c r="K315">
        <v>14</v>
      </c>
    </row>
    <row r="316" spans="1:11" x14ac:dyDescent="0.25">
      <c r="A316" t="s">
        <v>192</v>
      </c>
      <c r="B316" t="s">
        <v>188</v>
      </c>
      <c r="C316" t="s">
        <v>189</v>
      </c>
      <c r="D316" t="s">
        <v>32</v>
      </c>
      <c r="E316" t="s">
        <v>29</v>
      </c>
      <c r="F316">
        <v>0.59658558227948599</v>
      </c>
      <c r="G316">
        <v>0.84317116455897201</v>
      </c>
      <c r="H316">
        <v>0.35</v>
      </c>
      <c r="I316">
        <v>4734288660</v>
      </c>
      <c r="J316">
        <v>10.55</v>
      </c>
      <c r="K316">
        <v>15</v>
      </c>
    </row>
    <row r="317" spans="1:11" x14ac:dyDescent="0.25">
      <c r="A317" t="s">
        <v>192</v>
      </c>
      <c r="B317" t="s">
        <v>195</v>
      </c>
      <c r="C317" t="s">
        <v>196</v>
      </c>
      <c r="D317" t="s">
        <v>32</v>
      </c>
      <c r="E317" t="s">
        <v>197</v>
      </c>
      <c r="F317">
        <v>0.59333109227186032</v>
      </c>
      <c r="G317">
        <v>0.68666218454372063</v>
      </c>
      <c r="H317">
        <v>0.5</v>
      </c>
      <c r="I317">
        <v>6077307700</v>
      </c>
      <c r="J317">
        <v>21</v>
      </c>
      <c r="K317">
        <v>16</v>
      </c>
    </row>
    <row r="318" spans="1:11" x14ac:dyDescent="0.25">
      <c r="A318" t="s">
        <v>192</v>
      </c>
      <c r="B318" t="s">
        <v>152</v>
      </c>
      <c r="C318" t="s">
        <v>153</v>
      </c>
      <c r="D318" t="s">
        <v>32</v>
      </c>
      <c r="E318" t="s">
        <v>74</v>
      </c>
      <c r="F318">
        <v>0.57535882715883924</v>
      </c>
      <c r="G318">
        <v>0.55071765431767861</v>
      </c>
      <c r="H318">
        <v>0.6</v>
      </c>
      <c r="I318">
        <v>331271127200</v>
      </c>
      <c r="J318">
        <v>38.6</v>
      </c>
      <c r="K318">
        <v>17</v>
      </c>
    </row>
    <row r="319" spans="1:11" x14ac:dyDescent="0.25">
      <c r="A319" t="s">
        <v>192</v>
      </c>
      <c r="B319" t="s">
        <v>88</v>
      </c>
      <c r="C319" t="s">
        <v>89</v>
      </c>
      <c r="D319" t="s">
        <v>32</v>
      </c>
      <c r="E319" t="s">
        <v>33</v>
      </c>
      <c r="F319">
        <v>0.56327535146526042</v>
      </c>
      <c r="G319">
        <v>0.67655070293052078</v>
      </c>
      <c r="H319">
        <v>0.45</v>
      </c>
      <c r="I319">
        <v>14546985120</v>
      </c>
      <c r="J319">
        <v>8.76</v>
      </c>
      <c r="K319">
        <v>18</v>
      </c>
    </row>
    <row r="320" spans="1:11" x14ac:dyDescent="0.25">
      <c r="A320" t="s">
        <v>192</v>
      </c>
      <c r="B320" t="s">
        <v>70</v>
      </c>
      <c r="C320" t="s">
        <v>71</v>
      </c>
      <c r="D320" t="s">
        <v>32</v>
      </c>
      <c r="E320" t="s">
        <v>33</v>
      </c>
      <c r="F320">
        <v>0.56181503360643092</v>
      </c>
      <c r="G320">
        <v>0.82363006721286192</v>
      </c>
      <c r="H320">
        <v>0.3</v>
      </c>
      <c r="I320">
        <v>16438843220</v>
      </c>
      <c r="J320">
        <v>6.9</v>
      </c>
      <c r="K320">
        <v>19</v>
      </c>
    </row>
    <row r="321" spans="1:11" x14ac:dyDescent="0.25">
      <c r="A321" t="s">
        <v>192</v>
      </c>
      <c r="B321" t="s">
        <v>162</v>
      </c>
      <c r="C321" t="s">
        <v>163</v>
      </c>
      <c r="D321" t="s">
        <v>32</v>
      </c>
      <c r="E321" t="s">
        <v>29</v>
      </c>
      <c r="F321">
        <v>0.56090264175409121</v>
      </c>
      <c r="G321">
        <v>0.57180528350818238</v>
      </c>
      <c r="H321">
        <v>0.55000000000000004</v>
      </c>
      <c r="I321">
        <v>360470039440</v>
      </c>
      <c r="J321">
        <v>12.35</v>
      </c>
      <c r="K321">
        <v>20</v>
      </c>
    </row>
    <row r="322" spans="1:11" x14ac:dyDescent="0.25">
      <c r="A322" t="s">
        <v>198</v>
      </c>
      <c r="B322" t="s">
        <v>79</v>
      </c>
      <c r="C322" t="s">
        <v>80</v>
      </c>
      <c r="D322" t="s">
        <v>32</v>
      </c>
      <c r="E322" t="s">
        <v>59</v>
      </c>
      <c r="F322">
        <v>0.84231674687018976</v>
      </c>
      <c r="G322">
        <v>0.88463349374037958</v>
      </c>
      <c r="H322">
        <v>0.8</v>
      </c>
      <c r="I322">
        <v>18621109400</v>
      </c>
      <c r="J322">
        <v>85.1</v>
      </c>
      <c r="K322">
        <v>1</v>
      </c>
    </row>
    <row r="323" spans="1:11" x14ac:dyDescent="0.25">
      <c r="A323" t="s">
        <v>198</v>
      </c>
      <c r="B323" t="s">
        <v>169</v>
      </c>
      <c r="C323" t="s">
        <v>170</v>
      </c>
      <c r="D323" t="s">
        <v>32</v>
      </c>
      <c r="E323" t="s">
        <v>23</v>
      </c>
      <c r="F323">
        <v>0.78147197683241498</v>
      </c>
      <c r="G323">
        <v>0.78147197683241498</v>
      </c>
      <c r="I323">
        <v>4187849600</v>
      </c>
      <c r="J323">
        <v>12.7</v>
      </c>
      <c r="K323">
        <v>2</v>
      </c>
    </row>
    <row r="324" spans="1:11" x14ac:dyDescent="0.25">
      <c r="A324" t="s">
        <v>198</v>
      </c>
      <c r="B324" t="s">
        <v>173</v>
      </c>
      <c r="C324" t="s">
        <v>174</v>
      </c>
      <c r="D324" t="s">
        <v>32</v>
      </c>
      <c r="E324" t="s">
        <v>74</v>
      </c>
      <c r="F324">
        <v>0.72397005735072462</v>
      </c>
      <c r="G324">
        <v>0.94794011470144923</v>
      </c>
      <c r="H324">
        <v>0.5</v>
      </c>
      <c r="I324">
        <v>290416150080</v>
      </c>
      <c r="J324">
        <v>12.4</v>
      </c>
      <c r="K324">
        <v>3</v>
      </c>
    </row>
    <row r="325" spans="1:11" x14ac:dyDescent="0.25">
      <c r="A325" t="s">
        <v>198</v>
      </c>
      <c r="B325" t="s">
        <v>84</v>
      </c>
      <c r="C325" t="s">
        <v>85</v>
      </c>
      <c r="D325" t="s">
        <v>14</v>
      </c>
      <c r="E325" t="s">
        <v>42</v>
      </c>
      <c r="F325">
        <v>0.71826135473360164</v>
      </c>
      <c r="G325">
        <v>0.68652270946720328</v>
      </c>
      <c r="H325">
        <v>0.75</v>
      </c>
      <c r="I325">
        <v>8465076400</v>
      </c>
      <c r="J325">
        <v>134.19999999999999</v>
      </c>
      <c r="K325">
        <v>4</v>
      </c>
    </row>
    <row r="326" spans="1:11" x14ac:dyDescent="0.25">
      <c r="A326" t="s">
        <v>198</v>
      </c>
      <c r="B326" t="s">
        <v>110</v>
      </c>
      <c r="C326" t="s">
        <v>111</v>
      </c>
      <c r="D326" t="s">
        <v>32</v>
      </c>
      <c r="E326" t="s">
        <v>112</v>
      </c>
      <c r="F326">
        <v>0.68733190571478131</v>
      </c>
      <c r="G326">
        <v>0.97466381142956249</v>
      </c>
      <c r="H326">
        <v>0.4</v>
      </c>
      <c r="I326">
        <v>3972184480</v>
      </c>
      <c r="J326">
        <v>5.66</v>
      </c>
      <c r="K326">
        <v>5</v>
      </c>
    </row>
    <row r="327" spans="1:11" x14ac:dyDescent="0.25">
      <c r="A327" t="s">
        <v>198</v>
      </c>
      <c r="B327" t="s">
        <v>176</v>
      </c>
      <c r="C327" t="s">
        <v>177</v>
      </c>
      <c r="D327" t="s">
        <v>32</v>
      </c>
      <c r="E327" t="s">
        <v>33</v>
      </c>
      <c r="F327">
        <v>0.661775254955971</v>
      </c>
      <c r="G327">
        <v>0.92355050991194187</v>
      </c>
      <c r="H327">
        <v>0.4</v>
      </c>
      <c r="I327">
        <v>2076539600</v>
      </c>
      <c r="J327">
        <v>8.15</v>
      </c>
      <c r="K327">
        <v>6</v>
      </c>
    </row>
    <row r="328" spans="1:11" x14ac:dyDescent="0.25">
      <c r="A328" t="s">
        <v>198</v>
      </c>
      <c r="B328" t="s">
        <v>158</v>
      </c>
      <c r="C328" t="s">
        <v>159</v>
      </c>
      <c r="D328" t="s">
        <v>32</v>
      </c>
      <c r="E328" t="s">
        <v>160</v>
      </c>
      <c r="F328">
        <v>0.65331381828579316</v>
      </c>
      <c r="G328">
        <v>0.65662763657158629</v>
      </c>
      <c r="H328">
        <v>0.65</v>
      </c>
      <c r="I328">
        <v>10940293800</v>
      </c>
      <c r="J328">
        <v>13.8</v>
      </c>
      <c r="K328">
        <v>7</v>
      </c>
    </row>
    <row r="329" spans="1:11" x14ac:dyDescent="0.25">
      <c r="A329" t="s">
        <v>198</v>
      </c>
      <c r="B329" t="s">
        <v>24</v>
      </c>
      <c r="C329" t="s">
        <v>25</v>
      </c>
      <c r="D329" t="s">
        <v>18</v>
      </c>
      <c r="E329" t="s">
        <v>26</v>
      </c>
      <c r="F329">
        <v>0.64987620558206449</v>
      </c>
      <c r="G329">
        <v>0.84975241116412892</v>
      </c>
      <c r="H329">
        <v>0.45</v>
      </c>
      <c r="I329">
        <v>8042738600</v>
      </c>
      <c r="J329">
        <v>13.5</v>
      </c>
      <c r="K329">
        <v>8</v>
      </c>
    </row>
    <row r="330" spans="1:11" x14ac:dyDescent="0.25">
      <c r="A330" t="s">
        <v>198</v>
      </c>
      <c r="B330" t="s">
        <v>162</v>
      </c>
      <c r="C330" t="s">
        <v>163</v>
      </c>
      <c r="D330" t="s">
        <v>32</v>
      </c>
      <c r="E330" t="s">
        <v>29</v>
      </c>
      <c r="F330">
        <v>0.64644444229445219</v>
      </c>
      <c r="G330">
        <v>0.69288888458890452</v>
      </c>
      <c r="H330">
        <v>0.6</v>
      </c>
      <c r="I330">
        <v>372805945140</v>
      </c>
      <c r="J330">
        <v>12.45</v>
      </c>
      <c r="K330">
        <v>9</v>
      </c>
    </row>
    <row r="331" spans="1:11" x14ac:dyDescent="0.25">
      <c r="A331" t="s">
        <v>198</v>
      </c>
      <c r="B331" t="s">
        <v>132</v>
      </c>
      <c r="C331" t="s">
        <v>133</v>
      </c>
      <c r="D331" t="s">
        <v>18</v>
      </c>
      <c r="E331" t="s">
        <v>134</v>
      </c>
      <c r="F331">
        <v>0.63646155152598027</v>
      </c>
      <c r="G331">
        <v>0.77292310305196055</v>
      </c>
      <c r="H331">
        <v>0.5</v>
      </c>
      <c r="I331">
        <v>2962775000</v>
      </c>
      <c r="J331">
        <v>14.3</v>
      </c>
      <c r="K331">
        <v>10</v>
      </c>
    </row>
    <row r="332" spans="1:11" x14ac:dyDescent="0.25">
      <c r="A332" t="s">
        <v>198</v>
      </c>
      <c r="B332" t="s">
        <v>154</v>
      </c>
      <c r="C332" t="s">
        <v>155</v>
      </c>
      <c r="D332" t="s">
        <v>32</v>
      </c>
      <c r="E332" t="s">
        <v>39</v>
      </c>
      <c r="F332">
        <v>0.63025585237494042</v>
      </c>
      <c r="G332">
        <v>0.76051170474988083</v>
      </c>
      <c r="H332">
        <v>0.5</v>
      </c>
      <c r="I332">
        <v>100083800800</v>
      </c>
      <c r="J332">
        <v>33.35</v>
      </c>
      <c r="K332">
        <v>11</v>
      </c>
    </row>
    <row r="333" spans="1:11" x14ac:dyDescent="0.25">
      <c r="A333" t="s">
        <v>198</v>
      </c>
      <c r="B333" t="s">
        <v>99</v>
      </c>
      <c r="C333" t="s">
        <v>100</v>
      </c>
      <c r="D333" t="s">
        <v>32</v>
      </c>
      <c r="E333" t="s">
        <v>29</v>
      </c>
      <c r="F333">
        <v>0.60101669239234612</v>
      </c>
      <c r="G333">
        <v>0.8020333847846921</v>
      </c>
      <c r="H333">
        <v>0.4</v>
      </c>
      <c r="I333">
        <v>32655112100</v>
      </c>
      <c r="J333">
        <v>57.1</v>
      </c>
      <c r="K333">
        <v>12</v>
      </c>
    </row>
    <row r="334" spans="1:11" x14ac:dyDescent="0.25">
      <c r="A334" t="s">
        <v>198</v>
      </c>
      <c r="B334" t="s">
        <v>88</v>
      </c>
      <c r="C334" t="s">
        <v>89</v>
      </c>
      <c r="D334" t="s">
        <v>32</v>
      </c>
      <c r="E334" t="s">
        <v>33</v>
      </c>
      <c r="F334">
        <v>0.59216055539858659</v>
      </c>
      <c r="G334">
        <v>0.63432111079717313</v>
      </c>
      <c r="H334">
        <v>0.55000000000000004</v>
      </c>
      <c r="I334">
        <v>14669519640</v>
      </c>
      <c r="J334">
        <v>8.7899999999999991</v>
      </c>
      <c r="K334">
        <v>13</v>
      </c>
    </row>
    <row r="335" spans="1:11" x14ac:dyDescent="0.25">
      <c r="A335" t="s">
        <v>198</v>
      </c>
      <c r="B335" t="s">
        <v>82</v>
      </c>
      <c r="C335" t="s">
        <v>83</v>
      </c>
      <c r="D335" t="s">
        <v>32</v>
      </c>
      <c r="E335" t="s">
        <v>39</v>
      </c>
      <c r="F335">
        <v>0.58629502354719221</v>
      </c>
      <c r="G335">
        <v>0.7725900470943845</v>
      </c>
      <c r="H335">
        <v>0.4</v>
      </c>
      <c r="I335">
        <v>34460748500</v>
      </c>
      <c r="J335">
        <v>14.95</v>
      </c>
      <c r="K335">
        <v>14</v>
      </c>
    </row>
    <row r="336" spans="1:11" x14ac:dyDescent="0.25">
      <c r="A336" t="s">
        <v>198</v>
      </c>
      <c r="B336" t="s">
        <v>179</v>
      </c>
      <c r="C336" t="s">
        <v>180</v>
      </c>
      <c r="D336" t="s">
        <v>32</v>
      </c>
      <c r="E336" t="s">
        <v>124</v>
      </c>
      <c r="F336">
        <v>0.58416271964717625</v>
      </c>
      <c r="G336">
        <v>0.81832543929435253</v>
      </c>
      <c r="H336">
        <v>0.35</v>
      </c>
      <c r="I336">
        <v>185000105600</v>
      </c>
      <c r="J336">
        <v>23.45</v>
      </c>
      <c r="K336">
        <v>15</v>
      </c>
    </row>
    <row r="337" spans="1:11" x14ac:dyDescent="0.25">
      <c r="A337" t="s">
        <v>198</v>
      </c>
      <c r="B337" t="s">
        <v>199</v>
      </c>
      <c r="C337" t="s">
        <v>200</v>
      </c>
      <c r="D337" t="s">
        <v>32</v>
      </c>
      <c r="E337" t="s">
        <v>26</v>
      </c>
      <c r="F337">
        <v>0.58222530590767319</v>
      </c>
      <c r="G337">
        <v>0.91445061181534637</v>
      </c>
      <c r="H337">
        <v>0.25</v>
      </c>
      <c r="I337">
        <v>4481832200</v>
      </c>
      <c r="J337">
        <v>10.9</v>
      </c>
      <c r="K337">
        <v>16</v>
      </c>
    </row>
    <row r="338" spans="1:11" x14ac:dyDescent="0.25">
      <c r="A338" t="s">
        <v>198</v>
      </c>
      <c r="B338" t="s">
        <v>188</v>
      </c>
      <c r="C338" t="s">
        <v>189</v>
      </c>
      <c r="D338" t="s">
        <v>32</v>
      </c>
      <c r="E338" t="s">
        <v>29</v>
      </c>
      <c r="F338">
        <v>0.58190310821094948</v>
      </c>
      <c r="G338">
        <v>0.86380621642189903</v>
      </c>
      <c r="H338">
        <v>0.3</v>
      </c>
      <c r="I338">
        <v>4771511560</v>
      </c>
      <c r="J338">
        <v>10.55</v>
      </c>
      <c r="K338">
        <v>17</v>
      </c>
    </row>
    <row r="339" spans="1:11" x14ac:dyDescent="0.25">
      <c r="A339" t="s">
        <v>198</v>
      </c>
      <c r="B339" t="s">
        <v>166</v>
      </c>
      <c r="C339" t="s">
        <v>167</v>
      </c>
      <c r="D339" t="s">
        <v>32</v>
      </c>
      <c r="E339" t="s">
        <v>59</v>
      </c>
      <c r="F339">
        <v>0.57700438956166888</v>
      </c>
      <c r="G339">
        <v>0.75400877912333775</v>
      </c>
      <c r="H339">
        <v>0.4</v>
      </c>
      <c r="I339">
        <v>94177739500</v>
      </c>
      <c r="J339">
        <v>34.6</v>
      </c>
      <c r="K339">
        <v>18</v>
      </c>
    </row>
    <row r="340" spans="1:11" x14ac:dyDescent="0.25">
      <c r="A340" t="s">
        <v>198</v>
      </c>
      <c r="B340" t="s">
        <v>201</v>
      </c>
      <c r="C340" t="s">
        <v>202</v>
      </c>
      <c r="D340" t="s">
        <v>32</v>
      </c>
      <c r="E340" t="s">
        <v>26</v>
      </c>
      <c r="F340">
        <v>0.56811148352033813</v>
      </c>
      <c r="G340">
        <v>0.53622296704067629</v>
      </c>
      <c r="H340">
        <v>0.6</v>
      </c>
      <c r="I340">
        <v>56301663300</v>
      </c>
      <c r="J340">
        <v>51.4</v>
      </c>
      <c r="K340">
        <v>19</v>
      </c>
    </row>
    <row r="341" spans="1:11" x14ac:dyDescent="0.25">
      <c r="A341" t="s">
        <v>198</v>
      </c>
      <c r="B341" t="s">
        <v>164</v>
      </c>
      <c r="C341" t="s">
        <v>165</v>
      </c>
      <c r="D341" t="s">
        <v>32</v>
      </c>
      <c r="E341" t="s">
        <v>33</v>
      </c>
      <c r="F341">
        <v>0.54271736627416323</v>
      </c>
      <c r="G341">
        <v>0.98543473254832648</v>
      </c>
      <c r="H341">
        <v>0.1</v>
      </c>
      <c r="I341">
        <v>166018803000</v>
      </c>
      <c r="J341">
        <v>56.9</v>
      </c>
      <c r="K341">
        <v>20</v>
      </c>
    </row>
    <row r="342" spans="1:11" x14ac:dyDescent="0.25">
      <c r="A342" t="s">
        <v>203</v>
      </c>
      <c r="B342" t="s">
        <v>79</v>
      </c>
      <c r="C342" t="s">
        <v>80</v>
      </c>
      <c r="D342" t="s">
        <v>32</v>
      </c>
      <c r="E342" t="s">
        <v>59</v>
      </c>
      <c r="F342">
        <v>0.78771002555182412</v>
      </c>
      <c r="G342">
        <v>0.77542005110364831</v>
      </c>
      <c r="H342">
        <v>0.8</v>
      </c>
      <c r="I342">
        <v>18723921200</v>
      </c>
      <c r="J342">
        <v>84.9</v>
      </c>
      <c r="K342">
        <v>1</v>
      </c>
    </row>
    <row r="343" spans="1:11" x14ac:dyDescent="0.25">
      <c r="A343" t="s">
        <v>203</v>
      </c>
      <c r="B343" t="s">
        <v>204</v>
      </c>
      <c r="C343" t="s">
        <v>205</v>
      </c>
      <c r="D343" t="s">
        <v>18</v>
      </c>
      <c r="E343" t="s">
        <v>29</v>
      </c>
      <c r="F343">
        <v>0.77935777026094222</v>
      </c>
      <c r="G343">
        <v>0.95871554052188435</v>
      </c>
      <c r="H343">
        <v>0.6</v>
      </c>
      <c r="I343">
        <v>2040034400</v>
      </c>
      <c r="J343">
        <v>7.6</v>
      </c>
      <c r="K343">
        <v>2</v>
      </c>
    </row>
    <row r="344" spans="1:11" x14ac:dyDescent="0.25">
      <c r="A344" t="s">
        <v>203</v>
      </c>
      <c r="B344" t="s">
        <v>173</v>
      </c>
      <c r="C344" t="s">
        <v>174</v>
      </c>
      <c r="D344" t="s">
        <v>32</v>
      </c>
      <c r="E344" t="s">
        <v>74</v>
      </c>
      <c r="F344">
        <v>0.74895327397091371</v>
      </c>
      <c r="G344">
        <v>0.94790654794182727</v>
      </c>
      <c r="H344">
        <v>0.55000000000000004</v>
      </c>
      <c r="I344">
        <v>300359415680</v>
      </c>
      <c r="J344">
        <v>12.25</v>
      </c>
      <c r="K344">
        <v>3</v>
      </c>
    </row>
    <row r="345" spans="1:11" x14ac:dyDescent="0.25">
      <c r="A345" t="s">
        <v>203</v>
      </c>
      <c r="B345" t="s">
        <v>24</v>
      </c>
      <c r="C345" t="s">
        <v>25</v>
      </c>
      <c r="D345" t="s">
        <v>18</v>
      </c>
      <c r="E345" t="s">
        <v>26</v>
      </c>
      <c r="F345">
        <v>0.71544182626414532</v>
      </c>
      <c r="G345">
        <v>0.93088365252829064</v>
      </c>
      <c r="H345">
        <v>0.5</v>
      </c>
      <c r="I345">
        <v>8407743200</v>
      </c>
      <c r="J345">
        <v>13.9</v>
      </c>
      <c r="K345">
        <v>4</v>
      </c>
    </row>
    <row r="346" spans="1:11" x14ac:dyDescent="0.25">
      <c r="A346" t="s">
        <v>203</v>
      </c>
      <c r="B346" t="s">
        <v>169</v>
      </c>
      <c r="C346" t="s">
        <v>170</v>
      </c>
      <c r="D346" t="s">
        <v>32</v>
      </c>
      <c r="E346" t="s">
        <v>23</v>
      </c>
      <c r="F346">
        <v>0.70564084214314926</v>
      </c>
      <c r="G346">
        <v>0.70564084214314926</v>
      </c>
      <c r="I346">
        <v>4239673700</v>
      </c>
      <c r="J346">
        <v>12.85</v>
      </c>
      <c r="K346">
        <v>5</v>
      </c>
    </row>
    <row r="347" spans="1:11" x14ac:dyDescent="0.25">
      <c r="A347" t="s">
        <v>203</v>
      </c>
      <c r="B347" t="s">
        <v>162</v>
      </c>
      <c r="C347" t="s">
        <v>163</v>
      </c>
      <c r="D347" t="s">
        <v>32</v>
      </c>
      <c r="E347" t="s">
        <v>29</v>
      </c>
      <c r="F347">
        <v>0.70542411409053729</v>
      </c>
      <c r="G347">
        <v>0.71084822818107463</v>
      </c>
      <c r="H347">
        <v>0.7</v>
      </c>
      <c r="I347">
        <v>383655294180</v>
      </c>
      <c r="J347">
        <v>12.6</v>
      </c>
      <c r="K347">
        <v>6</v>
      </c>
    </row>
    <row r="348" spans="1:11" x14ac:dyDescent="0.25">
      <c r="A348" t="s">
        <v>203</v>
      </c>
      <c r="B348" t="s">
        <v>84</v>
      </c>
      <c r="C348" t="s">
        <v>85</v>
      </c>
      <c r="D348" t="s">
        <v>14</v>
      </c>
      <c r="E348" t="s">
        <v>42</v>
      </c>
      <c r="F348">
        <v>0.69186075636702693</v>
      </c>
      <c r="G348">
        <v>0.68372151273405379</v>
      </c>
      <c r="H348">
        <v>0.7</v>
      </c>
      <c r="I348">
        <v>8502341600</v>
      </c>
      <c r="J348">
        <v>134.5</v>
      </c>
      <c r="K348">
        <v>7</v>
      </c>
    </row>
    <row r="349" spans="1:11" x14ac:dyDescent="0.25">
      <c r="A349" t="s">
        <v>203</v>
      </c>
      <c r="B349" t="s">
        <v>110</v>
      </c>
      <c r="C349" t="s">
        <v>111</v>
      </c>
      <c r="D349" t="s">
        <v>32</v>
      </c>
      <c r="E349" t="s">
        <v>112</v>
      </c>
      <c r="F349">
        <v>0.69038547158505081</v>
      </c>
      <c r="G349">
        <v>0.93077094317010167</v>
      </c>
      <c r="H349">
        <v>0.45</v>
      </c>
      <c r="I349">
        <v>4109400400</v>
      </c>
      <c r="J349">
        <v>5.27</v>
      </c>
      <c r="K349">
        <v>8</v>
      </c>
    </row>
    <row r="350" spans="1:11" x14ac:dyDescent="0.25">
      <c r="A350" t="s">
        <v>203</v>
      </c>
      <c r="B350" t="s">
        <v>154</v>
      </c>
      <c r="C350" t="s">
        <v>155</v>
      </c>
      <c r="D350" t="s">
        <v>32</v>
      </c>
      <c r="E350" t="s">
        <v>39</v>
      </c>
      <c r="F350">
        <v>0.68644989735271422</v>
      </c>
      <c r="G350">
        <v>0.72289979470542853</v>
      </c>
      <c r="H350">
        <v>0.65</v>
      </c>
      <c r="I350">
        <v>100861428600</v>
      </c>
      <c r="J350">
        <v>33.15</v>
      </c>
      <c r="K350">
        <v>9</v>
      </c>
    </row>
    <row r="351" spans="1:11" x14ac:dyDescent="0.25">
      <c r="A351" t="s">
        <v>203</v>
      </c>
      <c r="B351" t="s">
        <v>176</v>
      </c>
      <c r="C351" t="s">
        <v>177</v>
      </c>
      <c r="D351" t="s">
        <v>32</v>
      </c>
      <c r="E351" t="s">
        <v>33</v>
      </c>
      <c r="F351">
        <v>0.65715857987390947</v>
      </c>
      <c r="G351">
        <v>0.9143171597478188</v>
      </c>
      <c r="H351">
        <v>0.4</v>
      </c>
      <c r="I351">
        <v>2066935100</v>
      </c>
      <c r="J351">
        <v>8.0299999999999994</v>
      </c>
      <c r="K351">
        <v>10</v>
      </c>
    </row>
    <row r="352" spans="1:11" x14ac:dyDescent="0.25">
      <c r="A352" t="s">
        <v>203</v>
      </c>
      <c r="B352" t="s">
        <v>193</v>
      </c>
      <c r="C352" t="s">
        <v>194</v>
      </c>
      <c r="D352" t="s">
        <v>32</v>
      </c>
      <c r="E352" t="s">
        <v>33</v>
      </c>
      <c r="F352">
        <v>0.65116167010818771</v>
      </c>
      <c r="G352">
        <v>0.60232334021637557</v>
      </c>
      <c r="H352">
        <v>0.7</v>
      </c>
      <c r="I352">
        <v>11012832920</v>
      </c>
      <c r="J352">
        <v>3.37</v>
      </c>
      <c r="K352">
        <v>11</v>
      </c>
    </row>
    <row r="353" spans="1:11" x14ac:dyDescent="0.25">
      <c r="A353" t="s">
        <v>203</v>
      </c>
      <c r="B353" t="s">
        <v>158</v>
      </c>
      <c r="C353" t="s">
        <v>159</v>
      </c>
      <c r="D353" t="s">
        <v>32</v>
      </c>
      <c r="E353" t="s">
        <v>160</v>
      </c>
      <c r="F353">
        <v>0.62186256174963139</v>
      </c>
      <c r="G353">
        <v>0.69372512349926274</v>
      </c>
      <c r="H353">
        <v>0.55000000000000004</v>
      </c>
      <c r="I353">
        <v>11097689700</v>
      </c>
      <c r="J353">
        <v>13.95</v>
      </c>
      <c r="K353">
        <v>12</v>
      </c>
    </row>
    <row r="354" spans="1:11" x14ac:dyDescent="0.25">
      <c r="A354" t="s">
        <v>203</v>
      </c>
      <c r="B354" t="s">
        <v>108</v>
      </c>
      <c r="C354" t="s">
        <v>109</v>
      </c>
      <c r="D354" t="s">
        <v>32</v>
      </c>
      <c r="E354" t="s">
        <v>33</v>
      </c>
      <c r="F354">
        <v>0.6113988653526321</v>
      </c>
      <c r="G354">
        <v>0.77279773070526425</v>
      </c>
      <c r="H354">
        <v>0.45</v>
      </c>
      <c r="I354">
        <v>88516514500</v>
      </c>
      <c r="J354">
        <v>18.2</v>
      </c>
      <c r="K354">
        <v>13</v>
      </c>
    </row>
    <row r="355" spans="1:11" x14ac:dyDescent="0.25">
      <c r="A355" t="s">
        <v>203</v>
      </c>
      <c r="B355" t="s">
        <v>188</v>
      </c>
      <c r="C355" t="s">
        <v>189</v>
      </c>
      <c r="D355" t="s">
        <v>32</v>
      </c>
      <c r="E355" t="s">
        <v>29</v>
      </c>
      <c r="F355">
        <v>0.60308040699786847</v>
      </c>
      <c r="G355">
        <v>0.85616081399573696</v>
      </c>
      <c r="H355">
        <v>0.35</v>
      </c>
      <c r="I355">
        <v>4719363860</v>
      </c>
      <c r="J355">
        <v>10.55</v>
      </c>
      <c r="K355">
        <v>14</v>
      </c>
    </row>
    <row r="356" spans="1:11" x14ac:dyDescent="0.25">
      <c r="A356" t="s">
        <v>203</v>
      </c>
      <c r="B356" t="s">
        <v>166</v>
      </c>
      <c r="C356" t="s">
        <v>167</v>
      </c>
      <c r="D356" t="s">
        <v>32</v>
      </c>
      <c r="E356" t="s">
        <v>59</v>
      </c>
      <c r="F356">
        <v>0.60050077079032937</v>
      </c>
      <c r="G356">
        <v>0.70100154158065875</v>
      </c>
      <c r="H356">
        <v>0.5</v>
      </c>
      <c r="I356">
        <v>94717484800</v>
      </c>
      <c r="J356">
        <v>34.5</v>
      </c>
      <c r="K356">
        <v>15</v>
      </c>
    </row>
    <row r="357" spans="1:11" x14ac:dyDescent="0.25">
      <c r="A357" t="s">
        <v>203</v>
      </c>
      <c r="B357" t="s">
        <v>199</v>
      </c>
      <c r="C357" t="s">
        <v>200</v>
      </c>
      <c r="D357" t="s">
        <v>32</v>
      </c>
      <c r="E357" t="s">
        <v>26</v>
      </c>
      <c r="F357">
        <v>0.56523126634718623</v>
      </c>
      <c r="G357">
        <v>0.9304625326943724</v>
      </c>
      <c r="H357">
        <v>0.2</v>
      </c>
      <c r="I357">
        <v>4622662540</v>
      </c>
      <c r="J357">
        <v>11.1</v>
      </c>
      <c r="K357">
        <v>16</v>
      </c>
    </row>
    <row r="358" spans="1:11" x14ac:dyDescent="0.25">
      <c r="A358" t="s">
        <v>203</v>
      </c>
      <c r="B358" t="s">
        <v>171</v>
      </c>
      <c r="C358" t="s">
        <v>172</v>
      </c>
      <c r="D358" t="s">
        <v>32</v>
      </c>
      <c r="E358" t="s">
        <v>33</v>
      </c>
      <c r="F358">
        <v>0.56126975277902524</v>
      </c>
      <c r="G358">
        <v>0.37253950555805038</v>
      </c>
      <c r="H358">
        <v>0.75</v>
      </c>
      <c r="I358">
        <v>11497729420</v>
      </c>
      <c r="J358">
        <v>7.1</v>
      </c>
      <c r="K358">
        <v>17</v>
      </c>
    </row>
    <row r="359" spans="1:11" x14ac:dyDescent="0.25">
      <c r="A359" t="s">
        <v>203</v>
      </c>
      <c r="B359" t="s">
        <v>88</v>
      </c>
      <c r="C359" t="s">
        <v>89</v>
      </c>
      <c r="D359" t="s">
        <v>32</v>
      </c>
      <c r="E359" t="s">
        <v>33</v>
      </c>
      <c r="F359">
        <v>0.55324779225055054</v>
      </c>
      <c r="G359">
        <v>0.85649558450110108</v>
      </c>
      <c r="H359">
        <v>0.25</v>
      </c>
      <c r="I359">
        <v>15246215200</v>
      </c>
      <c r="J359">
        <v>9.1999999999999993</v>
      </c>
      <c r="K359">
        <v>18</v>
      </c>
    </row>
    <row r="360" spans="1:11" x14ac:dyDescent="0.25">
      <c r="A360" t="s">
        <v>203</v>
      </c>
      <c r="B360" t="s">
        <v>206</v>
      </c>
      <c r="C360" t="s">
        <v>207</v>
      </c>
      <c r="D360" t="s">
        <v>32</v>
      </c>
      <c r="E360" t="s">
        <v>33</v>
      </c>
      <c r="F360">
        <v>0.54907495792124184</v>
      </c>
      <c r="G360">
        <v>0.94814991584248365</v>
      </c>
      <c r="H360">
        <v>0.15</v>
      </c>
      <c r="I360">
        <v>3401119200</v>
      </c>
      <c r="J360">
        <v>43</v>
      </c>
      <c r="K360">
        <v>19</v>
      </c>
    </row>
    <row r="361" spans="1:11" x14ac:dyDescent="0.25">
      <c r="A361" t="s">
        <v>203</v>
      </c>
      <c r="B361" t="s">
        <v>82</v>
      </c>
      <c r="C361" t="s">
        <v>83</v>
      </c>
      <c r="D361" t="s">
        <v>32</v>
      </c>
      <c r="E361" t="s">
        <v>39</v>
      </c>
      <c r="F361">
        <v>0.54845879781496121</v>
      </c>
      <c r="G361">
        <v>0.74691759562992244</v>
      </c>
      <c r="H361">
        <v>0.35</v>
      </c>
      <c r="I361">
        <v>34902955700</v>
      </c>
      <c r="J361">
        <v>14.9</v>
      </c>
      <c r="K361">
        <v>20</v>
      </c>
    </row>
    <row r="362" spans="1:11" x14ac:dyDescent="0.25">
      <c r="A362" t="s">
        <v>208</v>
      </c>
      <c r="B362" t="s">
        <v>79</v>
      </c>
      <c r="C362" t="s">
        <v>80</v>
      </c>
      <c r="D362" t="s">
        <v>32</v>
      </c>
      <c r="E362" t="s">
        <v>59</v>
      </c>
      <c r="F362">
        <v>0.82768794905187382</v>
      </c>
      <c r="G362">
        <v>0.7553758981037475</v>
      </c>
      <c r="H362">
        <v>0.9</v>
      </c>
      <c r="I362">
        <v>18892908000</v>
      </c>
      <c r="J362">
        <v>82.6</v>
      </c>
      <c r="K362">
        <v>1</v>
      </c>
    </row>
    <row r="363" spans="1:11" x14ac:dyDescent="0.25">
      <c r="A363" t="s">
        <v>208</v>
      </c>
      <c r="B363" t="s">
        <v>173</v>
      </c>
      <c r="C363" t="s">
        <v>174</v>
      </c>
      <c r="D363" t="s">
        <v>32</v>
      </c>
      <c r="E363" t="s">
        <v>74</v>
      </c>
      <c r="F363">
        <v>0.81085985588039544</v>
      </c>
      <c r="G363">
        <v>0.97171971176079075</v>
      </c>
      <c r="H363">
        <v>0.65</v>
      </c>
      <c r="I363">
        <v>315810931580</v>
      </c>
      <c r="J363">
        <v>12.7</v>
      </c>
      <c r="K363">
        <v>2</v>
      </c>
    </row>
    <row r="364" spans="1:11" x14ac:dyDescent="0.25">
      <c r="A364" t="s">
        <v>208</v>
      </c>
      <c r="B364" t="s">
        <v>204</v>
      </c>
      <c r="C364" t="s">
        <v>205</v>
      </c>
      <c r="D364" t="s">
        <v>18</v>
      </c>
      <c r="E364" t="s">
        <v>29</v>
      </c>
      <c r="F364">
        <v>0.80414783294696135</v>
      </c>
      <c r="G364">
        <v>0.90829566589392263</v>
      </c>
      <c r="H364">
        <v>0.7</v>
      </c>
      <c r="I364">
        <v>2068855400</v>
      </c>
      <c r="J364">
        <v>7.5</v>
      </c>
      <c r="K364">
        <v>3</v>
      </c>
    </row>
    <row r="365" spans="1:11" x14ac:dyDescent="0.25">
      <c r="A365" t="s">
        <v>208</v>
      </c>
      <c r="B365" t="s">
        <v>24</v>
      </c>
      <c r="C365" t="s">
        <v>25</v>
      </c>
      <c r="D365" t="s">
        <v>18</v>
      </c>
      <c r="E365" t="s">
        <v>26</v>
      </c>
      <c r="F365">
        <v>0.76219781865983549</v>
      </c>
      <c r="G365">
        <v>0.924395637319671</v>
      </c>
      <c r="H365">
        <v>0.6</v>
      </c>
      <c r="I365">
        <v>8592692400</v>
      </c>
      <c r="J365">
        <v>14.4</v>
      </c>
      <c r="K365">
        <v>4</v>
      </c>
    </row>
    <row r="366" spans="1:11" x14ac:dyDescent="0.25">
      <c r="A366" t="s">
        <v>208</v>
      </c>
      <c r="B366" t="s">
        <v>110</v>
      </c>
      <c r="C366" t="s">
        <v>111</v>
      </c>
      <c r="D366" t="s">
        <v>32</v>
      </c>
      <c r="E366" t="s">
        <v>112</v>
      </c>
      <c r="F366">
        <v>0.6798218108269557</v>
      </c>
      <c r="G366">
        <v>0.90964362165391133</v>
      </c>
      <c r="H366">
        <v>0.45</v>
      </c>
      <c r="I366">
        <v>4203682800</v>
      </c>
      <c r="J366">
        <v>5.3</v>
      </c>
      <c r="K366">
        <v>5</v>
      </c>
    </row>
    <row r="367" spans="1:11" x14ac:dyDescent="0.25">
      <c r="A367" t="s">
        <v>208</v>
      </c>
      <c r="B367" t="s">
        <v>169</v>
      </c>
      <c r="C367" t="s">
        <v>170</v>
      </c>
      <c r="D367" t="s">
        <v>32</v>
      </c>
      <c r="E367" t="s">
        <v>23</v>
      </c>
      <c r="F367">
        <v>0.65775391702599184</v>
      </c>
      <c r="G367">
        <v>0.65775391702599184</v>
      </c>
      <c r="I367">
        <v>4243718000</v>
      </c>
      <c r="J367">
        <v>12.75</v>
      </c>
      <c r="K367">
        <v>6</v>
      </c>
    </row>
    <row r="368" spans="1:11" x14ac:dyDescent="0.25">
      <c r="A368" t="s">
        <v>208</v>
      </c>
      <c r="B368" t="s">
        <v>162</v>
      </c>
      <c r="C368" t="s">
        <v>163</v>
      </c>
      <c r="D368" t="s">
        <v>32</v>
      </c>
      <c r="E368" t="s">
        <v>29</v>
      </c>
      <c r="F368">
        <v>0.61811554105094157</v>
      </c>
      <c r="G368">
        <v>0.63623108210188317</v>
      </c>
      <c r="H368">
        <v>0.6</v>
      </c>
      <c r="I368">
        <v>388886680340</v>
      </c>
      <c r="J368">
        <v>12.55</v>
      </c>
      <c r="K368">
        <v>7</v>
      </c>
    </row>
    <row r="369" spans="1:11" x14ac:dyDescent="0.25">
      <c r="A369" t="s">
        <v>208</v>
      </c>
      <c r="B369" t="s">
        <v>176</v>
      </c>
      <c r="C369" t="s">
        <v>177</v>
      </c>
      <c r="D369" t="s">
        <v>32</v>
      </c>
      <c r="E369" t="s">
        <v>33</v>
      </c>
      <c r="F369">
        <v>0.61662383270833476</v>
      </c>
      <c r="G369">
        <v>0.88324766541666955</v>
      </c>
      <c r="H369">
        <v>0.35</v>
      </c>
      <c r="I369">
        <v>2064496300</v>
      </c>
      <c r="J369">
        <v>8.0500000000000007</v>
      </c>
      <c r="K369">
        <v>8</v>
      </c>
    </row>
    <row r="370" spans="1:11" x14ac:dyDescent="0.25">
      <c r="A370" t="s">
        <v>208</v>
      </c>
      <c r="B370" t="s">
        <v>108</v>
      </c>
      <c r="C370" t="s">
        <v>109</v>
      </c>
      <c r="D370" t="s">
        <v>32</v>
      </c>
      <c r="E370" t="s">
        <v>33</v>
      </c>
      <c r="F370">
        <v>0.61363210089653464</v>
      </c>
      <c r="G370">
        <v>0.8772642017930693</v>
      </c>
      <c r="H370">
        <v>0.35</v>
      </c>
      <c r="I370">
        <v>93663597300</v>
      </c>
      <c r="J370">
        <v>18.8</v>
      </c>
      <c r="K370">
        <v>9</v>
      </c>
    </row>
    <row r="371" spans="1:11" x14ac:dyDescent="0.25">
      <c r="A371" t="s">
        <v>208</v>
      </c>
      <c r="B371" t="s">
        <v>199</v>
      </c>
      <c r="C371" t="s">
        <v>200</v>
      </c>
      <c r="D371" t="s">
        <v>32</v>
      </c>
      <c r="E371" t="s">
        <v>26</v>
      </c>
      <c r="F371">
        <v>0.61343017352283091</v>
      </c>
      <c r="G371">
        <v>0.97686034704566194</v>
      </c>
      <c r="H371">
        <v>0.25</v>
      </c>
      <c r="I371">
        <v>4613805780</v>
      </c>
      <c r="J371">
        <v>11.85</v>
      </c>
      <c r="K371">
        <v>10</v>
      </c>
    </row>
    <row r="372" spans="1:11" x14ac:dyDescent="0.25">
      <c r="A372" t="s">
        <v>208</v>
      </c>
      <c r="B372" t="s">
        <v>209</v>
      </c>
      <c r="C372" t="s">
        <v>210</v>
      </c>
      <c r="D372" t="s">
        <v>18</v>
      </c>
      <c r="E372" t="s">
        <v>42</v>
      </c>
      <c r="F372">
        <v>0.60730661421656085</v>
      </c>
      <c r="G372">
        <v>0.96461322843312158</v>
      </c>
      <c r="H372">
        <v>0.25</v>
      </c>
      <c r="I372">
        <v>4062859200</v>
      </c>
      <c r="J372">
        <v>6.7</v>
      </c>
      <c r="K372">
        <v>11</v>
      </c>
    </row>
    <row r="373" spans="1:11" x14ac:dyDescent="0.25">
      <c r="A373" t="s">
        <v>208</v>
      </c>
      <c r="B373" t="s">
        <v>211</v>
      </c>
      <c r="C373" t="s">
        <v>212</v>
      </c>
      <c r="D373" t="s">
        <v>32</v>
      </c>
      <c r="E373" t="s">
        <v>33</v>
      </c>
      <c r="F373">
        <v>0.59847655941189226</v>
      </c>
      <c r="G373">
        <v>0.89695311882378448</v>
      </c>
      <c r="H373">
        <v>0.3</v>
      </c>
      <c r="I373">
        <v>5116280840</v>
      </c>
      <c r="J373">
        <v>12.05</v>
      </c>
      <c r="K373">
        <v>12</v>
      </c>
    </row>
    <row r="374" spans="1:11" x14ac:dyDescent="0.25">
      <c r="A374" t="s">
        <v>208</v>
      </c>
      <c r="B374" t="s">
        <v>186</v>
      </c>
      <c r="C374" t="s">
        <v>187</v>
      </c>
      <c r="D374" t="s">
        <v>32</v>
      </c>
      <c r="E374" t="s">
        <v>74</v>
      </c>
      <c r="F374">
        <v>0.58080661674123313</v>
      </c>
      <c r="G374">
        <v>0.56161323348246617</v>
      </c>
      <c r="H374">
        <v>0.6</v>
      </c>
      <c r="I374">
        <v>9452126600</v>
      </c>
      <c r="J374">
        <v>10.4</v>
      </c>
      <c r="K374">
        <v>13</v>
      </c>
    </row>
    <row r="375" spans="1:11" x14ac:dyDescent="0.25">
      <c r="A375" t="s">
        <v>208</v>
      </c>
      <c r="B375" t="s">
        <v>88</v>
      </c>
      <c r="C375" t="s">
        <v>89</v>
      </c>
      <c r="D375" t="s">
        <v>32</v>
      </c>
      <c r="E375" t="s">
        <v>33</v>
      </c>
      <c r="F375">
        <v>0.57193750352815609</v>
      </c>
      <c r="G375">
        <v>0.94387500705631222</v>
      </c>
      <c r="H375">
        <v>0.2</v>
      </c>
      <c r="I375">
        <v>15963980320</v>
      </c>
      <c r="J375">
        <v>9.84</v>
      </c>
      <c r="K375">
        <v>14</v>
      </c>
    </row>
    <row r="376" spans="1:11" x14ac:dyDescent="0.25">
      <c r="A376" t="s">
        <v>208</v>
      </c>
      <c r="B376" t="s">
        <v>188</v>
      </c>
      <c r="C376" t="s">
        <v>189</v>
      </c>
      <c r="D376" t="s">
        <v>32</v>
      </c>
      <c r="E376" t="s">
        <v>29</v>
      </c>
      <c r="F376">
        <v>0.56972264742376</v>
      </c>
      <c r="G376">
        <v>0.83944529484752006</v>
      </c>
      <c r="H376">
        <v>0.3</v>
      </c>
      <c r="I376">
        <v>4751455560</v>
      </c>
      <c r="J376">
        <v>10.55</v>
      </c>
      <c r="K376">
        <v>15</v>
      </c>
    </row>
    <row r="377" spans="1:11" x14ac:dyDescent="0.25">
      <c r="A377" t="s">
        <v>208</v>
      </c>
      <c r="B377" t="s">
        <v>82</v>
      </c>
      <c r="C377" t="s">
        <v>83</v>
      </c>
      <c r="D377" t="s">
        <v>32</v>
      </c>
      <c r="E377" t="s">
        <v>39</v>
      </c>
      <c r="F377">
        <v>0.56412032990355021</v>
      </c>
      <c r="G377">
        <v>0.72824065980710051</v>
      </c>
      <c r="H377">
        <v>0.4</v>
      </c>
      <c r="I377">
        <v>34992099800</v>
      </c>
      <c r="J377">
        <v>14.85</v>
      </c>
      <c r="K377">
        <v>16</v>
      </c>
    </row>
    <row r="378" spans="1:11" x14ac:dyDescent="0.25">
      <c r="A378" t="s">
        <v>208</v>
      </c>
      <c r="B378" t="s">
        <v>158</v>
      </c>
      <c r="C378" t="s">
        <v>159</v>
      </c>
      <c r="D378" t="s">
        <v>32</v>
      </c>
      <c r="E378" t="s">
        <v>160</v>
      </c>
      <c r="F378">
        <v>0.56066132853462669</v>
      </c>
      <c r="G378">
        <v>0.82132265706925334</v>
      </c>
      <c r="H378">
        <v>0.3</v>
      </c>
      <c r="I378">
        <v>11583758100</v>
      </c>
      <c r="J378">
        <v>14.1</v>
      </c>
      <c r="K378">
        <v>17</v>
      </c>
    </row>
    <row r="379" spans="1:11" x14ac:dyDescent="0.25">
      <c r="A379" t="s">
        <v>208</v>
      </c>
      <c r="B379" t="s">
        <v>84</v>
      </c>
      <c r="C379" t="s">
        <v>85</v>
      </c>
      <c r="D379" t="s">
        <v>14</v>
      </c>
      <c r="E379" t="s">
        <v>42</v>
      </c>
      <c r="F379">
        <v>0.55489496157131057</v>
      </c>
      <c r="G379">
        <v>0.95978992314262113</v>
      </c>
      <c r="H379">
        <v>0.15</v>
      </c>
      <c r="I379">
        <v>9052295400</v>
      </c>
      <c r="J379">
        <v>151.9</v>
      </c>
      <c r="K379">
        <v>18</v>
      </c>
    </row>
    <row r="380" spans="1:11" x14ac:dyDescent="0.25">
      <c r="A380" t="s">
        <v>208</v>
      </c>
      <c r="B380" t="s">
        <v>166</v>
      </c>
      <c r="C380" t="s">
        <v>167</v>
      </c>
      <c r="D380" t="s">
        <v>32</v>
      </c>
      <c r="E380" t="s">
        <v>59</v>
      </c>
      <c r="F380">
        <v>0.55274189816701003</v>
      </c>
      <c r="G380">
        <v>0.75548379633402019</v>
      </c>
      <c r="H380">
        <v>0.35</v>
      </c>
      <c r="I380">
        <v>96877967600</v>
      </c>
      <c r="J380">
        <v>34.950000000000003</v>
      </c>
      <c r="K380">
        <v>19</v>
      </c>
    </row>
    <row r="381" spans="1:11" x14ac:dyDescent="0.25">
      <c r="A381" t="s">
        <v>208</v>
      </c>
      <c r="B381" t="s">
        <v>171</v>
      </c>
      <c r="C381" t="s">
        <v>172</v>
      </c>
      <c r="D381" t="s">
        <v>32</v>
      </c>
      <c r="E381" t="s">
        <v>33</v>
      </c>
      <c r="F381">
        <v>0.54961960053857295</v>
      </c>
      <c r="G381">
        <v>0.3492392010771459</v>
      </c>
      <c r="H381">
        <v>0.75</v>
      </c>
      <c r="I381">
        <v>11408113180</v>
      </c>
      <c r="J381">
        <v>7.2</v>
      </c>
      <c r="K381">
        <v>20</v>
      </c>
    </row>
    <row r="382" spans="1:11" x14ac:dyDescent="0.25">
      <c r="A382" t="s">
        <v>213</v>
      </c>
      <c r="B382" t="s">
        <v>79</v>
      </c>
      <c r="C382" t="s">
        <v>80</v>
      </c>
      <c r="D382" t="s">
        <v>32</v>
      </c>
      <c r="E382" t="s">
        <v>59</v>
      </c>
      <c r="F382">
        <v>0.83633881358660589</v>
      </c>
      <c r="G382">
        <v>0.77267762717321165</v>
      </c>
      <c r="H382">
        <v>0.9</v>
      </c>
      <c r="I382">
        <v>19042315600</v>
      </c>
      <c r="J382">
        <v>83.9</v>
      </c>
      <c r="K382">
        <v>1</v>
      </c>
    </row>
    <row r="383" spans="1:11" x14ac:dyDescent="0.25">
      <c r="A383" t="s">
        <v>213</v>
      </c>
      <c r="B383" t="s">
        <v>173</v>
      </c>
      <c r="C383" t="s">
        <v>174</v>
      </c>
      <c r="D383" t="s">
        <v>32</v>
      </c>
      <c r="E383" t="s">
        <v>74</v>
      </c>
      <c r="F383">
        <v>0.80272419894368319</v>
      </c>
      <c r="G383">
        <v>0.95544839788736635</v>
      </c>
      <c r="H383">
        <v>0.65</v>
      </c>
      <c r="I383">
        <v>321813532380</v>
      </c>
      <c r="J383">
        <v>12.7</v>
      </c>
      <c r="K383">
        <v>2</v>
      </c>
    </row>
    <row r="384" spans="1:11" x14ac:dyDescent="0.25">
      <c r="A384" t="s">
        <v>213</v>
      </c>
      <c r="B384" t="s">
        <v>204</v>
      </c>
      <c r="C384" t="s">
        <v>205</v>
      </c>
      <c r="D384" t="s">
        <v>18</v>
      </c>
      <c r="E384" t="s">
        <v>29</v>
      </c>
      <c r="F384">
        <v>0.75340712547004207</v>
      </c>
      <c r="G384">
        <v>0.90681425094008428</v>
      </c>
      <c r="H384">
        <v>0.6</v>
      </c>
      <c r="I384">
        <v>2115291600</v>
      </c>
      <c r="J384">
        <v>7.4</v>
      </c>
      <c r="K384">
        <v>3</v>
      </c>
    </row>
    <row r="385" spans="1:11" x14ac:dyDescent="0.25">
      <c r="A385" t="s">
        <v>213</v>
      </c>
      <c r="B385" t="s">
        <v>88</v>
      </c>
      <c r="C385" t="s">
        <v>89</v>
      </c>
      <c r="D385" t="s">
        <v>32</v>
      </c>
      <c r="E385" t="s">
        <v>33</v>
      </c>
      <c r="F385">
        <v>0.7396791507876247</v>
      </c>
      <c r="G385">
        <v>0.97935830157524939</v>
      </c>
      <c r="H385">
        <v>0.5</v>
      </c>
      <c r="I385">
        <v>18615604320</v>
      </c>
      <c r="J385">
        <v>10.3</v>
      </c>
      <c r="K385">
        <v>4</v>
      </c>
    </row>
    <row r="386" spans="1:11" x14ac:dyDescent="0.25">
      <c r="A386" t="s">
        <v>213</v>
      </c>
      <c r="B386" t="s">
        <v>99</v>
      </c>
      <c r="C386" t="s">
        <v>100</v>
      </c>
      <c r="D386" t="s">
        <v>32</v>
      </c>
      <c r="E386" t="s">
        <v>29</v>
      </c>
      <c r="F386">
        <v>0.71900163425738217</v>
      </c>
      <c r="G386">
        <v>0.88800326851476419</v>
      </c>
      <c r="H386">
        <v>0.55000000000000004</v>
      </c>
      <c r="I386">
        <v>36658211100</v>
      </c>
      <c r="J386">
        <v>59</v>
      </c>
      <c r="K386">
        <v>5</v>
      </c>
    </row>
    <row r="387" spans="1:11" x14ac:dyDescent="0.25">
      <c r="A387" t="s">
        <v>213</v>
      </c>
      <c r="B387" t="s">
        <v>24</v>
      </c>
      <c r="C387" t="s">
        <v>25</v>
      </c>
      <c r="D387" t="s">
        <v>18</v>
      </c>
      <c r="E387" t="s">
        <v>26</v>
      </c>
      <c r="F387">
        <v>0.71386158801542066</v>
      </c>
      <c r="G387">
        <v>0.92772317603084142</v>
      </c>
      <c r="H387">
        <v>0.5</v>
      </c>
      <c r="I387">
        <v>8921601200</v>
      </c>
      <c r="J387">
        <v>14.4</v>
      </c>
      <c r="K387">
        <v>6</v>
      </c>
    </row>
    <row r="388" spans="1:11" x14ac:dyDescent="0.25">
      <c r="A388" t="s">
        <v>213</v>
      </c>
      <c r="B388" t="s">
        <v>158</v>
      </c>
      <c r="C388" t="s">
        <v>159</v>
      </c>
      <c r="D388" t="s">
        <v>32</v>
      </c>
      <c r="E388" t="s">
        <v>160</v>
      </c>
      <c r="F388">
        <v>0.70167598323641256</v>
      </c>
      <c r="G388">
        <v>0.70335196647282505</v>
      </c>
      <c r="H388">
        <v>0.7</v>
      </c>
      <c r="I388">
        <v>11786255300</v>
      </c>
      <c r="J388">
        <v>13.9</v>
      </c>
      <c r="K388">
        <v>7</v>
      </c>
    </row>
    <row r="389" spans="1:11" x14ac:dyDescent="0.25">
      <c r="A389" t="s">
        <v>213</v>
      </c>
      <c r="B389" t="s">
        <v>214</v>
      </c>
      <c r="C389" t="s">
        <v>215</v>
      </c>
      <c r="D389" t="s">
        <v>32</v>
      </c>
      <c r="E389" t="s">
        <v>33</v>
      </c>
      <c r="F389">
        <v>0.68854044573910089</v>
      </c>
      <c r="G389">
        <v>0.87708089147820179</v>
      </c>
      <c r="H389">
        <v>0.5</v>
      </c>
      <c r="I389">
        <v>3346774500</v>
      </c>
      <c r="J389">
        <v>4.6500000000000004</v>
      </c>
      <c r="K389">
        <v>8</v>
      </c>
    </row>
    <row r="390" spans="1:11" x14ac:dyDescent="0.25">
      <c r="A390" t="s">
        <v>213</v>
      </c>
      <c r="B390" t="s">
        <v>169</v>
      </c>
      <c r="C390" t="s">
        <v>170</v>
      </c>
      <c r="D390" t="s">
        <v>32</v>
      </c>
      <c r="E390" t="s">
        <v>23</v>
      </c>
      <c r="F390">
        <v>0.65743595648861675</v>
      </c>
      <c r="G390">
        <v>0.65743595648861675</v>
      </c>
      <c r="I390">
        <v>4280370400</v>
      </c>
      <c r="J390">
        <v>12.7</v>
      </c>
      <c r="K390">
        <v>9</v>
      </c>
    </row>
    <row r="391" spans="1:11" x14ac:dyDescent="0.25">
      <c r="A391" t="s">
        <v>213</v>
      </c>
      <c r="B391" t="s">
        <v>199</v>
      </c>
      <c r="C391" t="s">
        <v>200</v>
      </c>
      <c r="D391" t="s">
        <v>32</v>
      </c>
      <c r="E391" t="s">
        <v>26</v>
      </c>
      <c r="F391">
        <v>0.64431375942138469</v>
      </c>
      <c r="G391">
        <v>0.98862751884276934</v>
      </c>
      <c r="H391">
        <v>0.3</v>
      </c>
      <c r="I391">
        <v>4755543840</v>
      </c>
      <c r="J391">
        <v>12.4</v>
      </c>
      <c r="K391">
        <v>10</v>
      </c>
    </row>
    <row r="392" spans="1:11" x14ac:dyDescent="0.25">
      <c r="A392" t="s">
        <v>213</v>
      </c>
      <c r="B392" t="s">
        <v>166</v>
      </c>
      <c r="C392" t="s">
        <v>167</v>
      </c>
      <c r="D392" t="s">
        <v>32</v>
      </c>
      <c r="E392" t="s">
        <v>59</v>
      </c>
      <c r="F392">
        <v>0.64213568115179509</v>
      </c>
      <c r="G392">
        <v>0.73427136230359003</v>
      </c>
      <c r="H392">
        <v>0.55000000000000004</v>
      </c>
      <c r="I392">
        <v>99457001200</v>
      </c>
      <c r="J392">
        <v>34.799999999999997</v>
      </c>
      <c r="K392">
        <v>11</v>
      </c>
    </row>
    <row r="393" spans="1:11" x14ac:dyDescent="0.25">
      <c r="A393" t="s">
        <v>213</v>
      </c>
      <c r="B393" t="s">
        <v>162</v>
      </c>
      <c r="C393" t="s">
        <v>163</v>
      </c>
      <c r="D393" t="s">
        <v>32</v>
      </c>
      <c r="E393" t="s">
        <v>29</v>
      </c>
      <c r="F393">
        <v>0.63214768392065879</v>
      </c>
      <c r="G393">
        <v>0.6642953678413176</v>
      </c>
      <c r="H393">
        <v>0.6</v>
      </c>
      <c r="I393">
        <v>393673183640</v>
      </c>
      <c r="J393">
        <v>12.55</v>
      </c>
      <c r="K393">
        <v>12</v>
      </c>
    </row>
    <row r="394" spans="1:11" x14ac:dyDescent="0.25">
      <c r="A394" t="s">
        <v>213</v>
      </c>
      <c r="B394" t="s">
        <v>176</v>
      </c>
      <c r="C394" t="s">
        <v>177</v>
      </c>
      <c r="D394" t="s">
        <v>32</v>
      </c>
      <c r="E394" t="s">
        <v>33</v>
      </c>
      <c r="F394">
        <v>0.61463487490455893</v>
      </c>
      <c r="G394">
        <v>0.87926974980911798</v>
      </c>
      <c r="H394">
        <v>0.35</v>
      </c>
      <c r="I394">
        <v>2079080300</v>
      </c>
      <c r="J394">
        <v>8</v>
      </c>
      <c r="K394">
        <v>13</v>
      </c>
    </row>
    <row r="395" spans="1:11" x14ac:dyDescent="0.25">
      <c r="A395" t="s">
        <v>213</v>
      </c>
      <c r="B395" t="s">
        <v>110</v>
      </c>
      <c r="C395" t="s">
        <v>111</v>
      </c>
      <c r="D395" t="s">
        <v>32</v>
      </c>
      <c r="E395" t="s">
        <v>112</v>
      </c>
      <c r="F395">
        <v>0.6116342490916078</v>
      </c>
      <c r="G395">
        <v>0.82326849818321557</v>
      </c>
      <c r="H395">
        <v>0.4</v>
      </c>
      <c r="I395">
        <v>4187136120</v>
      </c>
      <c r="J395">
        <v>5.22</v>
      </c>
      <c r="K395">
        <v>14</v>
      </c>
    </row>
    <row r="396" spans="1:11" x14ac:dyDescent="0.25">
      <c r="A396" t="s">
        <v>213</v>
      </c>
      <c r="B396" t="s">
        <v>183</v>
      </c>
      <c r="C396" t="s">
        <v>184</v>
      </c>
      <c r="D396" t="s">
        <v>32</v>
      </c>
      <c r="E396" t="s">
        <v>33</v>
      </c>
      <c r="F396">
        <v>0.59431170404685707</v>
      </c>
      <c r="G396">
        <v>0.83862340809371427</v>
      </c>
      <c r="H396">
        <v>0.35</v>
      </c>
      <c r="I396">
        <v>3345831600</v>
      </c>
      <c r="J396">
        <v>2.2000000000000002</v>
      </c>
      <c r="K396">
        <v>15</v>
      </c>
    </row>
    <row r="397" spans="1:11" x14ac:dyDescent="0.25">
      <c r="A397" t="s">
        <v>213</v>
      </c>
      <c r="B397" t="s">
        <v>82</v>
      </c>
      <c r="C397" t="s">
        <v>83</v>
      </c>
      <c r="D397" t="s">
        <v>32</v>
      </c>
      <c r="E397" t="s">
        <v>39</v>
      </c>
      <c r="F397">
        <v>0.58058363820967351</v>
      </c>
      <c r="G397">
        <v>0.76116727641934701</v>
      </c>
      <c r="H397">
        <v>0.4</v>
      </c>
      <c r="I397">
        <v>35434641500</v>
      </c>
      <c r="J397">
        <v>14.85</v>
      </c>
      <c r="K397">
        <v>16</v>
      </c>
    </row>
    <row r="398" spans="1:11" x14ac:dyDescent="0.25">
      <c r="A398" t="s">
        <v>213</v>
      </c>
      <c r="B398" t="s">
        <v>84</v>
      </c>
      <c r="C398" t="s">
        <v>85</v>
      </c>
      <c r="D398" t="s">
        <v>14</v>
      </c>
      <c r="E398" t="s">
        <v>42</v>
      </c>
      <c r="F398">
        <v>0.57037293858992966</v>
      </c>
      <c r="G398">
        <v>0.89074587717985931</v>
      </c>
      <c r="H398">
        <v>0.25</v>
      </c>
      <c r="I398">
        <v>9129547400</v>
      </c>
      <c r="J398">
        <v>148</v>
      </c>
      <c r="K398">
        <v>17</v>
      </c>
    </row>
    <row r="399" spans="1:11" x14ac:dyDescent="0.25">
      <c r="A399" t="s">
        <v>213</v>
      </c>
      <c r="B399" t="s">
        <v>216</v>
      </c>
      <c r="C399" t="s">
        <v>217</v>
      </c>
      <c r="D399" t="s">
        <v>14</v>
      </c>
      <c r="E399" t="s">
        <v>26</v>
      </c>
      <c r="F399">
        <v>0.55569147262088925</v>
      </c>
      <c r="G399">
        <v>0.76138294524177863</v>
      </c>
      <c r="H399">
        <v>0.35</v>
      </c>
      <c r="I399">
        <v>10046008800</v>
      </c>
      <c r="J399">
        <v>5.9</v>
      </c>
      <c r="K399">
        <v>18</v>
      </c>
    </row>
    <row r="400" spans="1:11" x14ac:dyDescent="0.25">
      <c r="A400" t="s">
        <v>213</v>
      </c>
      <c r="B400" t="s">
        <v>108</v>
      </c>
      <c r="C400" t="s">
        <v>109</v>
      </c>
      <c r="D400" t="s">
        <v>32</v>
      </c>
      <c r="E400" t="s">
        <v>33</v>
      </c>
      <c r="F400">
        <v>0.54697122526822795</v>
      </c>
      <c r="G400">
        <v>0.84394245053645589</v>
      </c>
      <c r="H400">
        <v>0.25</v>
      </c>
      <c r="I400">
        <v>97583179700</v>
      </c>
      <c r="J400">
        <v>18.7</v>
      </c>
      <c r="K400">
        <v>19</v>
      </c>
    </row>
    <row r="401" spans="1:11" x14ac:dyDescent="0.25">
      <c r="A401" t="s">
        <v>213</v>
      </c>
      <c r="B401" t="s">
        <v>164</v>
      </c>
      <c r="C401" t="s">
        <v>165</v>
      </c>
      <c r="D401" t="s">
        <v>32</v>
      </c>
      <c r="E401" t="s">
        <v>33</v>
      </c>
      <c r="F401">
        <v>0.54060196134837268</v>
      </c>
      <c r="G401">
        <v>0.98120392269674528</v>
      </c>
      <c r="H401">
        <v>0.1</v>
      </c>
      <c r="I401">
        <v>182449460900</v>
      </c>
      <c r="J401">
        <v>58</v>
      </c>
      <c r="K401">
        <v>20</v>
      </c>
    </row>
    <row r="402" spans="1:11" x14ac:dyDescent="0.25">
      <c r="A402" t="s">
        <v>218</v>
      </c>
      <c r="B402" t="s">
        <v>88</v>
      </c>
      <c r="C402" t="s">
        <v>89</v>
      </c>
      <c r="D402" t="s">
        <v>32</v>
      </c>
      <c r="E402" t="s">
        <v>33</v>
      </c>
      <c r="F402">
        <v>0.81684554164555168</v>
      </c>
      <c r="G402">
        <v>0.98369108329110333</v>
      </c>
      <c r="H402">
        <v>0.65</v>
      </c>
      <c r="I402">
        <v>19792934280</v>
      </c>
      <c r="J402">
        <v>10.5</v>
      </c>
      <c r="K402">
        <v>1</v>
      </c>
    </row>
    <row r="403" spans="1:11" x14ac:dyDescent="0.25">
      <c r="A403" t="s">
        <v>218</v>
      </c>
      <c r="B403" t="s">
        <v>173</v>
      </c>
      <c r="C403" t="s">
        <v>174</v>
      </c>
      <c r="D403" t="s">
        <v>32</v>
      </c>
      <c r="E403" t="s">
        <v>74</v>
      </c>
      <c r="F403">
        <v>0.77323919566835309</v>
      </c>
      <c r="G403">
        <v>0.94647839133670608</v>
      </c>
      <c r="H403">
        <v>0.6</v>
      </c>
      <c r="I403">
        <v>333766154980</v>
      </c>
      <c r="J403">
        <v>12.45</v>
      </c>
      <c r="K403">
        <v>2</v>
      </c>
    </row>
    <row r="404" spans="1:11" x14ac:dyDescent="0.25">
      <c r="A404" t="s">
        <v>218</v>
      </c>
      <c r="B404" t="s">
        <v>84</v>
      </c>
      <c r="C404" t="s">
        <v>85</v>
      </c>
      <c r="D404" t="s">
        <v>14</v>
      </c>
      <c r="E404" t="s">
        <v>42</v>
      </c>
      <c r="F404">
        <v>0.69036171583471084</v>
      </c>
      <c r="G404">
        <v>0.83072343166942153</v>
      </c>
      <c r="H404">
        <v>0.55000000000000004</v>
      </c>
      <c r="I404">
        <v>9285339400</v>
      </c>
      <c r="J404">
        <v>140</v>
      </c>
      <c r="K404">
        <v>3</v>
      </c>
    </row>
    <row r="405" spans="1:11" x14ac:dyDescent="0.25">
      <c r="A405" t="s">
        <v>218</v>
      </c>
      <c r="B405" t="s">
        <v>204</v>
      </c>
      <c r="C405" t="s">
        <v>205</v>
      </c>
      <c r="D405" t="s">
        <v>18</v>
      </c>
      <c r="E405" t="s">
        <v>29</v>
      </c>
      <c r="F405">
        <v>0.66547827211500843</v>
      </c>
      <c r="G405">
        <v>0.8809565442300169</v>
      </c>
      <c r="H405">
        <v>0.45</v>
      </c>
      <c r="I405">
        <v>2149503200</v>
      </c>
      <c r="J405">
        <v>7.3</v>
      </c>
      <c r="K405">
        <v>4</v>
      </c>
    </row>
    <row r="406" spans="1:11" x14ac:dyDescent="0.25">
      <c r="A406" t="s">
        <v>218</v>
      </c>
      <c r="B406" t="s">
        <v>219</v>
      </c>
      <c r="C406" t="s">
        <v>220</v>
      </c>
      <c r="D406" t="s">
        <v>32</v>
      </c>
      <c r="E406" t="s">
        <v>33</v>
      </c>
      <c r="F406">
        <v>0.66466790059317171</v>
      </c>
      <c r="G406">
        <v>0.87933580118634347</v>
      </c>
      <c r="H406">
        <v>0.45</v>
      </c>
      <c r="I406">
        <v>2892421640</v>
      </c>
      <c r="J406">
        <v>8.99</v>
      </c>
      <c r="K406">
        <v>5</v>
      </c>
    </row>
    <row r="407" spans="1:11" x14ac:dyDescent="0.25">
      <c r="A407" t="s">
        <v>218</v>
      </c>
      <c r="B407" t="s">
        <v>214</v>
      </c>
      <c r="C407" t="s">
        <v>215</v>
      </c>
      <c r="D407" t="s">
        <v>32</v>
      </c>
      <c r="E407" t="s">
        <v>33</v>
      </c>
      <c r="F407">
        <v>0.65624966454722733</v>
      </c>
      <c r="G407">
        <v>0.96249932909445468</v>
      </c>
      <c r="H407">
        <v>0.35</v>
      </c>
      <c r="I407">
        <v>4139949540</v>
      </c>
      <c r="J407">
        <v>4.97</v>
      </c>
      <c r="K407">
        <v>6</v>
      </c>
    </row>
    <row r="408" spans="1:11" x14ac:dyDescent="0.25">
      <c r="A408" t="s">
        <v>218</v>
      </c>
      <c r="B408" t="s">
        <v>169</v>
      </c>
      <c r="C408" t="s">
        <v>170</v>
      </c>
      <c r="D408" t="s">
        <v>32</v>
      </c>
      <c r="E408" t="s">
        <v>23</v>
      </c>
      <c r="F408">
        <v>0.63820101727447953</v>
      </c>
      <c r="G408">
        <v>0.63820101727447953</v>
      </c>
      <c r="I408">
        <v>4332626600</v>
      </c>
      <c r="J408">
        <v>12.65</v>
      </c>
      <c r="K408">
        <v>7</v>
      </c>
    </row>
    <row r="409" spans="1:11" x14ac:dyDescent="0.25">
      <c r="A409" t="s">
        <v>218</v>
      </c>
      <c r="B409" t="s">
        <v>24</v>
      </c>
      <c r="C409" t="s">
        <v>25</v>
      </c>
      <c r="D409" t="s">
        <v>18</v>
      </c>
      <c r="E409" t="s">
        <v>26</v>
      </c>
      <c r="F409">
        <v>0.63362494809238468</v>
      </c>
      <c r="G409">
        <v>0.8172498961847694</v>
      </c>
      <c r="H409">
        <v>0.45</v>
      </c>
      <c r="I409">
        <v>8902345600</v>
      </c>
      <c r="J409">
        <v>14</v>
      </c>
      <c r="K409">
        <v>8</v>
      </c>
    </row>
    <row r="410" spans="1:11" x14ac:dyDescent="0.25">
      <c r="A410" t="s">
        <v>218</v>
      </c>
      <c r="B410" t="s">
        <v>158</v>
      </c>
      <c r="C410" t="s">
        <v>159</v>
      </c>
      <c r="D410" t="s">
        <v>32</v>
      </c>
      <c r="E410" t="s">
        <v>160</v>
      </c>
      <c r="F410">
        <v>0.62147787290857204</v>
      </c>
      <c r="G410">
        <v>0.79295574581714401</v>
      </c>
      <c r="H410">
        <v>0.45</v>
      </c>
      <c r="I410">
        <v>12110845800</v>
      </c>
      <c r="J410">
        <v>14.15</v>
      </c>
      <c r="K410">
        <v>9</v>
      </c>
    </row>
    <row r="411" spans="1:11" x14ac:dyDescent="0.25">
      <c r="A411" t="s">
        <v>218</v>
      </c>
      <c r="B411" t="s">
        <v>199</v>
      </c>
      <c r="C411" t="s">
        <v>200</v>
      </c>
      <c r="D411" t="s">
        <v>32</v>
      </c>
      <c r="E411" t="s">
        <v>26</v>
      </c>
      <c r="F411">
        <v>0.61542697583756156</v>
      </c>
      <c r="G411">
        <v>0.98085395167512313</v>
      </c>
      <c r="H411">
        <v>0.25</v>
      </c>
      <c r="I411">
        <v>4799801660</v>
      </c>
      <c r="J411">
        <v>11.95</v>
      </c>
      <c r="K411">
        <v>10</v>
      </c>
    </row>
    <row r="412" spans="1:11" x14ac:dyDescent="0.25">
      <c r="A412" t="s">
        <v>218</v>
      </c>
      <c r="B412" t="s">
        <v>209</v>
      </c>
      <c r="C412" t="s">
        <v>210</v>
      </c>
      <c r="D412" t="s">
        <v>18</v>
      </c>
      <c r="E412" t="s">
        <v>42</v>
      </c>
      <c r="F412">
        <v>0.61087035698642422</v>
      </c>
      <c r="G412">
        <v>0.97174071397284834</v>
      </c>
      <c r="H412">
        <v>0.25</v>
      </c>
      <c r="I412">
        <v>4783524400</v>
      </c>
      <c r="J412">
        <v>6.8</v>
      </c>
      <c r="K412">
        <v>11</v>
      </c>
    </row>
    <row r="413" spans="1:11" x14ac:dyDescent="0.25">
      <c r="A413" t="s">
        <v>218</v>
      </c>
      <c r="B413" t="s">
        <v>211</v>
      </c>
      <c r="C413" t="s">
        <v>212</v>
      </c>
      <c r="D413" t="s">
        <v>32</v>
      </c>
      <c r="E413" t="s">
        <v>33</v>
      </c>
      <c r="F413">
        <v>0.60001819613132024</v>
      </c>
      <c r="G413">
        <v>0.75003639226264052</v>
      </c>
      <c r="H413">
        <v>0.45</v>
      </c>
      <c r="I413">
        <v>5266050140</v>
      </c>
      <c r="J413">
        <v>11.6</v>
      </c>
      <c r="K413">
        <v>12</v>
      </c>
    </row>
    <row r="414" spans="1:11" x14ac:dyDescent="0.25">
      <c r="A414" t="s">
        <v>218</v>
      </c>
      <c r="B414" t="s">
        <v>183</v>
      </c>
      <c r="C414" t="s">
        <v>184</v>
      </c>
      <c r="D414" t="s">
        <v>32</v>
      </c>
      <c r="E414" t="s">
        <v>33</v>
      </c>
      <c r="F414">
        <v>0.58592547006349593</v>
      </c>
      <c r="G414">
        <v>0.77185094012699185</v>
      </c>
      <c r="H414">
        <v>0.4</v>
      </c>
      <c r="I414">
        <v>3438305920</v>
      </c>
      <c r="J414">
        <v>2.1800000000000002</v>
      </c>
      <c r="K414">
        <v>13</v>
      </c>
    </row>
    <row r="415" spans="1:11" x14ac:dyDescent="0.25">
      <c r="A415" t="s">
        <v>218</v>
      </c>
      <c r="B415" t="s">
        <v>193</v>
      </c>
      <c r="C415" t="s">
        <v>194</v>
      </c>
      <c r="D415" t="s">
        <v>32</v>
      </c>
      <c r="E415" t="s">
        <v>33</v>
      </c>
      <c r="F415">
        <v>0.58080686983321805</v>
      </c>
      <c r="G415">
        <v>0.61161373966643606</v>
      </c>
      <c r="H415">
        <v>0.55000000000000004</v>
      </c>
      <c r="I415">
        <v>11819642080</v>
      </c>
      <c r="J415">
        <v>3.41</v>
      </c>
      <c r="K415">
        <v>14</v>
      </c>
    </row>
    <row r="416" spans="1:11" x14ac:dyDescent="0.25">
      <c r="A416" t="s">
        <v>218</v>
      </c>
      <c r="B416" t="s">
        <v>176</v>
      </c>
      <c r="C416" t="s">
        <v>177</v>
      </c>
      <c r="D416" t="s">
        <v>32</v>
      </c>
      <c r="E416" t="s">
        <v>33</v>
      </c>
      <c r="F416">
        <v>0.57445653542293529</v>
      </c>
      <c r="G416">
        <v>0.84891307084587053</v>
      </c>
      <c r="H416">
        <v>0.3</v>
      </c>
      <c r="I416">
        <v>2018146160</v>
      </c>
      <c r="J416">
        <v>7.92</v>
      </c>
      <c r="K416">
        <v>15</v>
      </c>
    </row>
    <row r="417" spans="1:11" x14ac:dyDescent="0.25">
      <c r="A417" t="s">
        <v>218</v>
      </c>
      <c r="B417" t="s">
        <v>82</v>
      </c>
      <c r="C417" t="s">
        <v>83</v>
      </c>
      <c r="D417" t="s">
        <v>32</v>
      </c>
      <c r="E417" t="s">
        <v>39</v>
      </c>
      <c r="F417">
        <v>0.56617387907574956</v>
      </c>
      <c r="G417">
        <v>0.73234775815149922</v>
      </c>
      <c r="H417">
        <v>0.4</v>
      </c>
      <c r="I417">
        <v>35654434400</v>
      </c>
      <c r="J417">
        <v>14.85</v>
      </c>
      <c r="K417">
        <v>16</v>
      </c>
    </row>
    <row r="418" spans="1:11" x14ac:dyDescent="0.25">
      <c r="A418" t="s">
        <v>218</v>
      </c>
      <c r="B418" t="s">
        <v>79</v>
      </c>
      <c r="C418" t="s">
        <v>80</v>
      </c>
      <c r="D418" t="s">
        <v>32</v>
      </c>
      <c r="E418" t="s">
        <v>59</v>
      </c>
      <c r="F418">
        <v>0.55564270691242879</v>
      </c>
      <c r="G418">
        <v>0.71128541382485744</v>
      </c>
      <c r="H418">
        <v>0.4</v>
      </c>
      <c r="I418">
        <v>19400412400</v>
      </c>
      <c r="J418">
        <v>79</v>
      </c>
      <c r="K418">
        <v>17</v>
      </c>
    </row>
    <row r="419" spans="1:11" x14ac:dyDescent="0.25">
      <c r="A419" t="s">
        <v>218</v>
      </c>
      <c r="B419" t="s">
        <v>99</v>
      </c>
      <c r="C419" t="s">
        <v>100</v>
      </c>
      <c r="D419" t="s">
        <v>32</v>
      </c>
      <c r="E419" t="s">
        <v>29</v>
      </c>
      <c r="F419">
        <v>0.55155739250497704</v>
      </c>
      <c r="G419">
        <v>0.75311478500995399</v>
      </c>
      <c r="H419">
        <v>0.35</v>
      </c>
      <c r="I419">
        <v>37823839700</v>
      </c>
      <c r="J419">
        <v>57.3</v>
      </c>
      <c r="K419">
        <v>18</v>
      </c>
    </row>
    <row r="420" spans="1:11" x14ac:dyDescent="0.25">
      <c r="A420" t="s">
        <v>218</v>
      </c>
      <c r="B420" t="s">
        <v>188</v>
      </c>
      <c r="C420" t="s">
        <v>189</v>
      </c>
      <c r="D420" t="s">
        <v>32</v>
      </c>
      <c r="E420" t="s">
        <v>29</v>
      </c>
      <c r="F420">
        <v>0.54854325446003882</v>
      </c>
      <c r="G420">
        <v>0.7970865089200776</v>
      </c>
      <c r="H420">
        <v>0.3</v>
      </c>
      <c r="I420">
        <v>4506223140</v>
      </c>
      <c r="J420">
        <v>10.35</v>
      </c>
      <c r="K420">
        <v>19</v>
      </c>
    </row>
    <row r="421" spans="1:11" x14ac:dyDescent="0.25">
      <c r="A421" t="s">
        <v>218</v>
      </c>
      <c r="B421" t="s">
        <v>110</v>
      </c>
      <c r="C421" t="s">
        <v>111</v>
      </c>
      <c r="D421" t="s">
        <v>32</v>
      </c>
      <c r="E421" t="s">
        <v>112</v>
      </c>
      <c r="F421">
        <v>0.54716202200476294</v>
      </c>
      <c r="G421">
        <v>0.79432404400952583</v>
      </c>
      <c r="H421">
        <v>0.3</v>
      </c>
      <c r="I421">
        <v>4180080840</v>
      </c>
      <c r="J421">
        <v>5.13</v>
      </c>
      <c r="K421">
        <v>20</v>
      </c>
    </row>
    <row r="422" spans="1:11" x14ac:dyDescent="0.25">
      <c r="A422" t="s">
        <v>221</v>
      </c>
      <c r="B422" t="s">
        <v>88</v>
      </c>
      <c r="C422" t="s">
        <v>89</v>
      </c>
      <c r="D422" t="s">
        <v>32</v>
      </c>
      <c r="E422" t="s">
        <v>33</v>
      </c>
      <c r="F422">
        <v>0.81516029755408703</v>
      </c>
      <c r="G422">
        <v>0.98032059510817393</v>
      </c>
      <c r="H422">
        <v>0.65</v>
      </c>
      <c r="I422">
        <v>20896475080</v>
      </c>
      <c r="J422">
        <v>10.45</v>
      </c>
      <c r="K422">
        <v>1</v>
      </c>
    </row>
    <row r="423" spans="1:11" x14ac:dyDescent="0.25">
      <c r="A423" t="s">
        <v>221</v>
      </c>
      <c r="B423" t="s">
        <v>173</v>
      </c>
      <c r="C423" t="s">
        <v>174</v>
      </c>
      <c r="D423" t="s">
        <v>32</v>
      </c>
      <c r="E423" t="s">
        <v>74</v>
      </c>
      <c r="F423">
        <v>0.79037041816465103</v>
      </c>
      <c r="G423">
        <v>0.93074083632930205</v>
      </c>
      <c r="H423">
        <v>0.65</v>
      </c>
      <c r="I423">
        <v>340949219880</v>
      </c>
      <c r="J423">
        <v>12.45</v>
      </c>
      <c r="K423">
        <v>2</v>
      </c>
    </row>
    <row r="424" spans="1:11" x14ac:dyDescent="0.25">
      <c r="A424" t="s">
        <v>221</v>
      </c>
      <c r="B424" t="s">
        <v>176</v>
      </c>
      <c r="C424" t="s">
        <v>177</v>
      </c>
      <c r="D424" t="s">
        <v>32</v>
      </c>
      <c r="E424" t="s">
        <v>33</v>
      </c>
      <c r="F424">
        <v>0.76103939399328202</v>
      </c>
      <c r="G424">
        <v>0.92207878798656395</v>
      </c>
      <c r="H424">
        <v>0.6</v>
      </c>
      <c r="I424">
        <v>2054247320</v>
      </c>
      <c r="J424">
        <v>8.09</v>
      </c>
      <c r="K424">
        <v>3</v>
      </c>
    </row>
    <row r="425" spans="1:11" x14ac:dyDescent="0.25">
      <c r="A425" t="s">
        <v>221</v>
      </c>
      <c r="B425" t="s">
        <v>45</v>
      </c>
      <c r="C425" t="s">
        <v>46</v>
      </c>
      <c r="D425" t="s">
        <v>14</v>
      </c>
      <c r="E425" t="s">
        <v>15</v>
      </c>
      <c r="F425">
        <v>0.75371647033041511</v>
      </c>
      <c r="G425">
        <v>0.65743294066083036</v>
      </c>
      <c r="H425">
        <v>0.85</v>
      </c>
      <c r="I425">
        <v>3493390800</v>
      </c>
      <c r="J425">
        <v>21.6</v>
      </c>
      <c r="K425">
        <v>4</v>
      </c>
    </row>
    <row r="426" spans="1:11" x14ac:dyDescent="0.25">
      <c r="A426" t="s">
        <v>221</v>
      </c>
      <c r="B426" t="s">
        <v>204</v>
      </c>
      <c r="C426" t="s">
        <v>205</v>
      </c>
      <c r="D426" t="s">
        <v>18</v>
      </c>
      <c r="E426" t="s">
        <v>29</v>
      </c>
      <c r="F426">
        <v>0.7106773096728195</v>
      </c>
      <c r="G426">
        <v>0.87135461934563896</v>
      </c>
      <c r="H426">
        <v>0.55000000000000004</v>
      </c>
      <c r="I426">
        <v>2154740000</v>
      </c>
      <c r="J426">
        <v>7.4</v>
      </c>
      <c r="K426">
        <v>5</v>
      </c>
    </row>
    <row r="427" spans="1:11" x14ac:dyDescent="0.25">
      <c r="A427" t="s">
        <v>221</v>
      </c>
      <c r="B427" t="s">
        <v>158</v>
      </c>
      <c r="C427" t="s">
        <v>159</v>
      </c>
      <c r="D427" t="s">
        <v>32</v>
      </c>
      <c r="E427" t="s">
        <v>160</v>
      </c>
      <c r="F427">
        <v>0.70954151571182988</v>
      </c>
      <c r="G427">
        <v>0.7190830314236597</v>
      </c>
      <c r="H427">
        <v>0.7</v>
      </c>
      <c r="I427">
        <v>12214977800</v>
      </c>
      <c r="J427">
        <v>14</v>
      </c>
      <c r="K427">
        <v>6</v>
      </c>
    </row>
    <row r="428" spans="1:11" x14ac:dyDescent="0.25">
      <c r="A428" t="s">
        <v>221</v>
      </c>
      <c r="B428" t="s">
        <v>214</v>
      </c>
      <c r="C428" t="s">
        <v>215</v>
      </c>
      <c r="D428" t="s">
        <v>32</v>
      </c>
      <c r="E428" t="s">
        <v>33</v>
      </c>
      <c r="F428">
        <v>0.67409758382478491</v>
      </c>
      <c r="G428">
        <v>0.9481951676495699</v>
      </c>
      <c r="H428">
        <v>0.4</v>
      </c>
      <c r="I428">
        <v>4378581160</v>
      </c>
      <c r="J428">
        <v>4.8899999999999997</v>
      </c>
      <c r="K428">
        <v>7</v>
      </c>
    </row>
    <row r="429" spans="1:11" x14ac:dyDescent="0.25">
      <c r="A429" t="s">
        <v>221</v>
      </c>
      <c r="B429" t="s">
        <v>199</v>
      </c>
      <c r="C429" t="s">
        <v>200</v>
      </c>
      <c r="D429" t="s">
        <v>32</v>
      </c>
      <c r="E429" t="s">
        <v>26</v>
      </c>
      <c r="F429">
        <v>0.67061081438686898</v>
      </c>
      <c r="G429">
        <v>0.99122162877373787</v>
      </c>
      <c r="H429">
        <v>0.35</v>
      </c>
      <c r="I429">
        <v>4893915860</v>
      </c>
      <c r="J429">
        <v>12.75</v>
      </c>
      <c r="K429">
        <v>8</v>
      </c>
    </row>
    <row r="430" spans="1:11" x14ac:dyDescent="0.25">
      <c r="A430" t="s">
        <v>221</v>
      </c>
      <c r="B430" t="s">
        <v>84</v>
      </c>
      <c r="C430" t="s">
        <v>85</v>
      </c>
      <c r="D430" t="s">
        <v>14</v>
      </c>
      <c r="E430" t="s">
        <v>42</v>
      </c>
      <c r="F430">
        <v>0.65602257572769507</v>
      </c>
      <c r="G430">
        <v>0.76204515145539009</v>
      </c>
      <c r="H430">
        <v>0.55000000000000004</v>
      </c>
      <c r="I430">
        <v>9294309400</v>
      </c>
      <c r="J430">
        <v>140.5</v>
      </c>
      <c r="K430">
        <v>9</v>
      </c>
    </row>
    <row r="431" spans="1:11" x14ac:dyDescent="0.25">
      <c r="A431" t="s">
        <v>221</v>
      </c>
      <c r="B431" t="s">
        <v>179</v>
      </c>
      <c r="C431" t="s">
        <v>180</v>
      </c>
      <c r="D431" t="s">
        <v>32</v>
      </c>
      <c r="E431" t="s">
        <v>124</v>
      </c>
      <c r="F431">
        <v>0.64967334936684418</v>
      </c>
      <c r="G431">
        <v>0.89934669873368833</v>
      </c>
      <c r="H431">
        <v>0.4</v>
      </c>
      <c r="I431">
        <v>208827454400</v>
      </c>
      <c r="J431">
        <v>24.4</v>
      </c>
      <c r="K431">
        <v>10</v>
      </c>
    </row>
    <row r="432" spans="1:11" x14ac:dyDescent="0.25">
      <c r="A432" t="s">
        <v>221</v>
      </c>
      <c r="B432" t="s">
        <v>219</v>
      </c>
      <c r="C432" t="s">
        <v>220</v>
      </c>
      <c r="D432" t="s">
        <v>32</v>
      </c>
      <c r="E432" t="s">
        <v>33</v>
      </c>
      <c r="F432">
        <v>0.64685274568899553</v>
      </c>
      <c r="G432">
        <v>0.89370549137799105</v>
      </c>
      <c r="H432">
        <v>0.4</v>
      </c>
      <c r="I432">
        <v>2909933200</v>
      </c>
      <c r="J432">
        <v>9.01</v>
      </c>
      <c r="K432">
        <v>11</v>
      </c>
    </row>
    <row r="433" spans="1:11" x14ac:dyDescent="0.25">
      <c r="A433" t="s">
        <v>221</v>
      </c>
      <c r="B433" t="s">
        <v>82</v>
      </c>
      <c r="C433" t="s">
        <v>83</v>
      </c>
      <c r="D433" t="s">
        <v>32</v>
      </c>
      <c r="E433" t="s">
        <v>39</v>
      </c>
      <c r="F433">
        <v>0.64449091235026257</v>
      </c>
      <c r="G433">
        <v>0.78898182470052514</v>
      </c>
      <c r="H433">
        <v>0.5</v>
      </c>
      <c r="I433">
        <v>36113725000</v>
      </c>
      <c r="J433">
        <v>15.1</v>
      </c>
      <c r="K433">
        <v>12</v>
      </c>
    </row>
    <row r="434" spans="1:11" x14ac:dyDescent="0.25">
      <c r="A434" t="s">
        <v>221</v>
      </c>
      <c r="B434" t="s">
        <v>162</v>
      </c>
      <c r="C434" t="s">
        <v>163</v>
      </c>
      <c r="D434" t="s">
        <v>32</v>
      </c>
      <c r="E434" t="s">
        <v>29</v>
      </c>
      <c r="F434">
        <v>0.6373383839887774</v>
      </c>
      <c r="G434">
        <v>0.62467676797755489</v>
      </c>
      <c r="H434">
        <v>0.65</v>
      </c>
      <c r="I434">
        <v>400300078820</v>
      </c>
      <c r="J434">
        <v>12.5</v>
      </c>
      <c r="K434">
        <v>13</v>
      </c>
    </row>
    <row r="435" spans="1:11" x14ac:dyDescent="0.25">
      <c r="A435" t="s">
        <v>221</v>
      </c>
      <c r="B435" t="s">
        <v>183</v>
      </c>
      <c r="C435" t="s">
        <v>184</v>
      </c>
      <c r="D435" t="s">
        <v>32</v>
      </c>
      <c r="E435" t="s">
        <v>33</v>
      </c>
      <c r="F435">
        <v>0.62961182474586963</v>
      </c>
      <c r="G435">
        <v>0.80922364949173931</v>
      </c>
      <c r="H435">
        <v>0.45</v>
      </c>
      <c r="I435">
        <v>3548590080</v>
      </c>
      <c r="J435">
        <v>2.19</v>
      </c>
      <c r="K435">
        <v>14</v>
      </c>
    </row>
    <row r="436" spans="1:11" x14ac:dyDescent="0.25">
      <c r="A436" t="s">
        <v>221</v>
      </c>
      <c r="B436" t="s">
        <v>24</v>
      </c>
      <c r="C436" t="s">
        <v>25</v>
      </c>
      <c r="D436" t="s">
        <v>18</v>
      </c>
      <c r="E436" t="s">
        <v>26</v>
      </c>
      <c r="F436">
        <v>0.61941724586072755</v>
      </c>
      <c r="G436">
        <v>0.78883449172145514</v>
      </c>
      <c r="H436">
        <v>0.45</v>
      </c>
      <c r="I436">
        <v>8933856600</v>
      </c>
      <c r="J436">
        <v>13.8</v>
      </c>
      <c r="K436">
        <v>15</v>
      </c>
    </row>
    <row r="437" spans="1:11" x14ac:dyDescent="0.25">
      <c r="A437" t="s">
        <v>221</v>
      </c>
      <c r="B437" t="s">
        <v>209</v>
      </c>
      <c r="C437" t="s">
        <v>210</v>
      </c>
      <c r="D437" t="s">
        <v>18</v>
      </c>
      <c r="E437" t="s">
        <v>42</v>
      </c>
      <c r="F437">
        <v>0.61488233075872811</v>
      </c>
      <c r="G437">
        <v>0.97976466151745611</v>
      </c>
      <c r="H437">
        <v>0.25</v>
      </c>
      <c r="I437">
        <v>5018629000</v>
      </c>
      <c r="J437">
        <v>6.9</v>
      </c>
      <c r="K437">
        <v>16</v>
      </c>
    </row>
    <row r="438" spans="1:11" x14ac:dyDescent="0.25">
      <c r="A438" t="s">
        <v>221</v>
      </c>
      <c r="B438" t="s">
        <v>169</v>
      </c>
      <c r="C438" t="s">
        <v>170</v>
      </c>
      <c r="D438" t="s">
        <v>32</v>
      </c>
      <c r="E438" t="s">
        <v>23</v>
      </c>
      <c r="F438">
        <v>0.61140385253774088</v>
      </c>
      <c r="G438">
        <v>0.61140385253774088</v>
      </c>
      <c r="I438">
        <v>4344335000</v>
      </c>
      <c r="J438">
        <v>12.65</v>
      </c>
      <c r="K438">
        <v>17</v>
      </c>
    </row>
    <row r="439" spans="1:11" x14ac:dyDescent="0.25">
      <c r="A439" t="s">
        <v>221</v>
      </c>
      <c r="B439" t="s">
        <v>19</v>
      </c>
      <c r="C439" t="s">
        <v>20</v>
      </c>
      <c r="D439" t="s">
        <v>18</v>
      </c>
      <c r="E439" t="s">
        <v>15</v>
      </c>
      <c r="F439">
        <v>0.59374837950532466</v>
      </c>
      <c r="G439">
        <v>0.93749675901064944</v>
      </c>
      <c r="H439">
        <v>0.25</v>
      </c>
      <c r="I439">
        <v>2936805200</v>
      </c>
      <c r="J439">
        <v>355</v>
      </c>
      <c r="K439">
        <v>18</v>
      </c>
    </row>
    <row r="440" spans="1:11" x14ac:dyDescent="0.25">
      <c r="A440" t="s">
        <v>221</v>
      </c>
      <c r="B440" t="s">
        <v>211</v>
      </c>
      <c r="C440" t="s">
        <v>212</v>
      </c>
      <c r="D440" t="s">
        <v>32</v>
      </c>
      <c r="E440" t="s">
        <v>33</v>
      </c>
      <c r="F440">
        <v>0.5886343599042414</v>
      </c>
      <c r="G440">
        <v>0.72726871980848273</v>
      </c>
      <c r="H440">
        <v>0.45</v>
      </c>
      <c r="I440">
        <v>5324007340</v>
      </c>
      <c r="J440">
        <v>11.6</v>
      </c>
      <c r="K440">
        <v>19</v>
      </c>
    </row>
    <row r="441" spans="1:11" x14ac:dyDescent="0.25">
      <c r="A441" t="s">
        <v>221</v>
      </c>
      <c r="B441" t="s">
        <v>99</v>
      </c>
      <c r="C441" t="s">
        <v>100</v>
      </c>
      <c r="D441" t="s">
        <v>32</v>
      </c>
      <c r="E441" t="s">
        <v>29</v>
      </c>
      <c r="F441">
        <v>0.58785680860153489</v>
      </c>
      <c r="G441">
        <v>0.72571361720306982</v>
      </c>
      <c r="H441">
        <v>0.45</v>
      </c>
      <c r="I441">
        <v>39049263900</v>
      </c>
      <c r="J441">
        <v>56.8</v>
      </c>
      <c r="K441">
        <v>20</v>
      </c>
    </row>
    <row r="442" spans="1:11" x14ac:dyDescent="0.25">
      <c r="A442" t="s">
        <v>222</v>
      </c>
      <c r="B442" t="s">
        <v>45</v>
      </c>
      <c r="C442" t="s">
        <v>46</v>
      </c>
      <c r="D442" t="s">
        <v>14</v>
      </c>
      <c r="E442" t="s">
        <v>15</v>
      </c>
      <c r="F442">
        <v>0.82166652588137046</v>
      </c>
      <c r="G442">
        <v>0.89333305176274103</v>
      </c>
      <c r="H442">
        <v>0.75</v>
      </c>
      <c r="I442">
        <v>3574934800</v>
      </c>
      <c r="J442">
        <v>24.2</v>
      </c>
      <c r="K442">
        <v>1</v>
      </c>
    </row>
    <row r="443" spans="1:11" x14ac:dyDescent="0.25">
      <c r="A443" t="s">
        <v>222</v>
      </c>
      <c r="B443" t="s">
        <v>173</v>
      </c>
      <c r="C443" t="s">
        <v>174</v>
      </c>
      <c r="D443" t="s">
        <v>32</v>
      </c>
      <c r="E443" t="s">
        <v>74</v>
      </c>
      <c r="F443">
        <v>0.79398037964319657</v>
      </c>
      <c r="G443">
        <v>0.937960759286393</v>
      </c>
      <c r="H443">
        <v>0.65</v>
      </c>
      <c r="I443">
        <v>351739801580</v>
      </c>
      <c r="J443">
        <v>12.55</v>
      </c>
      <c r="K443">
        <v>2</v>
      </c>
    </row>
    <row r="444" spans="1:11" x14ac:dyDescent="0.25">
      <c r="A444" t="s">
        <v>222</v>
      </c>
      <c r="B444" t="s">
        <v>101</v>
      </c>
      <c r="C444" t="s">
        <v>102</v>
      </c>
      <c r="D444" t="s">
        <v>18</v>
      </c>
      <c r="E444" t="s">
        <v>15</v>
      </c>
      <c r="F444">
        <v>0.79269364695998656</v>
      </c>
      <c r="G444">
        <v>0.83538729391997324</v>
      </c>
      <c r="H444">
        <v>0.75</v>
      </c>
      <c r="I444">
        <v>3258594200</v>
      </c>
      <c r="J444">
        <v>64.5</v>
      </c>
      <c r="K444">
        <v>3</v>
      </c>
    </row>
    <row r="445" spans="1:11" x14ac:dyDescent="0.25">
      <c r="A445" t="s">
        <v>222</v>
      </c>
      <c r="B445" t="s">
        <v>214</v>
      </c>
      <c r="C445" t="s">
        <v>215</v>
      </c>
      <c r="D445" t="s">
        <v>32</v>
      </c>
      <c r="E445" t="s">
        <v>33</v>
      </c>
      <c r="F445">
        <v>0.78626415161134466</v>
      </c>
      <c r="G445">
        <v>0.97252830322268946</v>
      </c>
      <c r="H445">
        <v>0.6</v>
      </c>
      <c r="I445">
        <v>4747458380</v>
      </c>
      <c r="J445">
        <v>5.1100000000000003</v>
      </c>
      <c r="K445">
        <v>4</v>
      </c>
    </row>
    <row r="446" spans="1:11" x14ac:dyDescent="0.25">
      <c r="A446" t="s">
        <v>222</v>
      </c>
      <c r="B446" t="s">
        <v>219</v>
      </c>
      <c r="C446" t="s">
        <v>220</v>
      </c>
      <c r="D446" t="s">
        <v>32</v>
      </c>
      <c r="E446" t="s">
        <v>33</v>
      </c>
      <c r="F446">
        <v>0.72495352226734899</v>
      </c>
      <c r="G446">
        <v>0.89990704453469794</v>
      </c>
      <c r="H446">
        <v>0.55000000000000004</v>
      </c>
      <c r="I446">
        <v>2902223140</v>
      </c>
      <c r="J446">
        <v>9.1999999999999993</v>
      </c>
      <c r="K446">
        <v>5</v>
      </c>
    </row>
    <row r="447" spans="1:11" x14ac:dyDescent="0.25">
      <c r="A447" t="s">
        <v>222</v>
      </c>
      <c r="B447" t="s">
        <v>169</v>
      </c>
      <c r="C447" t="s">
        <v>170</v>
      </c>
      <c r="D447" t="s">
        <v>32</v>
      </c>
      <c r="E447" t="s">
        <v>23</v>
      </c>
      <c r="F447">
        <v>0.71953226111094515</v>
      </c>
      <c r="G447">
        <v>0.71953226111094515</v>
      </c>
      <c r="I447">
        <v>4402563000</v>
      </c>
      <c r="J447">
        <v>13</v>
      </c>
      <c r="K447">
        <v>6</v>
      </c>
    </row>
    <row r="448" spans="1:11" x14ac:dyDescent="0.25">
      <c r="A448" t="s">
        <v>222</v>
      </c>
      <c r="B448" t="s">
        <v>88</v>
      </c>
      <c r="C448" t="s">
        <v>89</v>
      </c>
      <c r="D448" t="s">
        <v>32</v>
      </c>
      <c r="E448" t="s">
        <v>33</v>
      </c>
      <c r="F448">
        <v>0.71937147176134086</v>
      </c>
      <c r="G448">
        <v>0.98874294352268166</v>
      </c>
      <c r="H448">
        <v>0.45</v>
      </c>
      <c r="I448">
        <v>23555589380</v>
      </c>
      <c r="J448">
        <v>11.15</v>
      </c>
      <c r="K448">
        <v>7</v>
      </c>
    </row>
    <row r="449" spans="1:11" x14ac:dyDescent="0.25">
      <c r="A449" t="s">
        <v>222</v>
      </c>
      <c r="B449" t="s">
        <v>204</v>
      </c>
      <c r="C449" t="s">
        <v>205</v>
      </c>
      <c r="D449" t="s">
        <v>18</v>
      </c>
      <c r="E449" t="s">
        <v>29</v>
      </c>
      <c r="F449">
        <v>0.71036805545385939</v>
      </c>
      <c r="G449">
        <v>0.87073611090771874</v>
      </c>
      <c r="H449">
        <v>0.55000000000000004</v>
      </c>
      <c r="I449">
        <v>2162592800</v>
      </c>
      <c r="J449">
        <v>7.4</v>
      </c>
      <c r="K449">
        <v>8</v>
      </c>
    </row>
    <row r="450" spans="1:11" x14ac:dyDescent="0.25">
      <c r="A450" t="s">
        <v>222</v>
      </c>
      <c r="B450" t="s">
        <v>158</v>
      </c>
      <c r="C450" t="s">
        <v>159</v>
      </c>
      <c r="D450" t="s">
        <v>32</v>
      </c>
      <c r="E450" t="s">
        <v>160</v>
      </c>
      <c r="F450">
        <v>0.69821126425559221</v>
      </c>
      <c r="G450">
        <v>0.74642252851118429</v>
      </c>
      <c r="H450">
        <v>0.65</v>
      </c>
      <c r="I450">
        <v>12359335300</v>
      </c>
      <c r="J450">
        <v>14.1</v>
      </c>
      <c r="K450">
        <v>9</v>
      </c>
    </row>
    <row r="451" spans="1:11" x14ac:dyDescent="0.25">
      <c r="A451" t="s">
        <v>222</v>
      </c>
      <c r="B451" t="s">
        <v>199</v>
      </c>
      <c r="C451" t="s">
        <v>200</v>
      </c>
      <c r="D451" t="s">
        <v>32</v>
      </c>
      <c r="E451" t="s">
        <v>26</v>
      </c>
      <c r="F451">
        <v>0.69477817890949956</v>
      </c>
      <c r="G451">
        <v>0.9895563578189992</v>
      </c>
      <c r="H451">
        <v>0.4</v>
      </c>
      <c r="I451">
        <v>4799131660</v>
      </c>
      <c r="J451">
        <v>13.15</v>
      </c>
      <c r="K451">
        <v>10</v>
      </c>
    </row>
    <row r="452" spans="1:11" x14ac:dyDescent="0.25">
      <c r="A452" t="s">
        <v>222</v>
      </c>
      <c r="B452" t="s">
        <v>162</v>
      </c>
      <c r="C452" t="s">
        <v>163</v>
      </c>
      <c r="D452" t="s">
        <v>32</v>
      </c>
      <c r="E452" t="s">
        <v>29</v>
      </c>
      <c r="F452">
        <v>0.6941749461307003</v>
      </c>
      <c r="G452">
        <v>0.83834989226140066</v>
      </c>
      <c r="H452">
        <v>0.55000000000000004</v>
      </c>
      <c r="I452">
        <v>414330623120</v>
      </c>
      <c r="J452">
        <v>12.95</v>
      </c>
      <c r="K452">
        <v>11</v>
      </c>
    </row>
    <row r="453" spans="1:11" x14ac:dyDescent="0.25">
      <c r="A453" t="s">
        <v>222</v>
      </c>
      <c r="B453" t="s">
        <v>179</v>
      </c>
      <c r="C453" t="s">
        <v>180</v>
      </c>
      <c r="D453" t="s">
        <v>32</v>
      </c>
      <c r="E453" t="s">
        <v>124</v>
      </c>
      <c r="F453">
        <v>0.67827124419192442</v>
      </c>
      <c r="G453">
        <v>0.95654248838384881</v>
      </c>
      <c r="H453">
        <v>0.4</v>
      </c>
      <c r="I453">
        <v>224211590800</v>
      </c>
      <c r="J453">
        <v>25.65</v>
      </c>
      <c r="K453">
        <v>12</v>
      </c>
    </row>
    <row r="454" spans="1:11" x14ac:dyDescent="0.25">
      <c r="A454" t="s">
        <v>222</v>
      </c>
      <c r="B454" t="s">
        <v>223</v>
      </c>
      <c r="C454" t="s">
        <v>224</v>
      </c>
      <c r="D454" t="s">
        <v>32</v>
      </c>
      <c r="E454" t="s">
        <v>26</v>
      </c>
      <c r="F454">
        <v>0.66172888286320408</v>
      </c>
      <c r="G454">
        <v>0.77345776572640812</v>
      </c>
      <c r="H454">
        <v>0.55000000000000004</v>
      </c>
      <c r="I454">
        <v>28635775900</v>
      </c>
      <c r="J454">
        <v>53.2</v>
      </c>
      <c r="K454">
        <v>13</v>
      </c>
    </row>
    <row r="455" spans="1:11" x14ac:dyDescent="0.25">
      <c r="A455" t="s">
        <v>222</v>
      </c>
      <c r="B455" t="s">
        <v>181</v>
      </c>
      <c r="C455" t="s">
        <v>182</v>
      </c>
      <c r="D455" t="s">
        <v>32</v>
      </c>
      <c r="E455" t="s">
        <v>26</v>
      </c>
      <c r="F455">
        <v>0.64118394866265194</v>
      </c>
      <c r="G455">
        <v>0.83236789732530392</v>
      </c>
      <c r="H455">
        <v>0.45</v>
      </c>
      <c r="I455">
        <v>10936138400</v>
      </c>
      <c r="J455">
        <v>14.3</v>
      </c>
      <c r="K455">
        <v>14</v>
      </c>
    </row>
    <row r="456" spans="1:11" x14ac:dyDescent="0.25">
      <c r="A456" t="s">
        <v>222</v>
      </c>
      <c r="B456" t="s">
        <v>84</v>
      </c>
      <c r="C456" t="s">
        <v>85</v>
      </c>
      <c r="D456" t="s">
        <v>14</v>
      </c>
      <c r="E456" t="s">
        <v>42</v>
      </c>
      <c r="F456">
        <v>0.64054837203804627</v>
      </c>
      <c r="G456">
        <v>0.73109674407609249</v>
      </c>
      <c r="H456">
        <v>0.55000000000000004</v>
      </c>
      <c r="I456">
        <v>9322306400</v>
      </c>
      <c r="J456">
        <v>140.30000000000001</v>
      </c>
      <c r="K456">
        <v>15</v>
      </c>
    </row>
    <row r="457" spans="1:11" x14ac:dyDescent="0.25">
      <c r="A457" t="s">
        <v>222</v>
      </c>
      <c r="B457" t="s">
        <v>176</v>
      </c>
      <c r="C457" t="s">
        <v>177</v>
      </c>
      <c r="D457" t="s">
        <v>32</v>
      </c>
      <c r="E457" t="s">
        <v>33</v>
      </c>
      <c r="F457">
        <v>0.61759958385891778</v>
      </c>
      <c r="G457">
        <v>0.88519916771783558</v>
      </c>
      <c r="H457">
        <v>0.35</v>
      </c>
      <c r="I457">
        <v>2071938800</v>
      </c>
      <c r="J457">
        <v>8.0399999999999991</v>
      </c>
      <c r="K457">
        <v>16</v>
      </c>
    </row>
    <row r="458" spans="1:11" x14ac:dyDescent="0.25">
      <c r="A458" t="s">
        <v>222</v>
      </c>
      <c r="B458" t="s">
        <v>16</v>
      </c>
      <c r="C458" t="s">
        <v>17</v>
      </c>
      <c r="D458" t="s">
        <v>18</v>
      </c>
      <c r="E458" t="s">
        <v>15</v>
      </c>
      <c r="F458">
        <v>0.6088853044095166</v>
      </c>
      <c r="G458">
        <v>0.86777060881903334</v>
      </c>
      <c r="H458">
        <v>0.35</v>
      </c>
      <c r="I458">
        <v>16088060800</v>
      </c>
      <c r="J458">
        <v>227.1</v>
      </c>
      <c r="K458">
        <v>17</v>
      </c>
    </row>
    <row r="459" spans="1:11" x14ac:dyDescent="0.25">
      <c r="A459" t="s">
        <v>222</v>
      </c>
      <c r="B459" t="s">
        <v>24</v>
      </c>
      <c r="C459" t="s">
        <v>25</v>
      </c>
      <c r="D459" t="s">
        <v>18</v>
      </c>
      <c r="E459" t="s">
        <v>26</v>
      </c>
      <c r="F459">
        <v>0.60840634920934022</v>
      </c>
      <c r="G459">
        <v>0.81681269841868043</v>
      </c>
      <c r="H459">
        <v>0.4</v>
      </c>
      <c r="I459">
        <v>8975449600</v>
      </c>
      <c r="J459">
        <v>14</v>
      </c>
      <c r="K459">
        <v>18</v>
      </c>
    </row>
    <row r="460" spans="1:11" x14ac:dyDescent="0.25">
      <c r="A460" t="s">
        <v>222</v>
      </c>
      <c r="B460" t="s">
        <v>211</v>
      </c>
      <c r="C460" t="s">
        <v>212</v>
      </c>
      <c r="D460" t="s">
        <v>32</v>
      </c>
      <c r="E460" t="s">
        <v>33</v>
      </c>
      <c r="F460">
        <v>0.60709846858719252</v>
      </c>
      <c r="G460">
        <v>0.71419693717438493</v>
      </c>
      <c r="H460">
        <v>0.5</v>
      </c>
      <c r="I460">
        <v>5362020140</v>
      </c>
      <c r="J460">
        <v>11.6</v>
      </c>
      <c r="K460">
        <v>19</v>
      </c>
    </row>
    <row r="461" spans="1:11" x14ac:dyDescent="0.25">
      <c r="A461" t="s">
        <v>222</v>
      </c>
      <c r="B461" t="s">
        <v>209</v>
      </c>
      <c r="C461" t="s">
        <v>210</v>
      </c>
      <c r="D461" t="s">
        <v>18</v>
      </c>
      <c r="E461" t="s">
        <v>42</v>
      </c>
      <c r="F461">
        <v>0.59564190605368317</v>
      </c>
      <c r="G461">
        <v>0.99128381210736627</v>
      </c>
      <c r="H461">
        <v>0.2</v>
      </c>
      <c r="I461">
        <v>5697152800</v>
      </c>
      <c r="J461">
        <v>7.5</v>
      </c>
      <c r="K461">
        <v>20</v>
      </c>
    </row>
    <row r="462" spans="1:11" x14ac:dyDescent="0.25">
      <c r="A462" t="s">
        <v>225</v>
      </c>
      <c r="B462" t="s">
        <v>88</v>
      </c>
      <c r="C462" t="s">
        <v>89</v>
      </c>
      <c r="D462" t="s">
        <v>32</v>
      </c>
      <c r="E462" t="s">
        <v>33</v>
      </c>
      <c r="F462">
        <v>0.78949297821183184</v>
      </c>
      <c r="G462">
        <v>0.97898595642366359</v>
      </c>
      <c r="H462">
        <v>0.6</v>
      </c>
      <c r="I462">
        <v>24817428900</v>
      </c>
      <c r="J462">
        <v>10.4</v>
      </c>
      <c r="K462">
        <v>1</v>
      </c>
    </row>
    <row r="463" spans="1:11" x14ac:dyDescent="0.25">
      <c r="A463" t="s">
        <v>225</v>
      </c>
      <c r="B463" t="s">
        <v>16</v>
      </c>
      <c r="C463" t="s">
        <v>17</v>
      </c>
      <c r="D463" t="s">
        <v>18</v>
      </c>
      <c r="E463" t="s">
        <v>15</v>
      </c>
      <c r="F463">
        <v>0.78801668487986865</v>
      </c>
      <c r="G463">
        <v>0.97603336975973742</v>
      </c>
      <c r="H463">
        <v>0.6</v>
      </c>
      <c r="I463">
        <v>16851340400</v>
      </c>
      <c r="J463">
        <v>249.8</v>
      </c>
      <c r="K463">
        <v>2</v>
      </c>
    </row>
    <row r="464" spans="1:11" x14ac:dyDescent="0.25">
      <c r="A464" t="s">
        <v>225</v>
      </c>
      <c r="B464" t="s">
        <v>183</v>
      </c>
      <c r="C464" t="s">
        <v>184</v>
      </c>
      <c r="D464" t="s">
        <v>32</v>
      </c>
      <c r="E464" t="s">
        <v>33</v>
      </c>
      <c r="F464">
        <v>0.73711792920578079</v>
      </c>
      <c r="G464">
        <v>0.77423585841156173</v>
      </c>
      <c r="H464">
        <v>0.7</v>
      </c>
      <c r="I464">
        <v>3774318860</v>
      </c>
      <c r="J464">
        <v>2.11</v>
      </c>
      <c r="K464">
        <v>3</v>
      </c>
    </row>
    <row r="465" spans="1:11" x14ac:dyDescent="0.25">
      <c r="A465" t="s">
        <v>225</v>
      </c>
      <c r="B465" t="s">
        <v>101</v>
      </c>
      <c r="C465" t="s">
        <v>102</v>
      </c>
      <c r="D465" t="s">
        <v>18</v>
      </c>
      <c r="E465" t="s">
        <v>15</v>
      </c>
      <c r="F465">
        <v>0.73582509768859761</v>
      </c>
      <c r="G465">
        <v>0.97165019537719521</v>
      </c>
      <c r="H465">
        <v>0.5</v>
      </c>
      <c r="I465">
        <v>3509735400</v>
      </c>
      <c r="J465">
        <v>70.900000000000006</v>
      </c>
      <c r="K465">
        <v>4</v>
      </c>
    </row>
    <row r="466" spans="1:11" x14ac:dyDescent="0.25">
      <c r="A466" t="s">
        <v>225</v>
      </c>
      <c r="B466" t="s">
        <v>84</v>
      </c>
      <c r="C466" t="s">
        <v>85</v>
      </c>
      <c r="D466" t="s">
        <v>14</v>
      </c>
      <c r="E466" t="s">
        <v>42</v>
      </c>
      <c r="F466">
        <v>0.72093124306559342</v>
      </c>
      <c r="G466">
        <v>0.59186248613118686</v>
      </c>
      <c r="H466">
        <v>0.85</v>
      </c>
      <c r="I466">
        <v>9579409600</v>
      </c>
      <c r="J466">
        <v>123</v>
      </c>
      <c r="K466">
        <v>5</v>
      </c>
    </row>
    <row r="467" spans="1:11" x14ac:dyDescent="0.25">
      <c r="A467" t="s">
        <v>225</v>
      </c>
      <c r="B467" t="s">
        <v>173</v>
      </c>
      <c r="C467" t="s">
        <v>174</v>
      </c>
      <c r="D467" t="s">
        <v>32</v>
      </c>
      <c r="E467" t="s">
        <v>74</v>
      </c>
      <c r="F467">
        <v>0.71953473700235726</v>
      </c>
      <c r="G467">
        <v>0.88906947400471437</v>
      </c>
      <c r="H467">
        <v>0.55000000000000004</v>
      </c>
      <c r="I467">
        <v>367721549180</v>
      </c>
      <c r="J467">
        <v>11.7</v>
      </c>
      <c r="K467">
        <v>6</v>
      </c>
    </row>
    <row r="468" spans="1:11" x14ac:dyDescent="0.25">
      <c r="A468" t="s">
        <v>225</v>
      </c>
      <c r="B468" t="s">
        <v>45</v>
      </c>
      <c r="C468" t="s">
        <v>46</v>
      </c>
      <c r="D468" t="s">
        <v>14</v>
      </c>
      <c r="E468" t="s">
        <v>15</v>
      </c>
      <c r="F468">
        <v>0.68352976893617745</v>
      </c>
      <c r="G468">
        <v>0.96705953787235488</v>
      </c>
      <c r="H468">
        <v>0.4</v>
      </c>
      <c r="I468">
        <v>3713036400</v>
      </c>
      <c r="J468">
        <v>26</v>
      </c>
      <c r="K468">
        <v>7</v>
      </c>
    </row>
    <row r="469" spans="1:11" x14ac:dyDescent="0.25">
      <c r="A469" t="s">
        <v>225</v>
      </c>
      <c r="B469" t="s">
        <v>75</v>
      </c>
      <c r="C469" t="s">
        <v>76</v>
      </c>
      <c r="D469" t="s">
        <v>18</v>
      </c>
      <c r="E469" t="s">
        <v>33</v>
      </c>
      <c r="F469">
        <v>0.64916615294001689</v>
      </c>
      <c r="G469">
        <v>0.69833230588003381</v>
      </c>
      <c r="H469">
        <v>0.6</v>
      </c>
      <c r="I469">
        <v>6860752000</v>
      </c>
      <c r="J469">
        <v>5.5</v>
      </c>
      <c r="K469">
        <v>8</v>
      </c>
    </row>
    <row r="470" spans="1:11" x14ac:dyDescent="0.25">
      <c r="A470" t="s">
        <v>225</v>
      </c>
      <c r="B470" t="s">
        <v>19</v>
      </c>
      <c r="C470" t="s">
        <v>20</v>
      </c>
      <c r="D470" t="s">
        <v>18</v>
      </c>
      <c r="E470" t="s">
        <v>15</v>
      </c>
      <c r="F470">
        <v>0.64443410680986046</v>
      </c>
      <c r="G470">
        <v>0.93886821361972106</v>
      </c>
      <c r="H470">
        <v>0.35</v>
      </c>
      <c r="I470">
        <v>3174535000</v>
      </c>
      <c r="J470">
        <v>349</v>
      </c>
      <c r="K470">
        <v>9</v>
      </c>
    </row>
    <row r="471" spans="1:11" x14ac:dyDescent="0.25">
      <c r="A471" t="s">
        <v>225</v>
      </c>
      <c r="B471" t="s">
        <v>164</v>
      </c>
      <c r="C471" t="s">
        <v>165</v>
      </c>
      <c r="D471" t="s">
        <v>32</v>
      </c>
      <c r="E471" t="s">
        <v>33</v>
      </c>
      <c r="F471">
        <v>0.63889277906864705</v>
      </c>
      <c r="G471">
        <v>0.97778555813729418</v>
      </c>
      <c r="H471">
        <v>0.3</v>
      </c>
      <c r="I471">
        <v>224314657500</v>
      </c>
      <c r="J471">
        <v>56.2</v>
      </c>
      <c r="K471">
        <v>10</v>
      </c>
    </row>
    <row r="472" spans="1:11" x14ac:dyDescent="0.25">
      <c r="A472" t="s">
        <v>225</v>
      </c>
      <c r="B472" t="s">
        <v>179</v>
      </c>
      <c r="C472" t="s">
        <v>180</v>
      </c>
      <c r="D472" t="s">
        <v>32</v>
      </c>
      <c r="E472" t="s">
        <v>124</v>
      </c>
      <c r="F472">
        <v>0.62619616239685816</v>
      </c>
      <c r="G472">
        <v>0.90239232479371634</v>
      </c>
      <c r="H472">
        <v>0.35</v>
      </c>
      <c r="I472">
        <v>237400059600</v>
      </c>
      <c r="J472">
        <v>23.9</v>
      </c>
      <c r="K472">
        <v>11</v>
      </c>
    </row>
    <row r="473" spans="1:11" x14ac:dyDescent="0.25">
      <c r="A473" t="s">
        <v>225</v>
      </c>
      <c r="B473" t="s">
        <v>169</v>
      </c>
      <c r="C473" t="s">
        <v>170</v>
      </c>
      <c r="D473" t="s">
        <v>32</v>
      </c>
      <c r="E473" t="s">
        <v>23</v>
      </c>
      <c r="F473">
        <v>0.62583814745172517</v>
      </c>
      <c r="G473">
        <v>0.62583814745172517</v>
      </c>
      <c r="I473">
        <v>4526848400</v>
      </c>
      <c r="J473">
        <v>12.1</v>
      </c>
      <c r="K473">
        <v>12</v>
      </c>
    </row>
    <row r="474" spans="1:11" x14ac:dyDescent="0.25">
      <c r="A474" t="s">
        <v>225</v>
      </c>
      <c r="B474" t="s">
        <v>162</v>
      </c>
      <c r="C474" t="s">
        <v>163</v>
      </c>
      <c r="D474" t="s">
        <v>32</v>
      </c>
      <c r="E474" t="s">
        <v>29</v>
      </c>
      <c r="F474">
        <v>0.61715020235239915</v>
      </c>
      <c r="G474">
        <v>0.68430040470479836</v>
      </c>
      <c r="H474">
        <v>0.55000000000000004</v>
      </c>
      <c r="I474">
        <v>428731312560</v>
      </c>
      <c r="J474">
        <v>12.05</v>
      </c>
      <c r="K474">
        <v>13</v>
      </c>
    </row>
    <row r="475" spans="1:11" x14ac:dyDescent="0.25">
      <c r="A475" t="s">
        <v>225</v>
      </c>
      <c r="B475" t="s">
        <v>195</v>
      </c>
      <c r="C475" t="s">
        <v>196</v>
      </c>
      <c r="D475" t="s">
        <v>32</v>
      </c>
      <c r="E475" t="s">
        <v>197</v>
      </c>
      <c r="F475">
        <v>0.60570594033007619</v>
      </c>
      <c r="G475">
        <v>0.81141188066015246</v>
      </c>
      <c r="H475">
        <v>0.4</v>
      </c>
      <c r="I475">
        <v>7157553800</v>
      </c>
      <c r="J475">
        <v>21</v>
      </c>
      <c r="K475">
        <v>14</v>
      </c>
    </row>
    <row r="476" spans="1:11" x14ac:dyDescent="0.25">
      <c r="A476" t="s">
        <v>225</v>
      </c>
      <c r="B476" t="s">
        <v>176</v>
      </c>
      <c r="C476" t="s">
        <v>177</v>
      </c>
      <c r="D476" t="s">
        <v>32</v>
      </c>
      <c r="E476" t="s">
        <v>33</v>
      </c>
      <c r="F476">
        <v>0.602962619582464</v>
      </c>
      <c r="G476">
        <v>0.80592523916492786</v>
      </c>
      <c r="H476">
        <v>0.4</v>
      </c>
      <c r="I476">
        <v>2110616160</v>
      </c>
      <c r="J476">
        <v>7.48</v>
      </c>
      <c r="K476">
        <v>15</v>
      </c>
    </row>
    <row r="477" spans="1:11" x14ac:dyDescent="0.25">
      <c r="A477" t="s">
        <v>225</v>
      </c>
      <c r="B477" t="s">
        <v>86</v>
      </c>
      <c r="C477" t="s">
        <v>87</v>
      </c>
      <c r="D477" t="s">
        <v>32</v>
      </c>
      <c r="E477" t="s">
        <v>33</v>
      </c>
      <c r="F477">
        <v>0.59305666337130913</v>
      </c>
      <c r="G477">
        <v>0.73611332674261831</v>
      </c>
      <c r="H477">
        <v>0.45</v>
      </c>
      <c r="I477">
        <v>2504072600</v>
      </c>
      <c r="J477">
        <v>97.3</v>
      </c>
      <c r="K477">
        <v>16</v>
      </c>
    </row>
    <row r="478" spans="1:11" x14ac:dyDescent="0.25">
      <c r="A478" t="s">
        <v>225</v>
      </c>
      <c r="B478" t="s">
        <v>226</v>
      </c>
      <c r="C478" t="s">
        <v>227</v>
      </c>
      <c r="D478" t="s">
        <v>32</v>
      </c>
      <c r="E478" t="s">
        <v>26</v>
      </c>
      <c r="F478">
        <v>0.58955727874350794</v>
      </c>
      <c r="G478">
        <v>0.72911455748701581</v>
      </c>
      <c r="H478">
        <v>0.45</v>
      </c>
      <c r="I478">
        <v>4998063800</v>
      </c>
      <c r="J478">
        <v>58.7</v>
      </c>
      <c r="K478">
        <v>17</v>
      </c>
    </row>
    <row r="479" spans="1:11" x14ac:dyDescent="0.25">
      <c r="A479" t="s">
        <v>225</v>
      </c>
      <c r="B479" t="s">
        <v>199</v>
      </c>
      <c r="C479" t="s">
        <v>200</v>
      </c>
      <c r="D479" t="s">
        <v>32</v>
      </c>
      <c r="E479" t="s">
        <v>26</v>
      </c>
      <c r="F479">
        <v>0.58681965365992916</v>
      </c>
      <c r="G479">
        <v>0.97363930731985826</v>
      </c>
      <c r="H479">
        <v>0.2</v>
      </c>
      <c r="I479">
        <v>4758949560</v>
      </c>
      <c r="J479">
        <v>12.25</v>
      </c>
      <c r="K479">
        <v>18</v>
      </c>
    </row>
    <row r="480" spans="1:11" x14ac:dyDescent="0.25">
      <c r="A480" t="s">
        <v>225</v>
      </c>
      <c r="B480" t="s">
        <v>214</v>
      </c>
      <c r="C480" t="s">
        <v>215</v>
      </c>
      <c r="D480" t="s">
        <v>32</v>
      </c>
      <c r="E480" t="s">
        <v>33</v>
      </c>
      <c r="F480">
        <v>0.56839008544456404</v>
      </c>
      <c r="G480">
        <v>0.93678017088912802</v>
      </c>
      <c r="H480">
        <v>0.2</v>
      </c>
      <c r="I480">
        <v>4989814620</v>
      </c>
      <c r="J480">
        <v>4.76</v>
      </c>
      <c r="K480">
        <v>19</v>
      </c>
    </row>
    <row r="481" spans="1:11" x14ac:dyDescent="0.25">
      <c r="A481" t="s">
        <v>225</v>
      </c>
      <c r="B481" t="s">
        <v>99</v>
      </c>
      <c r="C481" t="s">
        <v>100</v>
      </c>
      <c r="D481" t="s">
        <v>32</v>
      </c>
      <c r="E481" t="s">
        <v>29</v>
      </c>
      <c r="F481">
        <v>0.56779203497162323</v>
      </c>
      <c r="G481">
        <v>0.63558406994324645</v>
      </c>
      <c r="H481">
        <v>0.5</v>
      </c>
      <c r="I481">
        <v>42005421500</v>
      </c>
      <c r="J481">
        <v>52.8</v>
      </c>
      <c r="K481">
        <v>20</v>
      </c>
    </row>
    <row r="482" spans="1:11" x14ac:dyDescent="0.25">
      <c r="A482" t="s">
        <v>228</v>
      </c>
      <c r="B482" t="s">
        <v>16</v>
      </c>
      <c r="C482" t="s">
        <v>17</v>
      </c>
      <c r="D482" t="s">
        <v>18</v>
      </c>
      <c r="E482" t="s">
        <v>15</v>
      </c>
      <c r="F482">
        <v>0.81140327980449611</v>
      </c>
      <c r="G482">
        <v>0.97280655960899232</v>
      </c>
      <c r="H482">
        <v>0.65</v>
      </c>
      <c r="I482">
        <v>17023641400</v>
      </c>
      <c r="J482">
        <v>257</v>
      </c>
      <c r="K482">
        <v>1</v>
      </c>
    </row>
    <row r="483" spans="1:11" x14ac:dyDescent="0.25">
      <c r="A483" t="s">
        <v>228</v>
      </c>
      <c r="B483" t="s">
        <v>45</v>
      </c>
      <c r="C483" t="s">
        <v>46</v>
      </c>
      <c r="D483" t="s">
        <v>14</v>
      </c>
      <c r="E483" t="s">
        <v>15</v>
      </c>
      <c r="F483">
        <v>0.79142549396209771</v>
      </c>
      <c r="G483">
        <v>0.83285098792419543</v>
      </c>
      <c r="H483">
        <v>0.75</v>
      </c>
      <c r="I483">
        <v>3734057600</v>
      </c>
      <c r="J483">
        <v>23.4</v>
      </c>
      <c r="K483">
        <v>2</v>
      </c>
    </row>
    <row r="484" spans="1:11" x14ac:dyDescent="0.25">
      <c r="A484" t="s">
        <v>228</v>
      </c>
      <c r="B484" t="s">
        <v>88</v>
      </c>
      <c r="C484" t="s">
        <v>89</v>
      </c>
      <c r="D484" t="s">
        <v>32</v>
      </c>
      <c r="E484" t="s">
        <v>33</v>
      </c>
      <c r="F484">
        <v>0.74025137967989996</v>
      </c>
      <c r="G484">
        <v>0.9805027593597998</v>
      </c>
      <c r="H484">
        <v>0.5</v>
      </c>
      <c r="I484">
        <v>27764936920</v>
      </c>
      <c r="J484">
        <v>10.5</v>
      </c>
      <c r="K484">
        <v>3</v>
      </c>
    </row>
    <row r="485" spans="1:11" x14ac:dyDescent="0.25">
      <c r="A485" t="s">
        <v>228</v>
      </c>
      <c r="B485" t="s">
        <v>84</v>
      </c>
      <c r="C485" t="s">
        <v>85</v>
      </c>
      <c r="D485" t="s">
        <v>14</v>
      </c>
      <c r="E485" t="s">
        <v>42</v>
      </c>
      <c r="F485">
        <v>0.73216103873454053</v>
      </c>
      <c r="G485">
        <v>0.61432207746908096</v>
      </c>
      <c r="H485">
        <v>0.85</v>
      </c>
      <c r="I485">
        <v>9768333600</v>
      </c>
      <c r="J485">
        <v>123</v>
      </c>
      <c r="K485">
        <v>4</v>
      </c>
    </row>
    <row r="486" spans="1:11" x14ac:dyDescent="0.25">
      <c r="A486" t="s">
        <v>228</v>
      </c>
      <c r="B486" t="s">
        <v>75</v>
      </c>
      <c r="C486" t="s">
        <v>76</v>
      </c>
      <c r="D486" t="s">
        <v>18</v>
      </c>
      <c r="E486" t="s">
        <v>33</v>
      </c>
      <c r="F486">
        <v>0.69326188500972541</v>
      </c>
      <c r="G486">
        <v>0.78652377001945084</v>
      </c>
      <c r="H486">
        <v>0.6</v>
      </c>
      <c r="I486">
        <v>7130292800</v>
      </c>
      <c r="J486">
        <v>5.6</v>
      </c>
      <c r="K486">
        <v>5</v>
      </c>
    </row>
    <row r="487" spans="1:11" x14ac:dyDescent="0.25">
      <c r="A487" t="s">
        <v>228</v>
      </c>
      <c r="B487" t="s">
        <v>173</v>
      </c>
      <c r="C487" t="s">
        <v>174</v>
      </c>
      <c r="D487" t="s">
        <v>32</v>
      </c>
      <c r="E487" t="s">
        <v>74</v>
      </c>
      <c r="F487">
        <v>0.65140537100760465</v>
      </c>
      <c r="G487">
        <v>0.95281074201520921</v>
      </c>
      <c r="H487">
        <v>0.35</v>
      </c>
      <c r="I487">
        <v>399585609480</v>
      </c>
      <c r="J487">
        <v>12.05</v>
      </c>
      <c r="K487">
        <v>6</v>
      </c>
    </row>
    <row r="488" spans="1:11" x14ac:dyDescent="0.25">
      <c r="A488" t="s">
        <v>228</v>
      </c>
      <c r="B488" t="s">
        <v>179</v>
      </c>
      <c r="C488" t="s">
        <v>180</v>
      </c>
      <c r="D488" t="s">
        <v>32</v>
      </c>
      <c r="E488" t="s">
        <v>124</v>
      </c>
      <c r="F488">
        <v>0.64661776218925016</v>
      </c>
      <c r="G488">
        <v>0.8932355243785004</v>
      </c>
      <c r="H488">
        <v>0.4</v>
      </c>
      <c r="I488">
        <v>247009850000</v>
      </c>
      <c r="J488">
        <v>23.6</v>
      </c>
      <c r="K488">
        <v>7</v>
      </c>
    </row>
    <row r="489" spans="1:11" x14ac:dyDescent="0.25">
      <c r="A489" t="s">
        <v>228</v>
      </c>
      <c r="B489" t="s">
        <v>99</v>
      </c>
      <c r="C489" t="s">
        <v>100</v>
      </c>
      <c r="D489" t="s">
        <v>32</v>
      </c>
      <c r="E489" t="s">
        <v>29</v>
      </c>
      <c r="F489">
        <v>0.64466927078984981</v>
      </c>
      <c r="G489">
        <v>0.73933854157969947</v>
      </c>
      <c r="H489">
        <v>0.55000000000000004</v>
      </c>
      <c r="I489">
        <v>44750555300</v>
      </c>
      <c r="J489">
        <v>53.4</v>
      </c>
      <c r="K489">
        <v>8</v>
      </c>
    </row>
    <row r="490" spans="1:11" x14ac:dyDescent="0.25">
      <c r="A490" t="s">
        <v>228</v>
      </c>
      <c r="B490" t="s">
        <v>101</v>
      </c>
      <c r="C490" t="s">
        <v>102</v>
      </c>
      <c r="D490" t="s">
        <v>18</v>
      </c>
      <c r="E490" t="s">
        <v>15</v>
      </c>
      <c r="F490">
        <v>0.64048311669673841</v>
      </c>
      <c r="G490">
        <v>0.98096623339347677</v>
      </c>
      <c r="H490">
        <v>0.3</v>
      </c>
      <c r="I490">
        <v>3688474600</v>
      </c>
      <c r="J490">
        <v>76</v>
      </c>
      <c r="K490">
        <v>9</v>
      </c>
    </row>
    <row r="491" spans="1:11" x14ac:dyDescent="0.25">
      <c r="A491" t="s">
        <v>228</v>
      </c>
      <c r="B491" t="s">
        <v>214</v>
      </c>
      <c r="C491" t="s">
        <v>215</v>
      </c>
      <c r="D491" t="s">
        <v>32</v>
      </c>
      <c r="E491" t="s">
        <v>33</v>
      </c>
      <c r="F491">
        <v>0.63927960326610467</v>
      </c>
      <c r="G491">
        <v>0.82855920653220938</v>
      </c>
      <c r="H491">
        <v>0.45</v>
      </c>
      <c r="I491">
        <v>5579260940</v>
      </c>
      <c r="J491">
        <v>4.43</v>
      </c>
      <c r="K491">
        <v>10</v>
      </c>
    </row>
    <row r="492" spans="1:11" x14ac:dyDescent="0.25">
      <c r="A492" t="s">
        <v>228</v>
      </c>
      <c r="B492" t="s">
        <v>82</v>
      </c>
      <c r="C492" t="s">
        <v>83</v>
      </c>
      <c r="D492" t="s">
        <v>32</v>
      </c>
      <c r="E492" t="s">
        <v>39</v>
      </c>
      <c r="F492">
        <v>0.6102405073619982</v>
      </c>
      <c r="G492">
        <v>0.82048101472399637</v>
      </c>
      <c r="H492">
        <v>0.4</v>
      </c>
      <c r="I492">
        <v>38487691400</v>
      </c>
      <c r="J492">
        <v>15</v>
      </c>
      <c r="K492">
        <v>11</v>
      </c>
    </row>
    <row r="493" spans="1:11" x14ac:dyDescent="0.25">
      <c r="A493" t="s">
        <v>228</v>
      </c>
      <c r="B493" t="s">
        <v>19</v>
      </c>
      <c r="C493" t="s">
        <v>20</v>
      </c>
      <c r="D493" t="s">
        <v>18</v>
      </c>
      <c r="E493" t="s">
        <v>15</v>
      </c>
      <c r="F493">
        <v>0.60708531639540508</v>
      </c>
      <c r="G493">
        <v>0.86417063279081008</v>
      </c>
      <c r="H493">
        <v>0.35</v>
      </c>
      <c r="I493">
        <v>3197174800</v>
      </c>
      <c r="J493">
        <v>325.10000000000002</v>
      </c>
      <c r="K493">
        <v>12</v>
      </c>
    </row>
    <row r="494" spans="1:11" x14ac:dyDescent="0.25">
      <c r="A494" t="s">
        <v>228</v>
      </c>
      <c r="B494" t="s">
        <v>176</v>
      </c>
      <c r="C494" t="s">
        <v>177</v>
      </c>
      <c r="D494" t="s">
        <v>32</v>
      </c>
      <c r="E494" t="s">
        <v>33</v>
      </c>
      <c r="F494">
        <v>0.601798943558287</v>
      </c>
      <c r="G494">
        <v>0.80359788711657398</v>
      </c>
      <c r="H494">
        <v>0.4</v>
      </c>
      <c r="I494">
        <v>2197701160</v>
      </c>
      <c r="J494">
        <v>7.28</v>
      </c>
      <c r="K494">
        <v>13</v>
      </c>
    </row>
    <row r="495" spans="1:11" x14ac:dyDescent="0.25">
      <c r="A495" t="s">
        <v>228</v>
      </c>
      <c r="B495" t="s">
        <v>169</v>
      </c>
      <c r="C495" t="s">
        <v>170</v>
      </c>
      <c r="D495" t="s">
        <v>32</v>
      </c>
      <c r="E495" t="s">
        <v>23</v>
      </c>
      <c r="F495">
        <v>0.59205479635952707</v>
      </c>
      <c r="G495">
        <v>0.59205479635952707</v>
      </c>
      <c r="I495">
        <v>4653266900</v>
      </c>
      <c r="J495">
        <v>11.9</v>
      </c>
      <c r="K495">
        <v>14</v>
      </c>
    </row>
    <row r="496" spans="1:11" x14ac:dyDescent="0.25">
      <c r="A496" t="s">
        <v>228</v>
      </c>
      <c r="B496" t="s">
        <v>229</v>
      </c>
      <c r="C496" t="s">
        <v>230</v>
      </c>
      <c r="D496" t="s">
        <v>18</v>
      </c>
      <c r="E496" t="s">
        <v>29</v>
      </c>
      <c r="F496">
        <v>0.59017652556040989</v>
      </c>
      <c r="G496">
        <v>0.88035305112081985</v>
      </c>
      <c r="H496">
        <v>0.3</v>
      </c>
      <c r="I496">
        <v>20237344000</v>
      </c>
      <c r="J496">
        <v>17.7</v>
      </c>
      <c r="K496">
        <v>15</v>
      </c>
    </row>
    <row r="497" spans="1:11" x14ac:dyDescent="0.25">
      <c r="A497" t="s">
        <v>228</v>
      </c>
      <c r="B497" t="s">
        <v>164</v>
      </c>
      <c r="C497" t="s">
        <v>165</v>
      </c>
      <c r="D497" t="s">
        <v>32</v>
      </c>
      <c r="E497" t="s">
        <v>33</v>
      </c>
      <c r="F497">
        <v>0.58969264295460111</v>
      </c>
      <c r="G497">
        <v>0.97938528590920226</v>
      </c>
      <c r="H497">
        <v>0.2</v>
      </c>
      <c r="I497">
        <v>240331635900</v>
      </c>
      <c r="J497">
        <v>58.3</v>
      </c>
      <c r="K497">
        <v>16</v>
      </c>
    </row>
    <row r="498" spans="1:11" x14ac:dyDescent="0.25">
      <c r="A498" t="s">
        <v>228</v>
      </c>
      <c r="B498" t="s">
        <v>24</v>
      </c>
      <c r="C498" t="s">
        <v>25</v>
      </c>
      <c r="D498" t="s">
        <v>18</v>
      </c>
      <c r="E498" t="s">
        <v>26</v>
      </c>
      <c r="F498">
        <v>0.58176233722987347</v>
      </c>
      <c r="G498">
        <v>0.81352467445974685</v>
      </c>
      <c r="H498">
        <v>0.35</v>
      </c>
      <c r="I498">
        <v>9045909800</v>
      </c>
      <c r="J498">
        <v>13.7</v>
      </c>
      <c r="K498">
        <v>17</v>
      </c>
    </row>
    <row r="499" spans="1:11" x14ac:dyDescent="0.25">
      <c r="A499" t="s">
        <v>228</v>
      </c>
      <c r="B499" t="s">
        <v>162</v>
      </c>
      <c r="C499" t="s">
        <v>163</v>
      </c>
      <c r="D499" t="s">
        <v>32</v>
      </c>
      <c r="E499" t="s">
        <v>29</v>
      </c>
      <c r="F499">
        <v>0.57307142195933192</v>
      </c>
      <c r="G499">
        <v>0.69614284391866377</v>
      </c>
      <c r="H499">
        <v>0.45</v>
      </c>
      <c r="I499">
        <v>445741627880</v>
      </c>
      <c r="J499">
        <v>12</v>
      </c>
      <c r="K499">
        <v>18</v>
      </c>
    </row>
    <row r="500" spans="1:11" x14ac:dyDescent="0.25">
      <c r="A500" t="s">
        <v>228</v>
      </c>
      <c r="B500" t="s">
        <v>122</v>
      </c>
      <c r="C500" t="s">
        <v>123</v>
      </c>
      <c r="D500" t="s">
        <v>32</v>
      </c>
      <c r="E500" t="s">
        <v>124</v>
      </c>
      <c r="F500">
        <v>0.56559345581604503</v>
      </c>
      <c r="G500">
        <v>0.93118691163209</v>
      </c>
      <c r="H500">
        <v>0.2</v>
      </c>
      <c r="I500">
        <v>60818580100</v>
      </c>
      <c r="J500">
        <v>70.900000000000006</v>
      </c>
      <c r="K500">
        <v>19</v>
      </c>
    </row>
    <row r="501" spans="1:11" x14ac:dyDescent="0.25">
      <c r="A501" t="s">
        <v>228</v>
      </c>
      <c r="B501" t="s">
        <v>86</v>
      </c>
      <c r="C501" t="s">
        <v>87</v>
      </c>
      <c r="D501" t="s">
        <v>32</v>
      </c>
      <c r="E501" t="s">
        <v>33</v>
      </c>
      <c r="F501">
        <v>0.56295344577504047</v>
      </c>
      <c r="G501">
        <v>0.62590689155008083</v>
      </c>
      <c r="H501">
        <v>0.5</v>
      </c>
      <c r="I501">
        <v>2537704400</v>
      </c>
      <c r="J501">
        <v>92.8</v>
      </c>
      <c r="K501">
        <v>20</v>
      </c>
    </row>
    <row r="502" spans="1:11" x14ac:dyDescent="0.25">
      <c r="A502" t="s">
        <v>231</v>
      </c>
      <c r="B502" t="s">
        <v>101</v>
      </c>
      <c r="C502" t="s">
        <v>102</v>
      </c>
      <c r="D502" t="s">
        <v>18</v>
      </c>
      <c r="E502" t="s">
        <v>15</v>
      </c>
      <c r="F502">
        <v>0.72768822301820324</v>
      </c>
      <c r="G502">
        <v>0.90537644603640643</v>
      </c>
      <c r="H502">
        <v>0.55000000000000004</v>
      </c>
      <c r="I502">
        <v>3715287400</v>
      </c>
      <c r="J502">
        <v>68.400000000000006</v>
      </c>
      <c r="K502">
        <v>1</v>
      </c>
    </row>
    <row r="503" spans="1:11" x14ac:dyDescent="0.25">
      <c r="A503" t="s">
        <v>231</v>
      </c>
      <c r="B503" t="s">
        <v>164</v>
      </c>
      <c r="C503" t="s">
        <v>165</v>
      </c>
      <c r="D503" t="s">
        <v>32</v>
      </c>
      <c r="E503" t="s">
        <v>33</v>
      </c>
      <c r="F503">
        <v>0.67739303219054536</v>
      </c>
      <c r="G503">
        <v>0.9547860643810907</v>
      </c>
      <c r="H503">
        <v>0.4</v>
      </c>
      <c r="I503">
        <v>252564825700</v>
      </c>
      <c r="J503">
        <v>55.1</v>
      </c>
      <c r="K503">
        <v>2</v>
      </c>
    </row>
    <row r="504" spans="1:11" x14ac:dyDescent="0.25">
      <c r="A504" t="s">
        <v>231</v>
      </c>
      <c r="B504" t="s">
        <v>16</v>
      </c>
      <c r="C504" t="s">
        <v>17</v>
      </c>
      <c r="D504" t="s">
        <v>18</v>
      </c>
      <c r="E504" t="s">
        <v>15</v>
      </c>
      <c r="F504">
        <v>0.65402117595854925</v>
      </c>
      <c r="G504">
        <v>0.85804235191709843</v>
      </c>
      <c r="H504">
        <v>0.45</v>
      </c>
      <c r="I504">
        <v>16993657400</v>
      </c>
      <c r="J504">
        <v>231.3</v>
      </c>
      <c r="K504">
        <v>3</v>
      </c>
    </row>
    <row r="505" spans="1:11" x14ac:dyDescent="0.25">
      <c r="A505" t="s">
        <v>231</v>
      </c>
      <c r="B505" t="s">
        <v>45</v>
      </c>
      <c r="C505" t="s">
        <v>46</v>
      </c>
      <c r="D505" t="s">
        <v>14</v>
      </c>
      <c r="E505" t="s">
        <v>15</v>
      </c>
      <c r="F505">
        <v>0.63911412640580689</v>
      </c>
      <c r="G505">
        <v>0.47822825281161369</v>
      </c>
      <c r="H505">
        <v>0.8</v>
      </c>
      <c r="I505">
        <v>3749597400</v>
      </c>
      <c r="J505">
        <v>20.7</v>
      </c>
      <c r="K505">
        <v>4</v>
      </c>
    </row>
    <row r="506" spans="1:11" x14ac:dyDescent="0.25">
      <c r="A506" t="s">
        <v>231</v>
      </c>
      <c r="B506" t="s">
        <v>173</v>
      </c>
      <c r="C506" t="s">
        <v>174</v>
      </c>
      <c r="D506" t="s">
        <v>32</v>
      </c>
      <c r="E506" t="s">
        <v>74</v>
      </c>
      <c r="F506">
        <v>0.60436340799943966</v>
      </c>
      <c r="G506">
        <v>0.85872681599887934</v>
      </c>
      <c r="H506">
        <v>0.35</v>
      </c>
      <c r="I506">
        <v>413985783780</v>
      </c>
      <c r="J506">
        <v>11.25</v>
      </c>
      <c r="K506">
        <v>5</v>
      </c>
    </row>
    <row r="507" spans="1:11" x14ac:dyDescent="0.25">
      <c r="A507" t="s">
        <v>231</v>
      </c>
      <c r="B507" t="s">
        <v>82</v>
      </c>
      <c r="C507" t="s">
        <v>83</v>
      </c>
      <c r="D507" t="s">
        <v>32</v>
      </c>
      <c r="E507" t="s">
        <v>39</v>
      </c>
      <c r="F507">
        <v>0.56874891061027777</v>
      </c>
      <c r="G507">
        <v>0.83749782122055549</v>
      </c>
      <c r="H507">
        <v>0.3</v>
      </c>
      <c r="I507">
        <v>39403401600</v>
      </c>
      <c r="J507">
        <v>14.65</v>
      </c>
      <c r="K507">
        <v>6</v>
      </c>
    </row>
    <row r="508" spans="1:11" x14ac:dyDescent="0.25">
      <c r="A508" t="s">
        <v>231</v>
      </c>
      <c r="B508" t="s">
        <v>88</v>
      </c>
      <c r="C508" t="s">
        <v>89</v>
      </c>
      <c r="D508" t="s">
        <v>32</v>
      </c>
      <c r="E508" t="s">
        <v>33</v>
      </c>
      <c r="F508">
        <v>0.56519221219680238</v>
      </c>
      <c r="G508">
        <v>0.93038442439360469</v>
      </c>
      <c r="H508">
        <v>0.2</v>
      </c>
      <c r="I508">
        <v>28239842460</v>
      </c>
      <c r="J508">
        <v>9.77</v>
      </c>
      <c r="K508">
        <v>7</v>
      </c>
    </row>
    <row r="509" spans="1:11" x14ac:dyDescent="0.25">
      <c r="A509" t="s">
        <v>231</v>
      </c>
      <c r="B509" t="s">
        <v>232</v>
      </c>
      <c r="C509" t="s">
        <v>233</v>
      </c>
      <c r="D509" t="s">
        <v>32</v>
      </c>
      <c r="E509" t="s">
        <v>26</v>
      </c>
      <c r="F509">
        <v>0.55977727706630032</v>
      </c>
      <c r="G509">
        <v>0.86955455413260052</v>
      </c>
      <c r="H509">
        <v>0.25</v>
      </c>
      <c r="I509">
        <v>2235379420</v>
      </c>
      <c r="J509">
        <v>7.54</v>
      </c>
      <c r="K509">
        <v>8</v>
      </c>
    </row>
    <row r="510" spans="1:11" x14ac:dyDescent="0.25">
      <c r="A510" t="s">
        <v>231</v>
      </c>
      <c r="B510" t="s">
        <v>19</v>
      </c>
      <c r="C510" t="s">
        <v>20</v>
      </c>
      <c r="D510" t="s">
        <v>18</v>
      </c>
      <c r="E510" t="s">
        <v>15</v>
      </c>
      <c r="F510">
        <v>0.54226046788215565</v>
      </c>
      <c r="G510">
        <v>0.63452093576431134</v>
      </c>
      <c r="H510">
        <v>0.45</v>
      </c>
      <c r="I510">
        <v>3253624000</v>
      </c>
      <c r="J510">
        <v>292.7</v>
      </c>
      <c r="K510">
        <v>9</v>
      </c>
    </row>
    <row r="511" spans="1:11" x14ac:dyDescent="0.25">
      <c r="A511" t="s">
        <v>231</v>
      </c>
      <c r="B511" t="s">
        <v>86</v>
      </c>
      <c r="C511" t="s">
        <v>87</v>
      </c>
      <c r="D511" t="s">
        <v>32</v>
      </c>
      <c r="E511" t="s">
        <v>33</v>
      </c>
      <c r="F511">
        <v>0.53788824250950928</v>
      </c>
      <c r="G511">
        <v>0.4757764850190187</v>
      </c>
      <c r="H511">
        <v>0.6</v>
      </c>
      <c r="I511">
        <v>2526392400</v>
      </c>
      <c r="J511">
        <v>86.4</v>
      </c>
      <c r="K511">
        <v>10</v>
      </c>
    </row>
    <row r="512" spans="1:11" x14ac:dyDescent="0.25">
      <c r="A512" t="s">
        <v>231</v>
      </c>
      <c r="B512" t="s">
        <v>214</v>
      </c>
      <c r="C512" t="s">
        <v>215</v>
      </c>
      <c r="D512" t="s">
        <v>32</v>
      </c>
      <c r="E512" t="s">
        <v>33</v>
      </c>
      <c r="F512">
        <v>0.49919466874004642</v>
      </c>
      <c r="G512">
        <v>0.6983893374800928</v>
      </c>
      <c r="H512">
        <v>0.3</v>
      </c>
      <c r="I512">
        <v>5975109360</v>
      </c>
      <c r="J512">
        <v>4.12</v>
      </c>
      <c r="K512">
        <v>11</v>
      </c>
    </row>
    <row r="513" spans="1:11" x14ac:dyDescent="0.25">
      <c r="A513" t="s">
        <v>231</v>
      </c>
      <c r="B513" t="s">
        <v>234</v>
      </c>
      <c r="C513" t="s">
        <v>235</v>
      </c>
      <c r="D513" t="s">
        <v>32</v>
      </c>
      <c r="E513" t="s">
        <v>236</v>
      </c>
      <c r="F513">
        <v>0.48228327484972489</v>
      </c>
      <c r="G513">
        <v>0.56456654969944986</v>
      </c>
      <c r="H513">
        <v>0.4</v>
      </c>
      <c r="I513">
        <v>6231115700</v>
      </c>
      <c r="J513">
        <v>14.55</v>
      </c>
      <c r="K513">
        <v>12</v>
      </c>
    </row>
    <row r="514" spans="1:11" x14ac:dyDescent="0.25">
      <c r="A514" t="s">
        <v>231</v>
      </c>
      <c r="B514" t="s">
        <v>237</v>
      </c>
      <c r="C514" t="s">
        <v>238</v>
      </c>
      <c r="D514" t="s">
        <v>32</v>
      </c>
      <c r="E514" t="s">
        <v>33</v>
      </c>
      <c r="F514">
        <v>0.48165288315877131</v>
      </c>
      <c r="G514">
        <v>0.86330576631754263</v>
      </c>
      <c r="H514">
        <v>0.1</v>
      </c>
      <c r="I514">
        <v>434032615100</v>
      </c>
      <c r="J514">
        <v>47</v>
      </c>
      <c r="K514">
        <v>13</v>
      </c>
    </row>
    <row r="515" spans="1:11" x14ac:dyDescent="0.25">
      <c r="A515" t="s">
        <v>231</v>
      </c>
      <c r="B515" t="s">
        <v>179</v>
      </c>
      <c r="C515" t="s">
        <v>180</v>
      </c>
      <c r="D515" t="s">
        <v>32</v>
      </c>
      <c r="E515" t="s">
        <v>124</v>
      </c>
      <c r="F515">
        <v>0.48073304283408319</v>
      </c>
      <c r="G515">
        <v>0.76146608566816654</v>
      </c>
      <c r="H515">
        <v>0.2</v>
      </c>
      <c r="I515">
        <v>251275386700</v>
      </c>
      <c r="J515">
        <v>21.95</v>
      </c>
      <c r="K515">
        <v>14</v>
      </c>
    </row>
    <row r="516" spans="1:11" x14ac:dyDescent="0.25">
      <c r="A516" t="s">
        <v>231</v>
      </c>
      <c r="B516" t="s">
        <v>152</v>
      </c>
      <c r="C516" t="s">
        <v>153</v>
      </c>
      <c r="D516" t="s">
        <v>32</v>
      </c>
      <c r="E516" t="s">
        <v>74</v>
      </c>
      <c r="F516">
        <v>0.47532858598290317</v>
      </c>
      <c r="G516">
        <v>0.50065717196580628</v>
      </c>
      <c r="H516">
        <v>0.45</v>
      </c>
      <c r="I516">
        <v>450730066000</v>
      </c>
      <c r="J516">
        <v>34.799999999999997</v>
      </c>
      <c r="K516">
        <v>15</v>
      </c>
    </row>
    <row r="517" spans="1:11" x14ac:dyDescent="0.25">
      <c r="A517" t="s">
        <v>231</v>
      </c>
      <c r="B517" t="s">
        <v>75</v>
      </c>
      <c r="C517" t="s">
        <v>76</v>
      </c>
      <c r="D517" t="s">
        <v>18</v>
      </c>
      <c r="E517" t="s">
        <v>33</v>
      </c>
      <c r="F517">
        <v>0.47371096023220027</v>
      </c>
      <c r="G517">
        <v>0.39742192046440061</v>
      </c>
      <c r="H517">
        <v>0.55000000000000004</v>
      </c>
      <c r="I517">
        <v>7181056600</v>
      </c>
      <c r="J517">
        <v>5.0999999999999996</v>
      </c>
      <c r="K517">
        <v>16</v>
      </c>
    </row>
    <row r="518" spans="1:11" x14ac:dyDescent="0.25">
      <c r="A518" t="s">
        <v>231</v>
      </c>
      <c r="B518" t="s">
        <v>24</v>
      </c>
      <c r="C518" t="s">
        <v>25</v>
      </c>
      <c r="D518" t="s">
        <v>18</v>
      </c>
      <c r="E518" t="s">
        <v>26</v>
      </c>
      <c r="F518">
        <v>0.4624820260235375</v>
      </c>
      <c r="G518">
        <v>0.77496405204707497</v>
      </c>
      <c r="H518">
        <v>0.15</v>
      </c>
      <c r="I518">
        <v>8895965000</v>
      </c>
      <c r="J518">
        <v>12.9</v>
      </c>
      <c r="K518">
        <v>17</v>
      </c>
    </row>
    <row r="519" spans="1:11" x14ac:dyDescent="0.25">
      <c r="A519" t="s">
        <v>231</v>
      </c>
      <c r="B519" t="s">
        <v>99</v>
      </c>
      <c r="C519" t="s">
        <v>100</v>
      </c>
      <c r="D519" t="s">
        <v>32</v>
      </c>
      <c r="E519" t="s">
        <v>29</v>
      </c>
      <c r="F519">
        <v>0.45720137035856051</v>
      </c>
      <c r="G519">
        <v>0.46440274071712101</v>
      </c>
      <c r="H519">
        <v>0.45</v>
      </c>
      <c r="I519">
        <v>45769531100</v>
      </c>
      <c r="J519">
        <v>49.7</v>
      </c>
      <c r="K519">
        <v>18</v>
      </c>
    </row>
    <row r="520" spans="1:11" x14ac:dyDescent="0.25">
      <c r="A520" t="s">
        <v>231</v>
      </c>
      <c r="B520" t="s">
        <v>209</v>
      </c>
      <c r="C520" t="s">
        <v>210</v>
      </c>
      <c r="D520" t="s">
        <v>18</v>
      </c>
      <c r="E520" t="s">
        <v>42</v>
      </c>
      <c r="F520">
        <v>0.45675457449609619</v>
      </c>
      <c r="G520">
        <v>0.71350914899219253</v>
      </c>
      <c r="H520">
        <v>0.2</v>
      </c>
      <c r="I520">
        <v>7184932400</v>
      </c>
      <c r="J520">
        <v>5.6</v>
      </c>
      <c r="K520">
        <v>19</v>
      </c>
    </row>
    <row r="521" spans="1:11" x14ac:dyDescent="0.25">
      <c r="A521" t="s">
        <v>231</v>
      </c>
      <c r="B521" t="s">
        <v>223</v>
      </c>
      <c r="C521" t="s">
        <v>224</v>
      </c>
      <c r="D521" t="s">
        <v>32</v>
      </c>
      <c r="E521" t="s">
        <v>26</v>
      </c>
      <c r="F521">
        <v>0.45667408489457101</v>
      </c>
      <c r="G521">
        <v>0.41334816978914191</v>
      </c>
      <c r="H521">
        <v>0.5</v>
      </c>
      <c r="I521">
        <v>31540663800</v>
      </c>
      <c r="J521">
        <v>45.35</v>
      </c>
      <c r="K521">
        <v>20</v>
      </c>
    </row>
    <row r="522" spans="1:11" x14ac:dyDescent="0.25">
      <c r="A522" t="s">
        <v>239</v>
      </c>
      <c r="B522" t="s">
        <v>164</v>
      </c>
      <c r="C522" t="s">
        <v>165</v>
      </c>
      <c r="D522" t="s">
        <v>32</v>
      </c>
      <c r="E522" t="s">
        <v>33</v>
      </c>
      <c r="F522">
        <v>0.6584389314434278</v>
      </c>
      <c r="G522">
        <v>0.96687786288685562</v>
      </c>
      <c r="H522">
        <v>0.35</v>
      </c>
      <c r="I522">
        <v>266325054200</v>
      </c>
      <c r="J522">
        <v>57</v>
      </c>
      <c r="K522">
        <v>1</v>
      </c>
    </row>
    <row r="523" spans="1:11" x14ac:dyDescent="0.25">
      <c r="A523" t="s">
        <v>239</v>
      </c>
      <c r="B523" t="s">
        <v>173</v>
      </c>
      <c r="C523" t="s">
        <v>174</v>
      </c>
      <c r="D523" t="s">
        <v>32</v>
      </c>
      <c r="E523" t="s">
        <v>74</v>
      </c>
      <c r="F523">
        <v>0.63731473594790178</v>
      </c>
      <c r="G523">
        <v>0.82462947189580349</v>
      </c>
      <c r="H523">
        <v>0.45</v>
      </c>
      <c r="I523">
        <v>425795079780</v>
      </c>
      <c r="J523">
        <v>10.95</v>
      </c>
      <c r="K523">
        <v>2</v>
      </c>
    </row>
    <row r="524" spans="1:11" x14ac:dyDescent="0.25">
      <c r="A524" t="s">
        <v>239</v>
      </c>
      <c r="B524" t="s">
        <v>101</v>
      </c>
      <c r="C524" t="s">
        <v>102</v>
      </c>
      <c r="D524" t="s">
        <v>18</v>
      </c>
      <c r="E524" t="s">
        <v>15</v>
      </c>
      <c r="F524">
        <v>0.62346669576438707</v>
      </c>
      <c r="G524">
        <v>0.64693339152877405</v>
      </c>
      <c r="H524">
        <v>0.6</v>
      </c>
      <c r="I524">
        <v>3702296600</v>
      </c>
      <c r="J524">
        <v>61.6</v>
      </c>
      <c r="K524">
        <v>3</v>
      </c>
    </row>
    <row r="525" spans="1:11" x14ac:dyDescent="0.25">
      <c r="A525" t="s">
        <v>239</v>
      </c>
      <c r="B525" t="s">
        <v>19</v>
      </c>
      <c r="C525" t="s">
        <v>20</v>
      </c>
      <c r="D525" t="s">
        <v>18</v>
      </c>
      <c r="E525" t="s">
        <v>15</v>
      </c>
      <c r="F525">
        <v>0.58170369979204706</v>
      </c>
      <c r="G525">
        <v>0.66340739958409423</v>
      </c>
      <c r="H525">
        <v>0.5</v>
      </c>
      <c r="I525">
        <v>3272130400</v>
      </c>
      <c r="J525">
        <v>298.8</v>
      </c>
      <c r="K525">
        <v>4</v>
      </c>
    </row>
    <row r="526" spans="1:11" x14ac:dyDescent="0.25">
      <c r="A526" t="s">
        <v>239</v>
      </c>
      <c r="B526" t="s">
        <v>176</v>
      </c>
      <c r="C526" t="s">
        <v>177</v>
      </c>
      <c r="D526" t="s">
        <v>32</v>
      </c>
      <c r="E526" t="s">
        <v>33</v>
      </c>
      <c r="F526">
        <v>0.57545199368255706</v>
      </c>
      <c r="G526">
        <v>0.85090398736511408</v>
      </c>
      <c r="H526">
        <v>0.3</v>
      </c>
      <c r="I526">
        <v>2289841760</v>
      </c>
      <c r="J526">
        <v>7.14</v>
      </c>
      <c r="K526">
        <v>5</v>
      </c>
    </row>
    <row r="527" spans="1:11" x14ac:dyDescent="0.25">
      <c r="A527" t="s">
        <v>239</v>
      </c>
      <c r="B527" t="s">
        <v>82</v>
      </c>
      <c r="C527" t="s">
        <v>83</v>
      </c>
      <c r="D527" t="s">
        <v>32</v>
      </c>
      <c r="E527" t="s">
        <v>39</v>
      </c>
      <c r="F527">
        <v>0.56178146364514847</v>
      </c>
      <c r="G527">
        <v>0.8235629272902969</v>
      </c>
      <c r="H527">
        <v>0.3</v>
      </c>
      <c r="I527">
        <v>39822934200</v>
      </c>
      <c r="J527">
        <v>14.65</v>
      </c>
      <c r="K527">
        <v>6</v>
      </c>
    </row>
    <row r="528" spans="1:11" x14ac:dyDescent="0.25">
      <c r="A528" t="s">
        <v>239</v>
      </c>
      <c r="B528" t="s">
        <v>88</v>
      </c>
      <c r="C528" t="s">
        <v>89</v>
      </c>
      <c r="D528" t="s">
        <v>32</v>
      </c>
      <c r="E528" t="s">
        <v>33</v>
      </c>
      <c r="F528">
        <v>0.55353833930974616</v>
      </c>
      <c r="G528">
        <v>0.90707667861949226</v>
      </c>
      <c r="H528">
        <v>0.2</v>
      </c>
      <c r="I528">
        <v>29374602060</v>
      </c>
      <c r="J528">
        <v>9.09</v>
      </c>
      <c r="K528">
        <v>7</v>
      </c>
    </row>
    <row r="529" spans="1:11" x14ac:dyDescent="0.25">
      <c r="A529" t="s">
        <v>239</v>
      </c>
      <c r="B529" t="s">
        <v>199</v>
      </c>
      <c r="C529" t="s">
        <v>200</v>
      </c>
      <c r="D529" t="s">
        <v>32</v>
      </c>
      <c r="E529" t="s">
        <v>26</v>
      </c>
      <c r="F529">
        <v>0.54763898403171518</v>
      </c>
      <c r="G529">
        <v>0.94527796806343045</v>
      </c>
      <c r="H529">
        <v>0.15</v>
      </c>
      <c r="I529">
        <v>4565438580</v>
      </c>
      <c r="J529">
        <v>11.35</v>
      </c>
      <c r="K529">
        <v>8</v>
      </c>
    </row>
    <row r="530" spans="1:11" x14ac:dyDescent="0.25">
      <c r="A530" t="s">
        <v>239</v>
      </c>
      <c r="B530" t="s">
        <v>229</v>
      </c>
      <c r="C530" t="s">
        <v>230</v>
      </c>
      <c r="D530" t="s">
        <v>18</v>
      </c>
      <c r="E530" t="s">
        <v>29</v>
      </c>
      <c r="F530">
        <v>0.5439387978456256</v>
      </c>
      <c r="G530">
        <v>0.8378775956912512</v>
      </c>
      <c r="H530">
        <v>0.25</v>
      </c>
      <c r="I530">
        <v>20185456000</v>
      </c>
      <c r="J530">
        <v>17.2</v>
      </c>
      <c r="K530">
        <v>9</v>
      </c>
    </row>
    <row r="531" spans="1:11" x14ac:dyDescent="0.25">
      <c r="A531" t="s">
        <v>239</v>
      </c>
      <c r="B531" t="s">
        <v>24</v>
      </c>
      <c r="C531" t="s">
        <v>25</v>
      </c>
      <c r="D531" t="s">
        <v>18</v>
      </c>
      <c r="E531" t="s">
        <v>26</v>
      </c>
      <c r="F531">
        <v>0.53640652400533684</v>
      </c>
      <c r="G531">
        <v>0.77281304801067363</v>
      </c>
      <c r="H531">
        <v>0.3</v>
      </c>
      <c r="I531">
        <v>8838884000</v>
      </c>
      <c r="J531">
        <v>13</v>
      </c>
      <c r="K531">
        <v>10</v>
      </c>
    </row>
    <row r="532" spans="1:11" x14ac:dyDescent="0.25">
      <c r="A532" t="s">
        <v>239</v>
      </c>
      <c r="B532" t="s">
        <v>237</v>
      </c>
      <c r="C532" t="s">
        <v>238</v>
      </c>
      <c r="D532" t="s">
        <v>32</v>
      </c>
      <c r="E532" t="s">
        <v>33</v>
      </c>
      <c r="F532">
        <v>0.52282960200400452</v>
      </c>
      <c r="G532">
        <v>0.89565920400800902</v>
      </c>
      <c r="H532">
        <v>0.15</v>
      </c>
      <c r="I532">
        <v>445135927100</v>
      </c>
      <c r="J532">
        <v>48.5</v>
      </c>
      <c r="K532">
        <v>11</v>
      </c>
    </row>
    <row r="533" spans="1:11" x14ac:dyDescent="0.25">
      <c r="A533" t="s">
        <v>239</v>
      </c>
      <c r="B533" t="s">
        <v>16</v>
      </c>
      <c r="C533" t="s">
        <v>17</v>
      </c>
      <c r="D533" t="s">
        <v>18</v>
      </c>
      <c r="E533" t="s">
        <v>15</v>
      </c>
      <c r="F533">
        <v>0.51139236665372989</v>
      </c>
      <c r="G533">
        <v>0.67278473330745991</v>
      </c>
      <c r="H533">
        <v>0.35</v>
      </c>
      <c r="I533">
        <v>16949756200</v>
      </c>
      <c r="J533">
        <v>208.2</v>
      </c>
      <c r="K533">
        <v>12</v>
      </c>
    </row>
    <row r="534" spans="1:11" x14ac:dyDescent="0.25">
      <c r="A534" t="s">
        <v>239</v>
      </c>
      <c r="B534" t="s">
        <v>122</v>
      </c>
      <c r="C534" t="s">
        <v>123</v>
      </c>
      <c r="D534" t="s">
        <v>32</v>
      </c>
      <c r="E534" t="s">
        <v>124</v>
      </c>
      <c r="F534">
        <v>0.48876380600128039</v>
      </c>
      <c r="G534">
        <v>0.67752761200256095</v>
      </c>
      <c r="H534">
        <v>0.3</v>
      </c>
      <c r="I534">
        <v>62072974100</v>
      </c>
      <c r="J534">
        <v>61.4</v>
      </c>
      <c r="K534">
        <v>13</v>
      </c>
    </row>
    <row r="535" spans="1:11" x14ac:dyDescent="0.25">
      <c r="A535" t="s">
        <v>239</v>
      </c>
      <c r="B535" t="s">
        <v>240</v>
      </c>
      <c r="C535" t="s">
        <v>241</v>
      </c>
      <c r="D535" t="s">
        <v>32</v>
      </c>
      <c r="E535" t="s">
        <v>36</v>
      </c>
      <c r="F535">
        <v>0.48690070281360692</v>
      </c>
      <c r="G535">
        <v>0.17380140562721369</v>
      </c>
      <c r="H535">
        <v>0.8</v>
      </c>
      <c r="I535">
        <v>12990621300</v>
      </c>
      <c r="J535">
        <v>39.450000000000003</v>
      </c>
      <c r="K535">
        <v>14</v>
      </c>
    </row>
    <row r="536" spans="1:11" x14ac:dyDescent="0.25">
      <c r="A536" t="s">
        <v>239</v>
      </c>
      <c r="B536" t="s">
        <v>179</v>
      </c>
      <c r="C536" t="s">
        <v>180</v>
      </c>
      <c r="D536" t="s">
        <v>32</v>
      </c>
      <c r="E536" t="s">
        <v>124</v>
      </c>
      <c r="F536">
        <v>0.48291322187634322</v>
      </c>
      <c r="G536">
        <v>0.61582644375268636</v>
      </c>
      <c r="H536">
        <v>0.35</v>
      </c>
      <c r="I536">
        <v>256467290000</v>
      </c>
      <c r="J536">
        <v>20.45</v>
      </c>
      <c r="K536">
        <v>15</v>
      </c>
    </row>
    <row r="537" spans="1:11" x14ac:dyDescent="0.25">
      <c r="A537" t="s">
        <v>239</v>
      </c>
      <c r="B537" t="s">
        <v>242</v>
      </c>
      <c r="C537" t="s">
        <v>243</v>
      </c>
      <c r="D537" t="s">
        <v>18</v>
      </c>
      <c r="E537" t="s">
        <v>33</v>
      </c>
      <c r="F537">
        <v>0.47026388883682868</v>
      </c>
      <c r="G537">
        <v>0.59052777767365738</v>
      </c>
      <c r="H537">
        <v>0.35</v>
      </c>
      <c r="I537">
        <v>14370850000</v>
      </c>
      <c r="J537">
        <v>26.5</v>
      </c>
      <c r="K537">
        <v>16</v>
      </c>
    </row>
    <row r="538" spans="1:11" x14ac:dyDescent="0.25">
      <c r="A538" t="s">
        <v>239</v>
      </c>
      <c r="B538" t="s">
        <v>86</v>
      </c>
      <c r="C538" t="s">
        <v>87</v>
      </c>
      <c r="D538" t="s">
        <v>32</v>
      </c>
      <c r="E538" t="s">
        <v>33</v>
      </c>
      <c r="F538">
        <v>0.45447214324780771</v>
      </c>
      <c r="G538">
        <v>0.30894428649561539</v>
      </c>
      <c r="H538">
        <v>0.6</v>
      </c>
      <c r="I538">
        <v>2546894000</v>
      </c>
      <c r="J538">
        <v>80.400000000000006</v>
      </c>
      <c r="K538">
        <v>17</v>
      </c>
    </row>
    <row r="539" spans="1:11" x14ac:dyDescent="0.25">
      <c r="A539" t="s">
        <v>239</v>
      </c>
      <c r="B539" t="s">
        <v>195</v>
      </c>
      <c r="C539" t="s">
        <v>196</v>
      </c>
      <c r="D539" t="s">
        <v>32</v>
      </c>
      <c r="E539" t="s">
        <v>197</v>
      </c>
      <c r="F539">
        <v>0.45303941425748873</v>
      </c>
      <c r="G539">
        <v>0.50607882851497743</v>
      </c>
      <c r="H539">
        <v>0.4</v>
      </c>
      <c r="I539">
        <v>7780150100</v>
      </c>
      <c r="J539">
        <v>17.899999999999999</v>
      </c>
      <c r="K539">
        <v>18</v>
      </c>
    </row>
    <row r="540" spans="1:11" x14ac:dyDescent="0.25">
      <c r="A540" t="s">
        <v>239</v>
      </c>
      <c r="B540" t="s">
        <v>244</v>
      </c>
      <c r="C540" t="s">
        <v>245</v>
      </c>
      <c r="D540" t="s">
        <v>32</v>
      </c>
      <c r="E540" t="s">
        <v>42</v>
      </c>
      <c r="F540">
        <v>0.4523613057622673</v>
      </c>
      <c r="G540">
        <v>0.25472261152453451</v>
      </c>
      <c r="H540">
        <v>0.65</v>
      </c>
      <c r="I540">
        <v>11327128400</v>
      </c>
      <c r="J540">
        <v>33.6</v>
      </c>
      <c r="K540">
        <v>19</v>
      </c>
    </row>
    <row r="541" spans="1:11" x14ac:dyDescent="0.25">
      <c r="A541" t="s">
        <v>239</v>
      </c>
      <c r="B541" t="s">
        <v>154</v>
      </c>
      <c r="C541" t="s">
        <v>155</v>
      </c>
      <c r="D541" t="s">
        <v>32</v>
      </c>
      <c r="E541" t="s">
        <v>39</v>
      </c>
      <c r="F541">
        <v>0.43761097446007019</v>
      </c>
      <c r="G541">
        <v>0.42522194892014048</v>
      </c>
      <c r="H541">
        <v>0.45</v>
      </c>
      <c r="I541">
        <v>116564775000</v>
      </c>
      <c r="J541">
        <v>28.15</v>
      </c>
      <c r="K541">
        <v>20</v>
      </c>
    </row>
    <row r="542" spans="1:11" x14ac:dyDescent="0.25">
      <c r="A542" t="s">
        <v>246</v>
      </c>
      <c r="B542" t="s">
        <v>24</v>
      </c>
      <c r="C542" t="s">
        <v>25</v>
      </c>
      <c r="D542" t="s">
        <v>18</v>
      </c>
      <c r="E542" t="s">
        <v>26</v>
      </c>
      <c r="F542">
        <v>0.7225986831860618</v>
      </c>
      <c r="G542">
        <v>0.89519736637212344</v>
      </c>
      <c r="H542">
        <v>0.55000000000000004</v>
      </c>
      <c r="I542">
        <v>8803367200</v>
      </c>
      <c r="J542">
        <v>14</v>
      </c>
      <c r="K542">
        <v>1</v>
      </c>
    </row>
    <row r="543" spans="1:11" x14ac:dyDescent="0.25">
      <c r="A543" t="s">
        <v>246</v>
      </c>
      <c r="B543" t="s">
        <v>176</v>
      </c>
      <c r="C543" t="s">
        <v>177</v>
      </c>
      <c r="D543" t="s">
        <v>32</v>
      </c>
      <c r="E543" t="s">
        <v>33</v>
      </c>
      <c r="F543">
        <v>0.7044287185693463</v>
      </c>
      <c r="G543">
        <v>0.90885743713869249</v>
      </c>
      <c r="H543">
        <v>0.5</v>
      </c>
      <c r="I543">
        <v>2419429580</v>
      </c>
      <c r="J543">
        <v>7.63</v>
      </c>
      <c r="K543">
        <v>2</v>
      </c>
    </row>
    <row r="544" spans="1:11" x14ac:dyDescent="0.25">
      <c r="A544" t="s">
        <v>246</v>
      </c>
      <c r="B544" t="s">
        <v>101</v>
      </c>
      <c r="C544" t="s">
        <v>102</v>
      </c>
      <c r="D544" t="s">
        <v>18</v>
      </c>
      <c r="E544" t="s">
        <v>15</v>
      </c>
      <c r="F544">
        <v>0.70000925555237692</v>
      </c>
      <c r="G544">
        <v>0.90001851110475384</v>
      </c>
      <c r="H544">
        <v>0.5</v>
      </c>
      <c r="I544">
        <v>3891524600</v>
      </c>
      <c r="J544">
        <v>67.7</v>
      </c>
      <c r="K544">
        <v>3</v>
      </c>
    </row>
    <row r="545" spans="1:11" x14ac:dyDescent="0.25">
      <c r="A545" t="s">
        <v>246</v>
      </c>
      <c r="B545" t="s">
        <v>229</v>
      </c>
      <c r="C545" t="s">
        <v>230</v>
      </c>
      <c r="D545" t="s">
        <v>18</v>
      </c>
      <c r="E545" t="s">
        <v>29</v>
      </c>
      <c r="F545">
        <v>0.69969751730896501</v>
      </c>
      <c r="G545">
        <v>0.94939503461793007</v>
      </c>
      <c r="H545">
        <v>0.45</v>
      </c>
      <c r="I545">
        <v>21395723600</v>
      </c>
      <c r="J545">
        <v>18.399999999999999</v>
      </c>
      <c r="K545">
        <v>4</v>
      </c>
    </row>
    <row r="546" spans="1:11" x14ac:dyDescent="0.25">
      <c r="A546" t="s">
        <v>246</v>
      </c>
      <c r="B546" t="s">
        <v>27</v>
      </c>
      <c r="C546" t="s">
        <v>28</v>
      </c>
      <c r="D546" t="s">
        <v>14</v>
      </c>
      <c r="E546" t="s">
        <v>29</v>
      </c>
      <c r="F546">
        <v>0.66677304927294589</v>
      </c>
      <c r="G546">
        <v>0.53354609854589174</v>
      </c>
      <c r="H546">
        <v>0.8</v>
      </c>
      <c r="I546">
        <v>4134919000</v>
      </c>
      <c r="J546">
        <v>11.1</v>
      </c>
      <c r="K546">
        <v>5</v>
      </c>
    </row>
    <row r="547" spans="1:11" x14ac:dyDescent="0.25">
      <c r="A547" t="s">
        <v>246</v>
      </c>
      <c r="B547" t="s">
        <v>19</v>
      </c>
      <c r="C547" t="s">
        <v>20</v>
      </c>
      <c r="D547" t="s">
        <v>18</v>
      </c>
      <c r="E547" t="s">
        <v>15</v>
      </c>
      <c r="F547">
        <v>0.64043796550097809</v>
      </c>
      <c r="G547">
        <v>0.78087593100195618</v>
      </c>
      <c r="H547">
        <v>0.5</v>
      </c>
      <c r="I547">
        <v>3267960800</v>
      </c>
      <c r="J547">
        <v>328.6</v>
      </c>
      <c r="K547">
        <v>6</v>
      </c>
    </row>
    <row r="548" spans="1:11" x14ac:dyDescent="0.25">
      <c r="A548" t="s">
        <v>246</v>
      </c>
      <c r="B548" t="s">
        <v>173</v>
      </c>
      <c r="C548" t="s">
        <v>174</v>
      </c>
      <c r="D548" t="s">
        <v>32</v>
      </c>
      <c r="E548" t="s">
        <v>74</v>
      </c>
      <c r="F548">
        <v>0.63755036128522691</v>
      </c>
      <c r="G548">
        <v>0.87510072257045368</v>
      </c>
      <c r="H548">
        <v>0.4</v>
      </c>
      <c r="I548">
        <v>428773128280</v>
      </c>
      <c r="J548">
        <v>11.7</v>
      </c>
      <c r="K548">
        <v>7</v>
      </c>
    </row>
    <row r="549" spans="1:11" x14ac:dyDescent="0.25">
      <c r="A549" t="s">
        <v>246</v>
      </c>
      <c r="B549" t="s">
        <v>16</v>
      </c>
      <c r="C549" t="s">
        <v>17</v>
      </c>
      <c r="D549" t="s">
        <v>18</v>
      </c>
      <c r="E549" t="s">
        <v>15</v>
      </c>
      <c r="F549">
        <v>0.6295219141990932</v>
      </c>
      <c r="G549">
        <v>0.90904382839818643</v>
      </c>
      <c r="H549">
        <v>0.35</v>
      </c>
      <c r="I549">
        <v>17093040200</v>
      </c>
      <c r="J549">
        <v>229</v>
      </c>
      <c r="K549">
        <v>8</v>
      </c>
    </row>
    <row r="550" spans="1:11" x14ac:dyDescent="0.25">
      <c r="A550" t="s">
        <v>246</v>
      </c>
      <c r="B550" t="s">
        <v>45</v>
      </c>
      <c r="C550" t="s">
        <v>46</v>
      </c>
      <c r="D550" t="s">
        <v>14</v>
      </c>
      <c r="E550" t="s">
        <v>15</v>
      </c>
      <c r="F550">
        <v>0.62911827318466873</v>
      </c>
      <c r="G550">
        <v>0.45823654636933753</v>
      </c>
      <c r="H550">
        <v>0.8</v>
      </c>
      <c r="I550">
        <v>3746448200</v>
      </c>
      <c r="J550">
        <v>20.9</v>
      </c>
      <c r="K550">
        <v>9</v>
      </c>
    </row>
    <row r="551" spans="1:11" x14ac:dyDescent="0.25">
      <c r="A551" t="s">
        <v>246</v>
      </c>
      <c r="B551" t="s">
        <v>199</v>
      </c>
      <c r="C551" t="s">
        <v>200</v>
      </c>
      <c r="D551" t="s">
        <v>32</v>
      </c>
      <c r="E551" t="s">
        <v>26</v>
      </c>
      <c r="F551">
        <v>0.62030655018621161</v>
      </c>
      <c r="G551">
        <v>0.94061310037242318</v>
      </c>
      <c r="H551">
        <v>0.3</v>
      </c>
      <c r="I551">
        <v>4482105380</v>
      </c>
      <c r="J551">
        <v>12.1</v>
      </c>
      <c r="K551">
        <v>10</v>
      </c>
    </row>
    <row r="552" spans="1:11" x14ac:dyDescent="0.25">
      <c r="A552" t="s">
        <v>246</v>
      </c>
      <c r="B552" t="s">
        <v>82</v>
      </c>
      <c r="C552" t="s">
        <v>83</v>
      </c>
      <c r="D552" t="s">
        <v>32</v>
      </c>
      <c r="E552" t="s">
        <v>39</v>
      </c>
      <c r="F552">
        <v>0.5955513818628051</v>
      </c>
      <c r="G552">
        <v>0.9411027637256103</v>
      </c>
      <c r="H552">
        <v>0.25</v>
      </c>
      <c r="I552">
        <v>42252694600</v>
      </c>
      <c r="J552">
        <v>15.65</v>
      </c>
      <c r="K552">
        <v>11</v>
      </c>
    </row>
    <row r="553" spans="1:11" x14ac:dyDescent="0.25">
      <c r="A553" t="s">
        <v>246</v>
      </c>
      <c r="B553" t="s">
        <v>247</v>
      </c>
      <c r="C553" t="s">
        <v>248</v>
      </c>
      <c r="D553" t="s">
        <v>32</v>
      </c>
      <c r="E553" t="s">
        <v>59</v>
      </c>
      <c r="F553">
        <v>0.55950882781942801</v>
      </c>
      <c r="G553">
        <v>0.719017655638856</v>
      </c>
      <c r="H553">
        <v>0.4</v>
      </c>
      <c r="I553">
        <v>26183016400</v>
      </c>
      <c r="J553">
        <v>122</v>
      </c>
      <c r="K553">
        <v>12</v>
      </c>
    </row>
    <row r="554" spans="1:11" x14ac:dyDescent="0.25">
      <c r="A554" t="s">
        <v>246</v>
      </c>
      <c r="B554" t="s">
        <v>164</v>
      </c>
      <c r="C554" t="s">
        <v>165</v>
      </c>
      <c r="D554" t="s">
        <v>32</v>
      </c>
      <c r="E554" t="s">
        <v>33</v>
      </c>
      <c r="F554">
        <v>0.55915950186110674</v>
      </c>
      <c r="G554">
        <v>0.96831900372221347</v>
      </c>
      <c r="H554">
        <v>0.15</v>
      </c>
      <c r="I554">
        <v>270040110200</v>
      </c>
      <c r="J554">
        <v>60.9</v>
      </c>
      <c r="K554">
        <v>13</v>
      </c>
    </row>
    <row r="555" spans="1:11" x14ac:dyDescent="0.25">
      <c r="A555" t="s">
        <v>246</v>
      </c>
      <c r="B555" t="s">
        <v>186</v>
      </c>
      <c r="C555" t="s">
        <v>187</v>
      </c>
      <c r="D555" t="s">
        <v>32</v>
      </c>
      <c r="E555" t="s">
        <v>74</v>
      </c>
      <c r="F555">
        <v>0.55172939372924645</v>
      </c>
      <c r="G555">
        <v>0.65345878745849295</v>
      </c>
      <c r="H555">
        <v>0.45</v>
      </c>
      <c r="I555">
        <v>11744358800</v>
      </c>
      <c r="J555">
        <v>10.1</v>
      </c>
      <c r="K555">
        <v>14</v>
      </c>
    </row>
    <row r="556" spans="1:11" x14ac:dyDescent="0.25">
      <c r="A556" t="s">
        <v>246</v>
      </c>
      <c r="B556" t="s">
        <v>232</v>
      </c>
      <c r="C556" t="s">
        <v>233</v>
      </c>
      <c r="D556" t="s">
        <v>32</v>
      </c>
      <c r="E556" t="s">
        <v>26</v>
      </c>
      <c r="F556">
        <v>0.53364703592810636</v>
      </c>
      <c r="G556">
        <v>0.9172940718562127</v>
      </c>
      <c r="H556">
        <v>0.15</v>
      </c>
      <c r="I556">
        <v>2356621240</v>
      </c>
      <c r="J556">
        <v>7.51</v>
      </c>
      <c r="K556">
        <v>15</v>
      </c>
    </row>
    <row r="557" spans="1:11" x14ac:dyDescent="0.25">
      <c r="A557" t="s">
        <v>246</v>
      </c>
      <c r="B557" t="s">
        <v>88</v>
      </c>
      <c r="C557" t="s">
        <v>89</v>
      </c>
      <c r="D557" t="s">
        <v>32</v>
      </c>
      <c r="E557" t="s">
        <v>33</v>
      </c>
      <c r="F557">
        <v>0.51957976982898468</v>
      </c>
      <c r="G557">
        <v>0.88915953965796934</v>
      </c>
      <c r="H557">
        <v>0.15</v>
      </c>
      <c r="I557">
        <v>29289093980</v>
      </c>
      <c r="J557">
        <v>9.7200000000000006</v>
      </c>
      <c r="K557">
        <v>16</v>
      </c>
    </row>
    <row r="558" spans="1:11" x14ac:dyDescent="0.25">
      <c r="A558" t="s">
        <v>246</v>
      </c>
      <c r="B558" t="s">
        <v>249</v>
      </c>
      <c r="C558" t="s">
        <v>250</v>
      </c>
      <c r="D558" t="s">
        <v>14</v>
      </c>
      <c r="E558" t="s">
        <v>251</v>
      </c>
      <c r="F558">
        <v>0.50381276777115902</v>
      </c>
      <c r="G558">
        <v>0.75762553554231793</v>
      </c>
      <c r="H558">
        <v>0.25</v>
      </c>
      <c r="I558">
        <v>26587602000</v>
      </c>
      <c r="J558">
        <v>40.700000000000003</v>
      </c>
      <c r="K558">
        <v>17</v>
      </c>
    </row>
    <row r="559" spans="1:11" x14ac:dyDescent="0.25">
      <c r="A559" t="s">
        <v>246</v>
      </c>
      <c r="B559" t="s">
        <v>237</v>
      </c>
      <c r="C559" t="s">
        <v>238</v>
      </c>
      <c r="D559" t="s">
        <v>32</v>
      </c>
      <c r="E559" t="s">
        <v>33</v>
      </c>
      <c r="F559">
        <v>0.49927543275592279</v>
      </c>
      <c r="G559">
        <v>0.89855086551184571</v>
      </c>
      <c r="H559">
        <v>0.1</v>
      </c>
      <c r="I559">
        <v>443039107700</v>
      </c>
      <c r="J559">
        <v>51.8</v>
      </c>
      <c r="K559">
        <v>18</v>
      </c>
    </row>
    <row r="560" spans="1:11" x14ac:dyDescent="0.25">
      <c r="A560" t="s">
        <v>246</v>
      </c>
      <c r="B560" t="s">
        <v>195</v>
      </c>
      <c r="C560" t="s">
        <v>196</v>
      </c>
      <c r="D560" t="s">
        <v>32</v>
      </c>
      <c r="E560" t="s">
        <v>197</v>
      </c>
      <c r="F560">
        <v>0.48838793510604378</v>
      </c>
      <c r="G560">
        <v>0.42677587021208763</v>
      </c>
      <c r="H560">
        <v>0.55000000000000004</v>
      </c>
      <c r="I560">
        <v>7747882500</v>
      </c>
      <c r="J560">
        <v>19.149999999999999</v>
      </c>
      <c r="K560">
        <v>19</v>
      </c>
    </row>
    <row r="561" spans="1:11" x14ac:dyDescent="0.25">
      <c r="A561" t="s">
        <v>246</v>
      </c>
      <c r="B561" t="s">
        <v>244</v>
      </c>
      <c r="C561" t="s">
        <v>245</v>
      </c>
      <c r="D561" t="s">
        <v>32</v>
      </c>
      <c r="E561" t="s">
        <v>42</v>
      </c>
      <c r="F561">
        <v>0.47847728651493721</v>
      </c>
      <c r="G561">
        <v>0.35695457302987432</v>
      </c>
      <c r="H561">
        <v>0.6</v>
      </c>
      <c r="I561">
        <v>11401210200</v>
      </c>
      <c r="J561">
        <v>35.950000000000003</v>
      </c>
      <c r="K561">
        <v>20</v>
      </c>
    </row>
    <row r="562" spans="1:11" x14ac:dyDescent="0.25">
      <c r="A562" t="s">
        <v>252</v>
      </c>
      <c r="B562" t="s">
        <v>101</v>
      </c>
      <c r="C562" t="s">
        <v>102</v>
      </c>
      <c r="D562" t="s">
        <v>18</v>
      </c>
      <c r="E562" t="s">
        <v>15</v>
      </c>
      <c r="F562">
        <v>0.72461823181622154</v>
      </c>
      <c r="G562">
        <v>0.74923646363244323</v>
      </c>
      <c r="H562">
        <v>0.7</v>
      </c>
      <c r="I562">
        <v>4036146400</v>
      </c>
      <c r="J562">
        <v>62.1</v>
      </c>
      <c r="K562">
        <v>1</v>
      </c>
    </row>
    <row r="563" spans="1:11" x14ac:dyDescent="0.25">
      <c r="A563" t="s">
        <v>252</v>
      </c>
      <c r="B563" t="s">
        <v>183</v>
      </c>
      <c r="C563" t="s">
        <v>184</v>
      </c>
      <c r="D563" t="s">
        <v>32</v>
      </c>
      <c r="E563" t="s">
        <v>33</v>
      </c>
      <c r="F563">
        <v>0.69642232460040809</v>
      </c>
      <c r="G563">
        <v>0.69284464920081623</v>
      </c>
      <c r="H563">
        <v>0.7</v>
      </c>
      <c r="I563">
        <v>4384294420</v>
      </c>
      <c r="J563">
        <v>2.04</v>
      </c>
      <c r="K563">
        <v>2</v>
      </c>
    </row>
    <row r="564" spans="1:11" x14ac:dyDescent="0.25">
      <c r="A564" t="s">
        <v>252</v>
      </c>
      <c r="B564" t="s">
        <v>45</v>
      </c>
      <c r="C564" t="s">
        <v>46</v>
      </c>
      <c r="D564" t="s">
        <v>14</v>
      </c>
      <c r="E564" t="s">
        <v>15</v>
      </c>
      <c r="F564">
        <v>0.68976679788187201</v>
      </c>
      <c r="G564">
        <v>0.57953359576374397</v>
      </c>
      <c r="H564">
        <v>0.8</v>
      </c>
      <c r="I564">
        <v>3756396600</v>
      </c>
      <c r="J564">
        <v>21</v>
      </c>
      <c r="K564">
        <v>3</v>
      </c>
    </row>
    <row r="565" spans="1:11" x14ac:dyDescent="0.25">
      <c r="A565" t="s">
        <v>252</v>
      </c>
      <c r="B565" t="s">
        <v>88</v>
      </c>
      <c r="C565" t="s">
        <v>89</v>
      </c>
      <c r="D565" t="s">
        <v>32</v>
      </c>
      <c r="E565" t="s">
        <v>33</v>
      </c>
      <c r="F565">
        <v>0.68765774276653757</v>
      </c>
      <c r="G565">
        <v>0.97531548553307523</v>
      </c>
      <c r="H565">
        <v>0.4</v>
      </c>
      <c r="I565">
        <v>31932231700</v>
      </c>
      <c r="J565">
        <v>10.4</v>
      </c>
      <c r="K565">
        <v>4</v>
      </c>
    </row>
    <row r="566" spans="1:11" x14ac:dyDescent="0.25">
      <c r="A566" t="s">
        <v>252</v>
      </c>
      <c r="B566" t="s">
        <v>176</v>
      </c>
      <c r="C566" t="s">
        <v>177</v>
      </c>
      <c r="D566" t="s">
        <v>32</v>
      </c>
      <c r="E566" t="s">
        <v>33</v>
      </c>
      <c r="F566">
        <v>0.67435526183345473</v>
      </c>
      <c r="G566">
        <v>0.94871052366690933</v>
      </c>
      <c r="H566">
        <v>0.4</v>
      </c>
      <c r="I566">
        <v>2582436620</v>
      </c>
      <c r="J566">
        <v>8.1199999999999992</v>
      </c>
      <c r="K566">
        <v>5</v>
      </c>
    </row>
    <row r="567" spans="1:11" x14ac:dyDescent="0.25">
      <c r="A567" t="s">
        <v>252</v>
      </c>
      <c r="B567" t="s">
        <v>19</v>
      </c>
      <c r="C567" t="s">
        <v>20</v>
      </c>
      <c r="D567" t="s">
        <v>18</v>
      </c>
      <c r="E567" t="s">
        <v>15</v>
      </c>
      <c r="F567">
        <v>0.673922497220656</v>
      </c>
      <c r="G567">
        <v>0.74784499444131203</v>
      </c>
      <c r="H567">
        <v>0.6</v>
      </c>
      <c r="I567">
        <v>3267065600</v>
      </c>
      <c r="J567">
        <v>326</v>
      </c>
      <c r="K567">
        <v>6</v>
      </c>
    </row>
    <row r="568" spans="1:11" x14ac:dyDescent="0.25">
      <c r="A568" t="s">
        <v>252</v>
      </c>
      <c r="B568" t="s">
        <v>16</v>
      </c>
      <c r="C568" t="s">
        <v>17</v>
      </c>
      <c r="D568" t="s">
        <v>18</v>
      </c>
      <c r="E568" t="s">
        <v>15</v>
      </c>
      <c r="F568">
        <v>0.6734890572168627</v>
      </c>
      <c r="G568">
        <v>0.79697811443372535</v>
      </c>
      <c r="H568">
        <v>0.55000000000000004</v>
      </c>
      <c r="I568">
        <v>17217530600</v>
      </c>
      <c r="J568">
        <v>210.4</v>
      </c>
      <c r="K568">
        <v>7</v>
      </c>
    </row>
    <row r="569" spans="1:11" x14ac:dyDescent="0.25">
      <c r="A569" t="s">
        <v>252</v>
      </c>
      <c r="B569" t="s">
        <v>173</v>
      </c>
      <c r="C569" t="s">
        <v>174</v>
      </c>
      <c r="D569" t="s">
        <v>32</v>
      </c>
      <c r="E569" t="s">
        <v>74</v>
      </c>
      <c r="F569">
        <v>0.64411314591182312</v>
      </c>
      <c r="G569">
        <v>0.93822629182364625</v>
      </c>
      <c r="H569">
        <v>0.35</v>
      </c>
      <c r="I569">
        <v>451871751480</v>
      </c>
      <c r="J569">
        <v>12.15</v>
      </c>
      <c r="K569">
        <v>8</v>
      </c>
    </row>
    <row r="570" spans="1:11" x14ac:dyDescent="0.25">
      <c r="A570" t="s">
        <v>252</v>
      </c>
      <c r="B570" t="s">
        <v>229</v>
      </c>
      <c r="C570" t="s">
        <v>230</v>
      </c>
      <c r="D570" t="s">
        <v>18</v>
      </c>
      <c r="E570" t="s">
        <v>29</v>
      </c>
      <c r="F570">
        <v>0.62645735827706661</v>
      </c>
      <c r="G570">
        <v>0.8529147165541332</v>
      </c>
      <c r="H570">
        <v>0.4</v>
      </c>
      <c r="I570">
        <v>21527182200</v>
      </c>
      <c r="J570">
        <v>18.2</v>
      </c>
      <c r="K570">
        <v>9</v>
      </c>
    </row>
    <row r="571" spans="1:11" x14ac:dyDescent="0.25">
      <c r="A571" t="s">
        <v>252</v>
      </c>
      <c r="B571" t="s">
        <v>179</v>
      </c>
      <c r="C571" t="s">
        <v>180</v>
      </c>
      <c r="D571" t="s">
        <v>32</v>
      </c>
      <c r="E571" t="s">
        <v>124</v>
      </c>
      <c r="F571">
        <v>0.59723301640453208</v>
      </c>
      <c r="G571">
        <v>0.84446603280906418</v>
      </c>
      <c r="H571">
        <v>0.35</v>
      </c>
      <c r="I571">
        <v>265474835000</v>
      </c>
      <c r="J571">
        <v>22.85</v>
      </c>
      <c r="K571">
        <v>10</v>
      </c>
    </row>
    <row r="572" spans="1:11" x14ac:dyDescent="0.25">
      <c r="A572" t="s">
        <v>252</v>
      </c>
      <c r="B572" t="s">
        <v>24</v>
      </c>
      <c r="C572" t="s">
        <v>25</v>
      </c>
      <c r="D572" t="s">
        <v>18</v>
      </c>
      <c r="E572" t="s">
        <v>26</v>
      </c>
      <c r="F572">
        <v>0.59101081037079817</v>
      </c>
      <c r="G572">
        <v>0.83202162074159636</v>
      </c>
      <c r="H572">
        <v>0.35</v>
      </c>
      <c r="I572">
        <v>8697230800</v>
      </c>
      <c r="J572">
        <v>13.8</v>
      </c>
      <c r="K572">
        <v>11</v>
      </c>
    </row>
    <row r="573" spans="1:11" x14ac:dyDescent="0.25">
      <c r="A573" t="s">
        <v>252</v>
      </c>
      <c r="B573" t="s">
        <v>253</v>
      </c>
      <c r="C573" t="s">
        <v>254</v>
      </c>
      <c r="D573" t="s">
        <v>32</v>
      </c>
      <c r="E573" t="s">
        <v>15</v>
      </c>
      <c r="F573">
        <v>0.58885865834201145</v>
      </c>
      <c r="G573">
        <v>0.67771731668402291</v>
      </c>
      <c r="H573">
        <v>0.5</v>
      </c>
      <c r="I573">
        <v>2049666860</v>
      </c>
      <c r="J573">
        <v>4</v>
      </c>
      <c r="K573">
        <v>12</v>
      </c>
    </row>
    <row r="574" spans="1:11" x14ac:dyDescent="0.25">
      <c r="A574" t="s">
        <v>252</v>
      </c>
      <c r="B574" t="s">
        <v>99</v>
      </c>
      <c r="C574" t="s">
        <v>100</v>
      </c>
      <c r="D574" t="s">
        <v>32</v>
      </c>
      <c r="E574" t="s">
        <v>29</v>
      </c>
      <c r="F574">
        <v>0.58775178721367971</v>
      </c>
      <c r="G574">
        <v>0.62550357442735938</v>
      </c>
      <c r="H574">
        <v>0.55000000000000004</v>
      </c>
      <c r="I574">
        <v>49942125100</v>
      </c>
      <c r="J574">
        <v>51.2</v>
      </c>
      <c r="K574">
        <v>13</v>
      </c>
    </row>
    <row r="575" spans="1:11" x14ac:dyDescent="0.25">
      <c r="A575" t="s">
        <v>252</v>
      </c>
      <c r="B575" t="s">
        <v>255</v>
      </c>
      <c r="C575" t="s">
        <v>256</v>
      </c>
      <c r="D575" t="s">
        <v>32</v>
      </c>
      <c r="E575" t="s">
        <v>59</v>
      </c>
      <c r="F575">
        <v>0.58620200418771717</v>
      </c>
      <c r="G575">
        <v>0.82240400837543426</v>
      </c>
      <c r="H575">
        <v>0.35</v>
      </c>
      <c r="I575">
        <v>4269606300</v>
      </c>
      <c r="J575">
        <v>34.5</v>
      </c>
      <c r="K575">
        <v>14</v>
      </c>
    </row>
    <row r="576" spans="1:11" x14ac:dyDescent="0.25">
      <c r="A576" t="s">
        <v>252</v>
      </c>
      <c r="B576" t="s">
        <v>257</v>
      </c>
      <c r="C576" t="s">
        <v>258</v>
      </c>
      <c r="D576" t="s">
        <v>14</v>
      </c>
      <c r="E576" t="s">
        <v>259</v>
      </c>
      <c r="F576">
        <v>0.58271080601694214</v>
      </c>
      <c r="G576">
        <v>0.96542161203388421</v>
      </c>
      <c r="H576">
        <v>0.2</v>
      </c>
      <c r="I576">
        <v>2310878800</v>
      </c>
      <c r="J576">
        <v>10.6</v>
      </c>
      <c r="K576">
        <v>15</v>
      </c>
    </row>
    <row r="577" spans="1:11" x14ac:dyDescent="0.25">
      <c r="A577" t="s">
        <v>252</v>
      </c>
      <c r="B577" t="s">
        <v>199</v>
      </c>
      <c r="C577" t="s">
        <v>200</v>
      </c>
      <c r="D577" t="s">
        <v>32</v>
      </c>
      <c r="E577" t="s">
        <v>26</v>
      </c>
      <c r="F577">
        <v>0.5802325883241658</v>
      </c>
      <c r="G577">
        <v>0.96046517664833153</v>
      </c>
      <c r="H577">
        <v>0.2</v>
      </c>
      <c r="I577">
        <v>4481124560</v>
      </c>
      <c r="J577">
        <v>12.45</v>
      </c>
      <c r="K577">
        <v>16</v>
      </c>
    </row>
    <row r="578" spans="1:11" x14ac:dyDescent="0.25">
      <c r="A578" t="s">
        <v>252</v>
      </c>
      <c r="B578" t="s">
        <v>247</v>
      </c>
      <c r="C578" t="s">
        <v>248</v>
      </c>
      <c r="D578" t="s">
        <v>32</v>
      </c>
      <c r="E578" t="s">
        <v>59</v>
      </c>
      <c r="F578">
        <v>0.57030004924844779</v>
      </c>
      <c r="G578">
        <v>0.7906000984968955</v>
      </c>
      <c r="H578">
        <v>0.35</v>
      </c>
      <c r="I578">
        <v>26359562000</v>
      </c>
      <c r="J578">
        <v>124.8</v>
      </c>
      <c r="K578">
        <v>17</v>
      </c>
    </row>
    <row r="579" spans="1:11" x14ac:dyDescent="0.25">
      <c r="A579" t="s">
        <v>252</v>
      </c>
      <c r="B579" t="s">
        <v>27</v>
      </c>
      <c r="C579" t="s">
        <v>28</v>
      </c>
      <c r="D579" t="s">
        <v>14</v>
      </c>
      <c r="E579" t="s">
        <v>29</v>
      </c>
      <c r="F579">
        <v>0.56269261009749627</v>
      </c>
      <c r="G579">
        <v>0.42538522019499247</v>
      </c>
      <c r="H579">
        <v>0.7</v>
      </c>
      <c r="I579">
        <v>4133405000</v>
      </c>
      <c r="J579">
        <v>11</v>
      </c>
      <c r="K579">
        <v>18</v>
      </c>
    </row>
    <row r="580" spans="1:11" x14ac:dyDescent="0.25">
      <c r="A580" t="s">
        <v>252</v>
      </c>
      <c r="B580" t="s">
        <v>232</v>
      </c>
      <c r="C580" t="s">
        <v>233</v>
      </c>
      <c r="D580" t="s">
        <v>32</v>
      </c>
      <c r="E580" t="s">
        <v>26</v>
      </c>
      <c r="F580">
        <v>0.55187928232752015</v>
      </c>
      <c r="G580">
        <v>0.90375856465504034</v>
      </c>
      <c r="H580">
        <v>0.2</v>
      </c>
      <c r="I580">
        <v>2421376540</v>
      </c>
      <c r="J580">
        <v>7.8</v>
      </c>
      <c r="K580">
        <v>19</v>
      </c>
    </row>
    <row r="581" spans="1:11" x14ac:dyDescent="0.25">
      <c r="A581" t="s">
        <v>252</v>
      </c>
      <c r="B581" t="s">
        <v>154</v>
      </c>
      <c r="C581" t="s">
        <v>155</v>
      </c>
      <c r="D581" t="s">
        <v>32</v>
      </c>
      <c r="E581" t="s">
        <v>39</v>
      </c>
      <c r="F581">
        <v>0.55031036739982642</v>
      </c>
      <c r="G581">
        <v>0.70062073479965281</v>
      </c>
      <c r="H581">
        <v>0.4</v>
      </c>
      <c r="I581">
        <v>117829246400</v>
      </c>
      <c r="J581">
        <v>31.3</v>
      </c>
      <c r="K581">
        <v>20</v>
      </c>
    </row>
    <row r="582" spans="1:11" x14ac:dyDescent="0.25">
      <c r="A582" t="s">
        <v>260</v>
      </c>
      <c r="B582" t="s">
        <v>199</v>
      </c>
      <c r="C582" t="s">
        <v>200</v>
      </c>
      <c r="D582" t="s">
        <v>32</v>
      </c>
      <c r="E582" t="s">
        <v>26</v>
      </c>
      <c r="F582">
        <v>0.76424829726850407</v>
      </c>
      <c r="G582">
        <v>0.9784965945370081</v>
      </c>
      <c r="H582">
        <v>0.55000000000000004</v>
      </c>
      <c r="I582">
        <v>4381393640</v>
      </c>
      <c r="J582">
        <v>13.3</v>
      </c>
      <c r="K582">
        <v>1</v>
      </c>
    </row>
    <row r="583" spans="1:11" x14ac:dyDescent="0.25">
      <c r="A583" t="s">
        <v>260</v>
      </c>
      <c r="B583" t="s">
        <v>162</v>
      </c>
      <c r="C583" t="s">
        <v>163</v>
      </c>
      <c r="D583" t="s">
        <v>32</v>
      </c>
      <c r="E583" t="s">
        <v>29</v>
      </c>
      <c r="F583">
        <v>0.7629765354563105</v>
      </c>
      <c r="G583">
        <v>0.77595307091262111</v>
      </c>
      <c r="H583">
        <v>0.75</v>
      </c>
      <c r="I583">
        <v>489010585880</v>
      </c>
      <c r="J583">
        <v>12.7</v>
      </c>
      <c r="K583">
        <v>2</v>
      </c>
    </row>
    <row r="584" spans="1:11" x14ac:dyDescent="0.25">
      <c r="A584" t="s">
        <v>260</v>
      </c>
      <c r="B584" t="s">
        <v>84</v>
      </c>
      <c r="C584" t="s">
        <v>85</v>
      </c>
      <c r="D584" t="s">
        <v>14</v>
      </c>
      <c r="E584" t="s">
        <v>42</v>
      </c>
      <c r="F584">
        <v>0.752986413500075</v>
      </c>
      <c r="G584">
        <v>0.65597282700015014</v>
      </c>
      <c r="H584">
        <v>0.85</v>
      </c>
      <c r="I584">
        <v>9557422800</v>
      </c>
      <c r="J584">
        <v>125</v>
      </c>
      <c r="K584">
        <v>3</v>
      </c>
    </row>
    <row r="585" spans="1:11" x14ac:dyDescent="0.25">
      <c r="A585" t="s">
        <v>260</v>
      </c>
      <c r="B585" t="s">
        <v>176</v>
      </c>
      <c r="C585" t="s">
        <v>177</v>
      </c>
      <c r="D585" t="s">
        <v>32</v>
      </c>
      <c r="E585" t="s">
        <v>33</v>
      </c>
      <c r="F585">
        <v>0.72111352195143485</v>
      </c>
      <c r="G585">
        <v>0.9422270439028696</v>
      </c>
      <c r="H585">
        <v>0.5</v>
      </c>
      <c r="I585">
        <v>2712738380</v>
      </c>
      <c r="J585">
        <v>8.25</v>
      </c>
      <c r="K585">
        <v>4</v>
      </c>
    </row>
    <row r="586" spans="1:11" x14ac:dyDescent="0.25">
      <c r="A586" t="s">
        <v>260</v>
      </c>
      <c r="B586" t="s">
        <v>45</v>
      </c>
      <c r="C586" t="s">
        <v>46</v>
      </c>
      <c r="D586" t="s">
        <v>14</v>
      </c>
      <c r="E586" t="s">
        <v>15</v>
      </c>
      <c r="F586">
        <v>0.68546655747676954</v>
      </c>
      <c r="G586">
        <v>0.6209331149535392</v>
      </c>
      <c r="H586">
        <v>0.75</v>
      </c>
      <c r="I586">
        <v>3724789600</v>
      </c>
      <c r="J586">
        <v>22</v>
      </c>
      <c r="K586">
        <v>5</v>
      </c>
    </row>
    <row r="587" spans="1:11" x14ac:dyDescent="0.25">
      <c r="A587" t="s">
        <v>260</v>
      </c>
      <c r="B587" t="s">
        <v>101</v>
      </c>
      <c r="C587" t="s">
        <v>102</v>
      </c>
      <c r="D587" t="s">
        <v>18</v>
      </c>
      <c r="E587" t="s">
        <v>15</v>
      </c>
      <c r="F587">
        <v>0.67072628997733563</v>
      </c>
      <c r="G587">
        <v>0.69145257995467113</v>
      </c>
      <c r="H587">
        <v>0.65</v>
      </c>
      <c r="I587">
        <v>4079937400</v>
      </c>
      <c r="J587">
        <v>62.2</v>
      </c>
      <c r="K587">
        <v>6</v>
      </c>
    </row>
    <row r="588" spans="1:11" x14ac:dyDescent="0.25">
      <c r="A588" t="s">
        <v>260</v>
      </c>
      <c r="B588" t="s">
        <v>257</v>
      </c>
      <c r="C588" t="s">
        <v>258</v>
      </c>
      <c r="D588" t="s">
        <v>14</v>
      </c>
      <c r="E588" t="s">
        <v>259</v>
      </c>
      <c r="F588">
        <v>0.66731752265072042</v>
      </c>
      <c r="G588">
        <v>0.88463504530144077</v>
      </c>
      <c r="H588">
        <v>0.45</v>
      </c>
      <c r="I588">
        <v>2341708400</v>
      </c>
      <c r="J588">
        <v>10.3</v>
      </c>
      <c r="K588">
        <v>7</v>
      </c>
    </row>
    <row r="589" spans="1:11" x14ac:dyDescent="0.25">
      <c r="A589" t="s">
        <v>260</v>
      </c>
      <c r="B589" t="s">
        <v>261</v>
      </c>
      <c r="C589" t="s">
        <v>262</v>
      </c>
      <c r="D589" t="s">
        <v>32</v>
      </c>
      <c r="E589" t="s">
        <v>42</v>
      </c>
      <c r="F589">
        <v>0.66411878793936507</v>
      </c>
      <c r="G589">
        <v>0.82823757587873004</v>
      </c>
      <c r="H589">
        <v>0.5</v>
      </c>
      <c r="I589">
        <v>124760989000</v>
      </c>
      <c r="J589">
        <v>54</v>
      </c>
      <c r="K589">
        <v>8</v>
      </c>
    </row>
    <row r="590" spans="1:11" x14ac:dyDescent="0.25">
      <c r="A590" t="s">
        <v>260</v>
      </c>
      <c r="B590" t="s">
        <v>173</v>
      </c>
      <c r="C590" t="s">
        <v>174</v>
      </c>
      <c r="D590" t="s">
        <v>32</v>
      </c>
      <c r="E590" t="s">
        <v>74</v>
      </c>
      <c r="F590">
        <v>0.66190774297057919</v>
      </c>
      <c r="G590">
        <v>0.87381548594115832</v>
      </c>
      <c r="H590">
        <v>0.45</v>
      </c>
      <c r="I590">
        <v>461532541780</v>
      </c>
      <c r="J590">
        <v>12.15</v>
      </c>
      <c r="K590">
        <v>9</v>
      </c>
    </row>
    <row r="591" spans="1:11" x14ac:dyDescent="0.25">
      <c r="A591" t="s">
        <v>260</v>
      </c>
      <c r="B591" t="s">
        <v>88</v>
      </c>
      <c r="C591" t="s">
        <v>89</v>
      </c>
      <c r="D591" t="s">
        <v>32</v>
      </c>
      <c r="E591" t="s">
        <v>33</v>
      </c>
      <c r="F591">
        <v>0.66045953627907306</v>
      </c>
      <c r="G591">
        <v>0.97091907255814602</v>
      </c>
      <c r="H591">
        <v>0.35</v>
      </c>
      <c r="I591">
        <v>32916007220</v>
      </c>
      <c r="J591">
        <v>10.9</v>
      </c>
      <c r="K591">
        <v>10</v>
      </c>
    </row>
    <row r="592" spans="1:11" x14ac:dyDescent="0.25">
      <c r="A592" t="s">
        <v>260</v>
      </c>
      <c r="B592" t="s">
        <v>263</v>
      </c>
      <c r="C592" t="s">
        <v>264</v>
      </c>
      <c r="D592" t="s">
        <v>32</v>
      </c>
      <c r="E592" t="s">
        <v>259</v>
      </c>
      <c r="F592">
        <v>0.6349660223517718</v>
      </c>
      <c r="G592">
        <v>0.91993204470354362</v>
      </c>
      <c r="H592">
        <v>0.35</v>
      </c>
      <c r="I592">
        <v>63741941700</v>
      </c>
      <c r="J592">
        <v>31.25</v>
      </c>
      <c r="K592">
        <v>11</v>
      </c>
    </row>
    <row r="593" spans="1:11" x14ac:dyDescent="0.25">
      <c r="A593" t="s">
        <v>260</v>
      </c>
      <c r="B593" t="s">
        <v>16</v>
      </c>
      <c r="C593" t="s">
        <v>17</v>
      </c>
      <c r="D593" t="s">
        <v>18</v>
      </c>
      <c r="E593" t="s">
        <v>15</v>
      </c>
      <c r="F593">
        <v>0.63300077197947957</v>
      </c>
      <c r="G593">
        <v>0.76600154395895914</v>
      </c>
      <c r="H593">
        <v>0.5</v>
      </c>
      <c r="I593">
        <v>17328548600</v>
      </c>
      <c r="J593">
        <v>221</v>
      </c>
      <c r="K593">
        <v>12</v>
      </c>
    </row>
    <row r="594" spans="1:11" x14ac:dyDescent="0.25">
      <c r="A594" t="s">
        <v>260</v>
      </c>
      <c r="B594" t="s">
        <v>122</v>
      </c>
      <c r="C594" t="s">
        <v>123</v>
      </c>
      <c r="D594" t="s">
        <v>32</v>
      </c>
      <c r="E594" t="s">
        <v>124</v>
      </c>
      <c r="F594">
        <v>0.60700783693589944</v>
      </c>
      <c r="G594">
        <v>0.96401567387179887</v>
      </c>
      <c r="H594">
        <v>0.25</v>
      </c>
      <c r="I594">
        <v>67432271700</v>
      </c>
      <c r="J594">
        <v>75</v>
      </c>
      <c r="K594">
        <v>13</v>
      </c>
    </row>
    <row r="595" spans="1:11" x14ac:dyDescent="0.25">
      <c r="A595" t="s">
        <v>260</v>
      </c>
      <c r="B595" t="s">
        <v>247</v>
      </c>
      <c r="C595" t="s">
        <v>248</v>
      </c>
      <c r="D595" t="s">
        <v>32</v>
      </c>
      <c r="E595" t="s">
        <v>59</v>
      </c>
      <c r="F595">
        <v>0.60290037464185131</v>
      </c>
      <c r="G595">
        <v>0.70580074928370251</v>
      </c>
      <c r="H595">
        <v>0.5</v>
      </c>
      <c r="I595">
        <v>26130016400</v>
      </c>
      <c r="J595">
        <v>124.8</v>
      </c>
      <c r="K595">
        <v>14</v>
      </c>
    </row>
    <row r="596" spans="1:11" x14ac:dyDescent="0.25">
      <c r="A596" t="s">
        <v>260</v>
      </c>
      <c r="B596" t="s">
        <v>183</v>
      </c>
      <c r="C596" t="s">
        <v>184</v>
      </c>
      <c r="D596" t="s">
        <v>32</v>
      </c>
      <c r="E596" t="s">
        <v>33</v>
      </c>
      <c r="F596">
        <v>0.59828461016955115</v>
      </c>
      <c r="G596">
        <v>0.59656922033910231</v>
      </c>
      <c r="H596">
        <v>0.6</v>
      </c>
      <c r="I596">
        <v>4406007260</v>
      </c>
      <c r="J596">
        <v>2.06</v>
      </c>
      <c r="K596">
        <v>15</v>
      </c>
    </row>
    <row r="597" spans="1:11" x14ac:dyDescent="0.25">
      <c r="A597" t="s">
        <v>260</v>
      </c>
      <c r="B597" t="s">
        <v>82</v>
      </c>
      <c r="C597" t="s">
        <v>83</v>
      </c>
      <c r="D597" t="s">
        <v>32</v>
      </c>
      <c r="E597" t="s">
        <v>39</v>
      </c>
      <c r="F597">
        <v>0.59635467159248423</v>
      </c>
      <c r="G597">
        <v>0.89270934318496853</v>
      </c>
      <c r="H597">
        <v>0.3</v>
      </c>
      <c r="I597">
        <v>42424573800</v>
      </c>
      <c r="J597">
        <v>15.85</v>
      </c>
      <c r="K597">
        <v>16</v>
      </c>
    </row>
    <row r="598" spans="1:11" x14ac:dyDescent="0.25">
      <c r="A598" t="s">
        <v>260</v>
      </c>
      <c r="B598" t="s">
        <v>179</v>
      </c>
      <c r="C598" t="s">
        <v>180</v>
      </c>
      <c r="D598" t="s">
        <v>32</v>
      </c>
      <c r="E598" t="s">
        <v>124</v>
      </c>
      <c r="F598">
        <v>0.59522932989486221</v>
      </c>
      <c r="G598">
        <v>0.89045865978972438</v>
      </c>
      <c r="H598">
        <v>0.3</v>
      </c>
      <c r="I598">
        <v>263416027400</v>
      </c>
      <c r="J598">
        <v>24.4</v>
      </c>
      <c r="K598">
        <v>17</v>
      </c>
    </row>
    <row r="599" spans="1:11" x14ac:dyDescent="0.25">
      <c r="A599" t="s">
        <v>260</v>
      </c>
      <c r="B599" t="s">
        <v>232</v>
      </c>
      <c r="C599" t="s">
        <v>233</v>
      </c>
      <c r="D599" t="s">
        <v>32</v>
      </c>
      <c r="E599" t="s">
        <v>26</v>
      </c>
      <c r="F599">
        <v>0.57168983130315398</v>
      </c>
      <c r="G599">
        <v>0.84337966260630803</v>
      </c>
      <c r="H599">
        <v>0.3</v>
      </c>
      <c r="I599">
        <v>2456273940</v>
      </c>
      <c r="J599">
        <v>7.7</v>
      </c>
      <c r="K599">
        <v>18</v>
      </c>
    </row>
    <row r="600" spans="1:11" x14ac:dyDescent="0.25">
      <c r="A600" t="s">
        <v>260</v>
      </c>
      <c r="B600" t="s">
        <v>24</v>
      </c>
      <c r="C600" t="s">
        <v>25</v>
      </c>
      <c r="D600" t="s">
        <v>18</v>
      </c>
      <c r="E600" t="s">
        <v>26</v>
      </c>
      <c r="F600">
        <v>0.56361449222058446</v>
      </c>
      <c r="G600">
        <v>0.82722898444116899</v>
      </c>
      <c r="H600">
        <v>0.3</v>
      </c>
      <c r="I600">
        <v>8784926800</v>
      </c>
      <c r="J600">
        <v>13.8</v>
      </c>
      <c r="K600">
        <v>19</v>
      </c>
    </row>
    <row r="601" spans="1:11" x14ac:dyDescent="0.25">
      <c r="A601" t="s">
        <v>260</v>
      </c>
      <c r="B601" t="s">
        <v>99</v>
      </c>
      <c r="C601" t="s">
        <v>100</v>
      </c>
      <c r="D601" t="s">
        <v>32</v>
      </c>
      <c r="E601" t="s">
        <v>29</v>
      </c>
      <c r="F601">
        <v>0.55041208770505423</v>
      </c>
      <c r="G601">
        <v>0.55082417541010831</v>
      </c>
      <c r="H601">
        <v>0.55000000000000004</v>
      </c>
      <c r="I601">
        <v>50843776400</v>
      </c>
      <c r="J601">
        <v>51.8</v>
      </c>
      <c r="K601">
        <v>20</v>
      </c>
    </row>
    <row r="602" spans="1:11" x14ac:dyDescent="0.25">
      <c r="A602" t="s">
        <v>265</v>
      </c>
      <c r="B602" t="s">
        <v>261</v>
      </c>
      <c r="C602" t="s">
        <v>262</v>
      </c>
      <c r="D602" t="s">
        <v>32</v>
      </c>
      <c r="E602" t="s">
        <v>42</v>
      </c>
      <c r="F602">
        <v>0.77354315520790595</v>
      </c>
      <c r="G602">
        <v>0.94708631041581204</v>
      </c>
      <c r="H602">
        <v>0.6</v>
      </c>
      <c r="I602">
        <v>126423207400</v>
      </c>
      <c r="J602">
        <v>57.6</v>
      </c>
      <c r="K602">
        <v>1</v>
      </c>
    </row>
    <row r="603" spans="1:11" x14ac:dyDescent="0.25">
      <c r="A603" t="s">
        <v>265</v>
      </c>
      <c r="B603" t="s">
        <v>162</v>
      </c>
      <c r="C603" t="s">
        <v>163</v>
      </c>
      <c r="D603" t="s">
        <v>32</v>
      </c>
      <c r="E603" t="s">
        <v>29</v>
      </c>
      <c r="F603">
        <v>0.74104875168498707</v>
      </c>
      <c r="G603">
        <v>0.73209750336997403</v>
      </c>
      <c r="H603">
        <v>0.75</v>
      </c>
      <c r="I603">
        <v>499806362120</v>
      </c>
      <c r="J603">
        <v>12.6</v>
      </c>
      <c r="K603">
        <v>2</v>
      </c>
    </row>
    <row r="604" spans="1:11" x14ac:dyDescent="0.25">
      <c r="A604" t="s">
        <v>265</v>
      </c>
      <c r="B604" t="s">
        <v>199</v>
      </c>
      <c r="C604" t="s">
        <v>200</v>
      </c>
      <c r="D604" t="s">
        <v>32</v>
      </c>
      <c r="E604" t="s">
        <v>26</v>
      </c>
      <c r="F604">
        <v>0.72003995064074011</v>
      </c>
      <c r="G604">
        <v>0.99007990128148016</v>
      </c>
      <c r="H604">
        <v>0.45</v>
      </c>
      <c r="I604">
        <v>4583667840</v>
      </c>
      <c r="J604">
        <v>14.15</v>
      </c>
      <c r="K604">
        <v>3</v>
      </c>
    </row>
    <row r="605" spans="1:11" x14ac:dyDescent="0.25">
      <c r="A605" t="s">
        <v>265</v>
      </c>
      <c r="B605" t="s">
        <v>16</v>
      </c>
      <c r="C605" t="s">
        <v>17</v>
      </c>
      <c r="D605" t="s">
        <v>18</v>
      </c>
      <c r="E605" t="s">
        <v>15</v>
      </c>
      <c r="F605">
        <v>0.71180009466110417</v>
      </c>
      <c r="G605">
        <v>0.77360018932220831</v>
      </c>
      <c r="H605">
        <v>0.65</v>
      </c>
      <c r="I605">
        <v>17400052600</v>
      </c>
      <c r="J605">
        <v>215</v>
      </c>
      <c r="K605">
        <v>4</v>
      </c>
    </row>
    <row r="606" spans="1:11" x14ac:dyDescent="0.25">
      <c r="A606" t="s">
        <v>265</v>
      </c>
      <c r="B606" t="s">
        <v>45</v>
      </c>
      <c r="C606" t="s">
        <v>46</v>
      </c>
      <c r="D606" t="s">
        <v>14</v>
      </c>
      <c r="E606" t="s">
        <v>15</v>
      </c>
      <c r="F606">
        <v>0.68672732004649051</v>
      </c>
      <c r="G606">
        <v>0.62345464009298102</v>
      </c>
      <c r="H606">
        <v>0.75</v>
      </c>
      <c r="I606">
        <v>3732925200</v>
      </c>
      <c r="J606">
        <v>21.5</v>
      </c>
      <c r="K606">
        <v>5</v>
      </c>
    </row>
    <row r="607" spans="1:11" x14ac:dyDescent="0.25">
      <c r="A607" t="s">
        <v>265</v>
      </c>
      <c r="B607" t="s">
        <v>122</v>
      </c>
      <c r="C607" t="s">
        <v>123</v>
      </c>
      <c r="D607" t="s">
        <v>32</v>
      </c>
      <c r="E607" t="s">
        <v>124</v>
      </c>
      <c r="F607">
        <v>0.66691175473035114</v>
      </c>
      <c r="G607">
        <v>0.98382350946070229</v>
      </c>
      <c r="H607">
        <v>0.35</v>
      </c>
      <c r="I607">
        <v>70799208200</v>
      </c>
      <c r="J607">
        <v>80.2</v>
      </c>
      <c r="K607">
        <v>6</v>
      </c>
    </row>
    <row r="608" spans="1:11" x14ac:dyDescent="0.25">
      <c r="A608" t="s">
        <v>265</v>
      </c>
      <c r="B608" t="s">
        <v>183</v>
      </c>
      <c r="C608" t="s">
        <v>184</v>
      </c>
      <c r="D608" t="s">
        <v>32</v>
      </c>
      <c r="E608" t="s">
        <v>33</v>
      </c>
      <c r="F608">
        <v>0.66358456406804955</v>
      </c>
      <c r="G608">
        <v>0.67716912813609909</v>
      </c>
      <c r="H608">
        <v>0.65</v>
      </c>
      <c r="I608">
        <v>4400287900</v>
      </c>
      <c r="J608">
        <v>2.0699999999999998</v>
      </c>
      <c r="K608">
        <v>7</v>
      </c>
    </row>
    <row r="609" spans="1:11" x14ac:dyDescent="0.25">
      <c r="A609" t="s">
        <v>265</v>
      </c>
      <c r="B609" t="s">
        <v>82</v>
      </c>
      <c r="C609" t="s">
        <v>83</v>
      </c>
      <c r="D609" t="s">
        <v>32</v>
      </c>
      <c r="E609" t="s">
        <v>39</v>
      </c>
      <c r="F609">
        <v>0.66222090775191123</v>
      </c>
      <c r="G609">
        <v>0.92444181550382232</v>
      </c>
      <c r="H609">
        <v>0.4</v>
      </c>
      <c r="I609">
        <v>43525473800</v>
      </c>
      <c r="J609">
        <v>16</v>
      </c>
      <c r="K609">
        <v>8</v>
      </c>
    </row>
    <row r="610" spans="1:11" x14ac:dyDescent="0.25">
      <c r="A610" t="s">
        <v>265</v>
      </c>
      <c r="B610" t="s">
        <v>88</v>
      </c>
      <c r="C610" t="s">
        <v>89</v>
      </c>
      <c r="D610" t="s">
        <v>32</v>
      </c>
      <c r="E610" t="s">
        <v>33</v>
      </c>
      <c r="F610">
        <v>0.65080665930773129</v>
      </c>
      <c r="G610">
        <v>0.95161331861546261</v>
      </c>
      <c r="H610">
        <v>0.35</v>
      </c>
      <c r="I610">
        <v>34055358320</v>
      </c>
      <c r="J610">
        <v>10.5</v>
      </c>
      <c r="K610">
        <v>9</v>
      </c>
    </row>
    <row r="611" spans="1:11" x14ac:dyDescent="0.25">
      <c r="A611" t="s">
        <v>265</v>
      </c>
      <c r="B611" t="s">
        <v>257</v>
      </c>
      <c r="C611" t="s">
        <v>258</v>
      </c>
      <c r="D611" t="s">
        <v>14</v>
      </c>
      <c r="E611" t="s">
        <v>259</v>
      </c>
      <c r="F611">
        <v>0.64284165229462953</v>
      </c>
      <c r="G611">
        <v>0.8356833045892591</v>
      </c>
      <c r="H611">
        <v>0.45</v>
      </c>
      <c r="I611">
        <v>2377917000</v>
      </c>
      <c r="J611">
        <v>10</v>
      </c>
      <c r="K611">
        <v>10</v>
      </c>
    </row>
    <row r="612" spans="1:11" x14ac:dyDescent="0.25">
      <c r="A612" t="s">
        <v>265</v>
      </c>
      <c r="B612" t="s">
        <v>179</v>
      </c>
      <c r="C612" t="s">
        <v>180</v>
      </c>
      <c r="D612" t="s">
        <v>32</v>
      </c>
      <c r="E612" t="s">
        <v>124</v>
      </c>
      <c r="F612">
        <v>0.6404198326495707</v>
      </c>
      <c r="G612">
        <v>0.93083966529914153</v>
      </c>
      <c r="H612">
        <v>0.35</v>
      </c>
      <c r="I612">
        <v>267340491900</v>
      </c>
      <c r="J612">
        <v>25.15</v>
      </c>
      <c r="K612">
        <v>11</v>
      </c>
    </row>
    <row r="613" spans="1:11" x14ac:dyDescent="0.25">
      <c r="A613" t="s">
        <v>265</v>
      </c>
      <c r="B613" t="s">
        <v>173</v>
      </c>
      <c r="C613" t="s">
        <v>174</v>
      </c>
      <c r="D613" t="s">
        <v>32</v>
      </c>
      <c r="E613" t="s">
        <v>74</v>
      </c>
      <c r="F613">
        <v>0.63365162003386544</v>
      </c>
      <c r="G613">
        <v>0.81730324006773092</v>
      </c>
      <c r="H613">
        <v>0.45</v>
      </c>
      <c r="I613">
        <v>471642659480</v>
      </c>
      <c r="J613">
        <v>11.9</v>
      </c>
      <c r="K613">
        <v>12</v>
      </c>
    </row>
    <row r="614" spans="1:11" x14ac:dyDescent="0.25">
      <c r="A614" t="s">
        <v>265</v>
      </c>
      <c r="B614" t="s">
        <v>84</v>
      </c>
      <c r="C614" t="s">
        <v>85</v>
      </c>
      <c r="D614" t="s">
        <v>14</v>
      </c>
      <c r="E614" t="s">
        <v>42</v>
      </c>
      <c r="F614">
        <v>0.59503019821494429</v>
      </c>
      <c r="G614">
        <v>0.49006039642988858</v>
      </c>
      <c r="H614">
        <v>0.7</v>
      </c>
      <c r="I614">
        <v>9409012800</v>
      </c>
      <c r="J614">
        <v>122</v>
      </c>
      <c r="K614">
        <v>13</v>
      </c>
    </row>
    <row r="615" spans="1:11" x14ac:dyDescent="0.25">
      <c r="A615" t="s">
        <v>265</v>
      </c>
      <c r="B615" t="s">
        <v>263</v>
      </c>
      <c r="C615" t="s">
        <v>264</v>
      </c>
      <c r="D615" t="s">
        <v>32</v>
      </c>
      <c r="E615" t="s">
        <v>259</v>
      </c>
      <c r="F615">
        <v>0.59327634446725197</v>
      </c>
      <c r="G615">
        <v>0.93655268893450383</v>
      </c>
      <c r="H615">
        <v>0.25</v>
      </c>
      <c r="I615">
        <v>65886705300</v>
      </c>
      <c r="J615">
        <v>31.9</v>
      </c>
      <c r="K615">
        <v>14</v>
      </c>
    </row>
    <row r="616" spans="1:11" x14ac:dyDescent="0.25">
      <c r="A616" t="s">
        <v>265</v>
      </c>
      <c r="B616" t="s">
        <v>232</v>
      </c>
      <c r="C616" t="s">
        <v>233</v>
      </c>
      <c r="D616" t="s">
        <v>32</v>
      </c>
      <c r="E616" t="s">
        <v>26</v>
      </c>
      <c r="F616">
        <v>0.58591774214759229</v>
      </c>
      <c r="G616">
        <v>0.82183548429518472</v>
      </c>
      <c r="H616">
        <v>0.35</v>
      </c>
      <c r="I616">
        <v>2467699320</v>
      </c>
      <c r="J616">
        <v>7.66</v>
      </c>
      <c r="K616">
        <v>15</v>
      </c>
    </row>
    <row r="617" spans="1:11" x14ac:dyDescent="0.25">
      <c r="A617" t="s">
        <v>265</v>
      </c>
      <c r="B617" t="s">
        <v>266</v>
      </c>
      <c r="C617" t="s">
        <v>267</v>
      </c>
      <c r="D617" t="s">
        <v>32</v>
      </c>
      <c r="E617" t="s">
        <v>59</v>
      </c>
      <c r="F617">
        <v>0.58518227039953385</v>
      </c>
      <c r="G617">
        <v>0.72036454079906775</v>
      </c>
      <c r="H617">
        <v>0.45</v>
      </c>
      <c r="I617">
        <v>22348362100</v>
      </c>
      <c r="J617">
        <v>40.299999999999997</v>
      </c>
      <c r="K617">
        <v>16</v>
      </c>
    </row>
    <row r="618" spans="1:11" x14ac:dyDescent="0.25">
      <c r="A618" t="s">
        <v>265</v>
      </c>
      <c r="B618" t="s">
        <v>101</v>
      </c>
      <c r="C618" t="s">
        <v>102</v>
      </c>
      <c r="D618" t="s">
        <v>18</v>
      </c>
      <c r="E618" t="s">
        <v>15</v>
      </c>
      <c r="F618">
        <v>0.56811595987569175</v>
      </c>
      <c r="G618">
        <v>0.58623191975138333</v>
      </c>
      <c r="H618">
        <v>0.55000000000000004</v>
      </c>
      <c r="I618">
        <v>4170522800</v>
      </c>
      <c r="J618">
        <v>58.5</v>
      </c>
      <c r="K618">
        <v>17</v>
      </c>
    </row>
    <row r="619" spans="1:11" x14ac:dyDescent="0.25">
      <c r="A619" t="s">
        <v>265</v>
      </c>
      <c r="B619" t="s">
        <v>27</v>
      </c>
      <c r="C619" t="s">
        <v>28</v>
      </c>
      <c r="D619" t="s">
        <v>14</v>
      </c>
      <c r="E619" t="s">
        <v>29</v>
      </c>
      <c r="F619">
        <v>0.54328433433514123</v>
      </c>
      <c r="G619">
        <v>0.38656866867028239</v>
      </c>
      <c r="H619">
        <v>0.7</v>
      </c>
      <c r="I619">
        <v>3933318800</v>
      </c>
      <c r="J619">
        <v>10.9</v>
      </c>
      <c r="K619">
        <v>18</v>
      </c>
    </row>
    <row r="620" spans="1:11" x14ac:dyDescent="0.25">
      <c r="A620" t="s">
        <v>265</v>
      </c>
      <c r="B620" t="s">
        <v>247</v>
      </c>
      <c r="C620" t="s">
        <v>248</v>
      </c>
      <c r="D620" t="s">
        <v>32</v>
      </c>
      <c r="E620" t="s">
        <v>59</v>
      </c>
      <c r="F620">
        <v>0.54254590892669796</v>
      </c>
      <c r="G620">
        <v>0.73509181785339595</v>
      </c>
      <c r="H620">
        <v>0.35</v>
      </c>
      <c r="I620">
        <v>26461086400</v>
      </c>
      <c r="J620">
        <v>124</v>
      </c>
      <c r="K620">
        <v>19</v>
      </c>
    </row>
    <row r="621" spans="1:11" x14ac:dyDescent="0.25">
      <c r="A621" t="s">
        <v>265</v>
      </c>
      <c r="B621" t="s">
        <v>268</v>
      </c>
      <c r="C621" t="s">
        <v>269</v>
      </c>
      <c r="D621" t="s">
        <v>32</v>
      </c>
      <c r="E621" t="s">
        <v>59</v>
      </c>
      <c r="F621">
        <v>0.54202695618349805</v>
      </c>
      <c r="G621">
        <v>0.83405391236699622</v>
      </c>
      <c r="H621">
        <v>0.25</v>
      </c>
      <c r="I621">
        <v>2035305020</v>
      </c>
      <c r="J621">
        <v>2.83</v>
      </c>
      <c r="K621">
        <v>20</v>
      </c>
    </row>
    <row r="622" spans="1:11" x14ac:dyDescent="0.25">
      <c r="A622" t="s">
        <v>270</v>
      </c>
      <c r="B622" t="s">
        <v>247</v>
      </c>
      <c r="C622" t="s">
        <v>248</v>
      </c>
      <c r="D622" t="s">
        <v>32</v>
      </c>
      <c r="E622" t="s">
        <v>59</v>
      </c>
      <c r="F622">
        <v>0.7459780703134673</v>
      </c>
      <c r="G622">
        <v>0.89195614062693462</v>
      </c>
      <c r="H622">
        <v>0.6</v>
      </c>
      <c r="I622">
        <v>27585436800</v>
      </c>
      <c r="J622">
        <v>128.80000000000001</v>
      </c>
      <c r="K622">
        <v>1</v>
      </c>
    </row>
    <row r="623" spans="1:11" x14ac:dyDescent="0.25">
      <c r="A623" t="s">
        <v>270</v>
      </c>
      <c r="B623" t="s">
        <v>199</v>
      </c>
      <c r="C623" t="s">
        <v>200</v>
      </c>
      <c r="D623" t="s">
        <v>32</v>
      </c>
      <c r="E623" t="s">
        <v>26</v>
      </c>
      <c r="F623">
        <v>0.74243612060176734</v>
      </c>
      <c r="G623">
        <v>0.98487224120353456</v>
      </c>
      <c r="H623">
        <v>0.5</v>
      </c>
      <c r="I623">
        <v>4603451180</v>
      </c>
      <c r="J623">
        <v>14.95</v>
      </c>
      <c r="K623">
        <v>2</v>
      </c>
    </row>
    <row r="624" spans="1:11" x14ac:dyDescent="0.25">
      <c r="A624" t="s">
        <v>270</v>
      </c>
      <c r="B624" t="s">
        <v>162</v>
      </c>
      <c r="C624" t="s">
        <v>163</v>
      </c>
      <c r="D624" t="s">
        <v>32</v>
      </c>
      <c r="E624" t="s">
        <v>29</v>
      </c>
      <c r="F624">
        <v>0.73088028557866025</v>
      </c>
      <c r="G624">
        <v>0.66176057115732057</v>
      </c>
      <c r="H624">
        <v>0.8</v>
      </c>
      <c r="I624">
        <v>502520226220</v>
      </c>
      <c r="J624">
        <v>12.45</v>
      </c>
      <c r="K624">
        <v>3</v>
      </c>
    </row>
    <row r="625" spans="1:11" x14ac:dyDescent="0.25">
      <c r="A625" t="s">
        <v>270</v>
      </c>
      <c r="B625" t="s">
        <v>261</v>
      </c>
      <c r="C625" t="s">
        <v>262</v>
      </c>
      <c r="D625" t="s">
        <v>32</v>
      </c>
      <c r="E625" t="s">
        <v>42</v>
      </c>
      <c r="F625">
        <v>0.71885401951469863</v>
      </c>
      <c r="G625">
        <v>0.93770803902939737</v>
      </c>
      <c r="H625">
        <v>0.5</v>
      </c>
      <c r="I625">
        <v>128562274400</v>
      </c>
      <c r="J625">
        <v>57.9</v>
      </c>
      <c r="K625">
        <v>4</v>
      </c>
    </row>
    <row r="626" spans="1:11" x14ac:dyDescent="0.25">
      <c r="A626" t="s">
        <v>270</v>
      </c>
      <c r="B626" t="s">
        <v>84</v>
      </c>
      <c r="C626" t="s">
        <v>85</v>
      </c>
      <c r="D626" t="s">
        <v>14</v>
      </c>
      <c r="E626" t="s">
        <v>42</v>
      </c>
      <c r="F626">
        <v>0.69413226854399257</v>
      </c>
      <c r="G626">
        <v>0.53826453708798516</v>
      </c>
      <c r="H626">
        <v>0.85</v>
      </c>
      <c r="I626">
        <v>9224232400</v>
      </c>
      <c r="J626">
        <v>124</v>
      </c>
      <c r="K626">
        <v>5</v>
      </c>
    </row>
    <row r="627" spans="1:11" x14ac:dyDescent="0.25">
      <c r="A627" t="s">
        <v>270</v>
      </c>
      <c r="B627" t="s">
        <v>82</v>
      </c>
      <c r="C627" t="s">
        <v>83</v>
      </c>
      <c r="D627" t="s">
        <v>32</v>
      </c>
      <c r="E627" t="s">
        <v>39</v>
      </c>
      <c r="F627">
        <v>0.68982170141653176</v>
      </c>
      <c r="G627">
        <v>0.87964340283306341</v>
      </c>
      <c r="H627">
        <v>0.5</v>
      </c>
      <c r="I627">
        <v>43616656100</v>
      </c>
      <c r="J627">
        <v>15.95</v>
      </c>
      <c r="K627">
        <v>6</v>
      </c>
    </row>
    <row r="628" spans="1:11" x14ac:dyDescent="0.25">
      <c r="A628" t="s">
        <v>270</v>
      </c>
      <c r="B628" t="s">
        <v>45</v>
      </c>
      <c r="C628" t="s">
        <v>46</v>
      </c>
      <c r="D628" t="s">
        <v>14</v>
      </c>
      <c r="E628" t="s">
        <v>15</v>
      </c>
      <c r="F628">
        <v>0.65773447071683644</v>
      </c>
      <c r="G628">
        <v>0.56546894143367288</v>
      </c>
      <c r="H628">
        <v>0.75</v>
      </c>
      <c r="I628">
        <v>3730586000</v>
      </c>
      <c r="J628">
        <v>20.9</v>
      </c>
      <c r="K628">
        <v>7</v>
      </c>
    </row>
    <row r="629" spans="1:11" x14ac:dyDescent="0.25">
      <c r="A629" t="s">
        <v>270</v>
      </c>
      <c r="B629" t="s">
        <v>255</v>
      </c>
      <c r="C629" t="s">
        <v>256</v>
      </c>
      <c r="D629" t="s">
        <v>32</v>
      </c>
      <c r="E629" t="s">
        <v>59</v>
      </c>
      <c r="F629">
        <v>0.64145140720380112</v>
      </c>
      <c r="G629">
        <v>0.83290281440760217</v>
      </c>
      <c r="H629">
        <v>0.45</v>
      </c>
      <c r="I629">
        <v>4571527400</v>
      </c>
      <c r="J629">
        <v>34.65</v>
      </c>
      <c r="K629">
        <v>8</v>
      </c>
    </row>
    <row r="630" spans="1:11" x14ac:dyDescent="0.25">
      <c r="A630" t="s">
        <v>270</v>
      </c>
      <c r="B630" t="s">
        <v>16</v>
      </c>
      <c r="C630" t="s">
        <v>17</v>
      </c>
      <c r="D630" t="s">
        <v>18</v>
      </c>
      <c r="E630" t="s">
        <v>15</v>
      </c>
      <c r="F630">
        <v>0.63858830303467906</v>
      </c>
      <c r="G630">
        <v>0.67717660606935826</v>
      </c>
      <c r="H630">
        <v>0.6</v>
      </c>
      <c r="I630">
        <v>17192785800</v>
      </c>
      <c r="J630">
        <v>213.2</v>
      </c>
      <c r="K630">
        <v>9</v>
      </c>
    </row>
    <row r="631" spans="1:11" x14ac:dyDescent="0.25">
      <c r="A631" t="s">
        <v>270</v>
      </c>
      <c r="B631" t="s">
        <v>122</v>
      </c>
      <c r="C631" t="s">
        <v>123</v>
      </c>
      <c r="D631" t="s">
        <v>32</v>
      </c>
      <c r="E631" t="s">
        <v>124</v>
      </c>
      <c r="F631">
        <v>0.63412045372678905</v>
      </c>
      <c r="G631">
        <v>0.96824090745357816</v>
      </c>
      <c r="H631">
        <v>0.3</v>
      </c>
      <c r="I631">
        <v>71628450400</v>
      </c>
      <c r="J631">
        <v>79.599999999999994</v>
      </c>
      <c r="K631">
        <v>10</v>
      </c>
    </row>
    <row r="632" spans="1:11" x14ac:dyDescent="0.25">
      <c r="A632" t="s">
        <v>270</v>
      </c>
      <c r="B632" t="s">
        <v>183</v>
      </c>
      <c r="C632" t="s">
        <v>184</v>
      </c>
      <c r="D632" t="s">
        <v>32</v>
      </c>
      <c r="E632" t="s">
        <v>33</v>
      </c>
      <c r="F632">
        <v>0.63179907274706792</v>
      </c>
      <c r="G632">
        <v>0.61359814549413594</v>
      </c>
      <c r="H632">
        <v>0.65</v>
      </c>
      <c r="I632">
        <v>4263972600</v>
      </c>
      <c r="J632">
        <v>2.0499999999999998</v>
      </c>
      <c r="K632">
        <v>11</v>
      </c>
    </row>
    <row r="633" spans="1:11" x14ac:dyDescent="0.25">
      <c r="A633" t="s">
        <v>270</v>
      </c>
      <c r="B633" t="s">
        <v>173</v>
      </c>
      <c r="C633" t="s">
        <v>174</v>
      </c>
      <c r="D633" t="s">
        <v>32</v>
      </c>
      <c r="E633" t="s">
        <v>74</v>
      </c>
      <c r="F633">
        <v>0.62991083991793007</v>
      </c>
      <c r="G633">
        <v>0.80982167983586006</v>
      </c>
      <c r="H633">
        <v>0.45</v>
      </c>
      <c r="I633">
        <v>479489165580</v>
      </c>
      <c r="J633">
        <v>12</v>
      </c>
      <c r="K633">
        <v>12</v>
      </c>
    </row>
    <row r="634" spans="1:11" x14ac:dyDescent="0.25">
      <c r="A634" t="s">
        <v>270</v>
      </c>
      <c r="B634" t="s">
        <v>88</v>
      </c>
      <c r="C634" t="s">
        <v>89</v>
      </c>
      <c r="D634" t="s">
        <v>32</v>
      </c>
      <c r="E634" t="s">
        <v>33</v>
      </c>
      <c r="F634">
        <v>0.62272334397744089</v>
      </c>
      <c r="G634">
        <v>0.94544668795488185</v>
      </c>
      <c r="H634">
        <v>0.3</v>
      </c>
      <c r="I634">
        <v>35080384160</v>
      </c>
      <c r="J634">
        <v>10.5</v>
      </c>
      <c r="K634">
        <v>13</v>
      </c>
    </row>
    <row r="635" spans="1:11" x14ac:dyDescent="0.25">
      <c r="A635" t="s">
        <v>270</v>
      </c>
      <c r="B635" t="s">
        <v>257</v>
      </c>
      <c r="C635" t="s">
        <v>258</v>
      </c>
      <c r="D635" t="s">
        <v>14</v>
      </c>
      <c r="E635" t="s">
        <v>259</v>
      </c>
      <c r="F635">
        <v>0.61920337493687339</v>
      </c>
      <c r="G635">
        <v>0.83840674987374675</v>
      </c>
      <c r="H635">
        <v>0.4</v>
      </c>
      <c r="I635">
        <v>2428851600</v>
      </c>
      <c r="J635">
        <v>9.9</v>
      </c>
      <c r="K635">
        <v>14</v>
      </c>
    </row>
    <row r="636" spans="1:11" x14ac:dyDescent="0.25">
      <c r="A636" t="s">
        <v>270</v>
      </c>
      <c r="B636" t="s">
        <v>19</v>
      </c>
      <c r="C636" t="s">
        <v>20</v>
      </c>
      <c r="D636" t="s">
        <v>18</v>
      </c>
      <c r="E636" t="s">
        <v>15</v>
      </c>
      <c r="F636">
        <v>0.61826114355383532</v>
      </c>
      <c r="G636">
        <v>0.73652228710767065</v>
      </c>
      <c r="H636">
        <v>0.5</v>
      </c>
      <c r="I636">
        <v>3332416800</v>
      </c>
      <c r="J636">
        <v>325.89999999999998</v>
      </c>
      <c r="K636">
        <v>15</v>
      </c>
    </row>
    <row r="637" spans="1:11" x14ac:dyDescent="0.25">
      <c r="A637" t="s">
        <v>270</v>
      </c>
      <c r="B637" t="s">
        <v>268</v>
      </c>
      <c r="C637" t="s">
        <v>269</v>
      </c>
      <c r="D637" t="s">
        <v>32</v>
      </c>
      <c r="E637" t="s">
        <v>59</v>
      </c>
      <c r="F637">
        <v>0.59806292683143636</v>
      </c>
      <c r="G637">
        <v>0.89612585366287278</v>
      </c>
      <c r="H637">
        <v>0.3</v>
      </c>
      <c r="I637">
        <v>2128697660</v>
      </c>
      <c r="J637">
        <v>2.94</v>
      </c>
      <c r="K637">
        <v>16</v>
      </c>
    </row>
    <row r="638" spans="1:11" x14ac:dyDescent="0.25">
      <c r="A638" t="s">
        <v>270</v>
      </c>
      <c r="B638" t="s">
        <v>271</v>
      </c>
      <c r="C638" t="s">
        <v>272</v>
      </c>
      <c r="D638" t="s">
        <v>32</v>
      </c>
      <c r="E638" t="s">
        <v>26</v>
      </c>
      <c r="F638">
        <v>0.5850446666195438</v>
      </c>
      <c r="G638">
        <v>0.87008933323908755</v>
      </c>
      <c r="H638">
        <v>0.3</v>
      </c>
      <c r="I638">
        <v>207311562000</v>
      </c>
      <c r="J638">
        <v>22.4</v>
      </c>
      <c r="K638">
        <v>17</v>
      </c>
    </row>
    <row r="639" spans="1:11" x14ac:dyDescent="0.25">
      <c r="A639" t="s">
        <v>270</v>
      </c>
      <c r="B639" t="s">
        <v>179</v>
      </c>
      <c r="C639" t="s">
        <v>180</v>
      </c>
      <c r="D639" t="s">
        <v>32</v>
      </c>
      <c r="E639" t="s">
        <v>124</v>
      </c>
      <c r="F639">
        <v>0.58152753805428625</v>
      </c>
      <c r="G639">
        <v>0.91305507610857251</v>
      </c>
      <c r="H639">
        <v>0.25</v>
      </c>
      <c r="I639">
        <v>270700125300</v>
      </c>
      <c r="J639">
        <v>24.9</v>
      </c>
      <c r="K639">
        <v>18</v>
      </c>
    </row>
    <row r="640" spans="1:11" x14ac:dyDescent="0.25">
      <c r="A640" t="s">
        <v>270</v>
      </c>
      <c r="B640" t="s">
        <v>232</v>
      </c>
      <c r="C640" t="s">
        <v>233</v>
      </c>
      <c r="D640" t="s">
        <v>32</v>
      </c>
      <c r="E640" t="s">
        <v>26</v>
      </c>
      <c r="F640">
        <v>0.58083226013137002</v>
      </c>
      <c r="G640">
        <v>0.81166452026274016</v>
      </c>
      <c r="H640">
        <v>0.35</v>
      </c>
      <c r="I640">
        <v>2451229380</v>
      </c>
      <c r="J640">
        <v>7.62</v>
      </c>
      <c r="K640">
        <v>19</v>
      </c>
    </row>
    <row r="641" spans="1:11" x14ac:dyDescent="0.25">
      <c r="A641" t="s">
        <v>270</v>
      </c>
      <c r="B641" t="s">
        <v>273</v>
      </c>
      <c r="C641" t="s">
        <v>274</v>
      </c>
      <c r="D641" t="s">
        <v>32</v>
      </c>
      <c r="E641" t="s">
        <v>275</v>
      </c>
      <c r="F641">
        <v>0.54259173133514682</v>
      </c>
      <c r="G641">
        <v>0.43518346267029362</v>
      </c>
      <c r="H641">
        <v>0.65</v>
      </c>
      <c r="I641">
        <v>2546329400</v>
      </c>
      <c r="J641">
        <v>33.9</v>
      </c>
      <c r="K641">
        <v>20</v>
      </c>
    </row>
    <row r="642" spans="1:11" x14ac:dyDescent="0.25">
      <c r="A642" t="s">
        <v>276</v>
      </c>
      <c r="B642" t="s">
        <v>263</v>
      </c>
      <c r="C642" t="s">
        <v>264</v>
      </c>
      <c r="D642" t="s">
        <v>32</v>
      </c>
      <c r="E642" t="s">
        <v>259</v>
      </c>
      <c r="F642">
        <v>0.77257291340249812</v>
      </c>
      <c r="G642">
        <v>0.94514582680499626</v>
      </c>
      <c r="H642">
        <v>0.6</v>
      </c>
      <c r="I642">
        <v>70873710700</v>
      </c>
      <c r="J642">
        <v>32.799999999999997</v>
      </c>
      <c r="K642">
        <v>1</v>
      </c>
    </row>
    <row r="643" spans="1:11" x14ac:dyDescent="0.25">
      <c r="A643" t="s">
        <v>276</v>
      </c>
      <c r="B643" t="s">
        <v>122</v>
      </c>
      <c r="C643" t="s">
        <v>123</v>
      </c>
      <c r="D643" t="s">
        <v>32</v>
      </c>
      <c r="E643" t="s">
        <v>124</v>
      </c>
      <c r="F643">
        <v>0.74417257188742991</v>
      </c>
      <c r="G643">
        <v>0.98834514377485994</v>
      </c>
      <c r="H643">
        <v>0.5</v>
      </c>
      <c r="I643">
        <v>74142322600</v>
      </c>
      <c r="J643">
        <v>85.1</v>
      </c>
      <c r="K643">
        <v>2</v>
      </c>
    </row>
    <row r="644" spans="1:11" x14ac:dyDescent="0.25">
      <c r="A644" t="s">
        <v>276</v>
      </c>
      <c r="B644" t="s">
        <v>199</v>
      </c>
      <c r="C644" t="s">
        <v>200</v>
      </c>
      <c r="D644" t="s">
        <v>32</v>
      </c>
      <c r="E644" t="s">
        <v>26</v>
      </c>
      <c r="F644">
        <v>0.74359223972377109</v>
      </c>
      <c r="G644">
        <v>0.98718447944754217</v>
      </c>
      <c r="H644">
        <v>0.5</v>
      </c>
      <c r="I644">
        <v>4764139180</v>
      </c>
      <c r="J644">
        <v>15.4</v>
      </c>
      <c r="K644">
        <v>3</v>
      </c>
    </row>
    <row r="645" spans="1:11" x14ac:dyDescent="0.25">
      <c r="A645" t="s">
        <v>276</v>
      </c>
      <c r="B645" t="s">
        <v>162</v>
      </c>
      <c r="C645" t="s">
        <v>163</v>
      </c>
      <c r="D645" t="s">
        <v>32</v>
      </c>
      <c r="E645" t="s">
        <v>29</v>
      </c>
      <c r="F645">
        <v>0.74303286547726999</v>
      </c>
      <c r="G645">
        <v>0.68606573095453982</v>
      </c>
      <c r="H645">
        <v>0.8</v>
      </c>
      <c r="I645">
        <v>508071423200</v>
      </c>
      <c r="J645">
        <v>12.55</v>
      </c>
      <c r="K645">
        <v>4</v>
      </c>
    </row>
    <row r="646" spans="1:11" x14ac:dyDescent="0.25">
      <c r="A646" t="s">
        <v>276</v>
      </c>
      <c r="B646" t="s">
        <v>261</v>
      </c>
      <c r="C646" t="s">
        <v>262</v>
      </c>
      <c r="D646" t="s">
        <v>32</v>
      </c>
      <c r="E646" t="s">
        <v>42</v>
      </c>
      <c r="F646">
        <v>0.73046790649204807</v>
      </c>
      <c r="G646">
        <v>0.9109358129840962</v>
      </c>
      <c r="H646">
        <v>0.55000000000000004</v>
      </c>
      <c r="I646">
        <v>124501454800</v>
      </c>
      <c r="J646">
        <v>58.3</v>
      </c>
      <c r="K646">
        <v>5</v>
      </c>
    </row>
    <row r="647" spans="1:11" x14ac:dyDescent="0.25">
      <c r="A647" t="s">
        <v>276</v>
      </c>
      <c r="B647" t="s">
        <v>84</v>
      </c>
      <c r="C647" t="s">
        <v>85</v>
      </c>
      <c r="D647" t="s">
        <v>14</v>
      </c>
      <c r="E647" t="s">
        <v>42</v>
      </c>
      <c r="F647">
        <v>0.69938010453718569</v>
      </c>
      <c r="G647">
        <v>0.64876020907437126</v>
      </c>
      <c r="H647">
        <v>0.75</v>
      </c>
      <c r="I647">
        <v>8452038600</v>
      </c>
      <c r="J647">
        <v>127.9</v>
      </c>
      <c r="K647">
        <v>6</v>
      </c>
    </row>
    <row r="648" spans="1:11" x14ac:dyDescent="0.25">
      <c r="A648" t="s">
        <v>276</v>
      </c>
      <c r="B648" t="s">
        <v>257</v>
      </c>
      <c r="C648" t="s">
        <v>258</v>
      </c>
      <c r="D648" t="s">
        <v>14</v>
      </c>
      <c r="E648" t="s">
        <v>259</v>
      </c>
      <c r="F648">
        <v>0.69354802856684661</v>
      </c>
      <c r="G648">
        <v>0.83709605713369317</v>
      </c>
      <c r="H648">
        <v>0.55000000000000004</v>
      </c>
      <c r="I648">
        <v>2525542600</v>
      </c>
      <c r="J648">
        <v>10</v>
      </c>
      <c r="K648">
        <v>7</v>
      </c>
    </row>
    <row r="649" spans="1:11" x14ac:dyDescent="0.25">
      <c r="A649" t="s">
        <v>276</v>
      </c>
      <c r="B649" t="s">
        <v>88</v>
      </c>
      <c r="C649" t="s">
        <v>89</v>
      </c>
      <c r="D649" t="s">
        <v>32</v>
      </c>
      <c r="E649" t="s">
        <v>33</v>
      </c>
      <c r="F649">
        <v>0.6892279753863586</v>
      </c>
      <c r="G649">
        <v>0.9784559507727173</v>
      </c>
      <c r="H649">
        <v>0.4</v>
      </c>
      <c r="I649">
        <v>37105639340</v>
      </c>
      <c r="J649">
        <v>11.15</v>
      </c>
      <c r="K649">
        <v>8</v>
      </c>
    </row>
    <row r="650" spans="1:11" x14ac:dyDescent="0.25">
      <c r="A650" t="s">
        <v>276</v>
      </c>
      <c r="B650" t="s">
        <v>82</v>
      </c>
      <c r="C650" t="s">
        <v>83</v>
      </c>
      <c r="D650" t="s">
        <v>32</v>
      </c>
      <c r="E650" t="s">
        <v>39</v>
      </c>
      <c r="F650">
        <v>0.68560900216856191</v>
      </c>
      <c r="G650">
        <v>0.87121800433712382</v>
      </c>
      <c r="H650">
        <v>0.5</v>
      </c>
      <c r="I650">
        <v>43374726300</v>
      </c>
      <c r="J650">
        <v>15.95</v>
      </c>
      <c r="K650">
        <v>9</v>
      </c>
    </row>
    <row r="651" spans="1:11" x14ac:dyDescent="0.25">
      <c r="A651" t="s">
        <v>276</v>
      </c>
      <c r="B651" t="s">
        <v>183</v>
      </c>
      <c r="C651" t="s">
        <v>184</v>
      </c>
      <c r="D651" t="s">
        <v>32</v>
      </c>
      <c r="E651" t="s">
        <v>33</v>
      </c>
      <c r="F651">
        <v>0.67385041170263926</v>
      </c>
      <c r="G651">
        <v>0.64770082340527857</v>
      </c>
      <c r="H651">
        <v>0.7</v>
      </c>
      <c r="I651">
        <v>4272968120</v>
      </c>
      <c r="J651">
        <v>2.06</v>
      </c>
      <c r="K651">
        <v>10</v>
      </c>
    </row>
    <row r="652" spans="1:11" x14ac:dyDescent="0.25">
      <c r="A652" t="s">
        <v>276</v>
      </c>
      <c r="B652" t="s">
        <v>186</v>
      </c>
      <c r="C652" t="s">
        <v>187</v>
      </c>
      <c r="D652" t="s">
        <v>32</v>
      </c>
      <c r="E652" t="s">
        <v>74</v>
      </c>
      <c r="F652">
        <v>0.65993429324131903</v>
      </c>
      <c r="G652">
        <v>0.76986858648263801</v>
      </c>
      <c r="H652">
        <v>0.55000000000000004</v>
      </c>
      <c r="I652">
        <v>12435635800</v>
      </c>
      <c r="J652">
        <v>10.6</v>
      </c>
      <c r="K652">
        <v>11</v>
      </c>
    </row>
    <row r="653" spans="1:11" x14ac:dyDescent="0.25">
      <c r="A653" t="s">
        <v>276</v>
      </c>
      <c r="B653" t="s">
        <v>16</v>
      </c>
      <c r="C653" t="s">
        <v>17</v>
      </c>
      <c r="D653" t="s">
        <v>18</v>
      </c>
      <c r="E653" t="s">
        <v>15</v>
      </c>
      <c r="F653">
        <v>0.63894996804201076</v>
      </c>
      <c r="G653">
        <v>0.87789993608402161</v>
      </c>
      <c r="H653">
        <v>0.4</v>
      </c>
      <c r="I653">
        <v>17304235200</v>
      </c>
      <c r="J653">
        <v>227</v>
      </c>
      <c r="K653">
        <v>12</v>
      </c>
    </row>
    <row r="654" spans="1:11" x14ac:dyDescent="0.25">
      <c r="A654" t="s">
        <v>276</v>
      </c>
      <c r="B654" t="s">
        <v>19</v>
      </c>
      <c r="C654" t="s">
        <v>20</v>
      </c>
      <c r="D654" t="s">
        <v>18</v>
      </c>
      <c r="E654" t="s">
        <v>15</v>
      </c>
      <c r="F654">
        <v>0.61885374289458428</v>
      </c>
      <c r="G654">
        <v>0.68770748578916852</v>
      </c>
      <c r="H654">
        <v>0.55000000000000004</v>
      </c>
      <c r="I654">
        <v>3334552600</v>
      </c>
      <c r="J654">
        <v>327.7</v>
      </c>
      <c r="K654">
        <v>13</v>
      </c>
    </row>
    <row r="655" spans="1:11" x14ac:dyDescent="0.25">
      <c r="A655" t="s">
        <v>276</v>
      </c>
      <c r="B655" t="s">
        <v>45</v>
      </c>
      <c r="C655" t="s">
        <v>46</v>
      </c>
      <c r="D655" t="s">
        <v>14</v>
      </c>
      <c r="E655" t="s">
        <v>15</v>
      </c>
      <c r="F655">
        <v>0.60396343625424764</v>
      </c>
      <c r="G655">
        <v>0.55792687250849526</v>
      </c>
      <c r="H655">
        <v>0.65</v>
      </c>
      <c r="I655">
        <v>3681247200</v>
      </c>
      <c r="J655">
        <v>20.5</v>
      </c>
      <c r="K655">
        <v>14</v>
      </c>
    </row>
    <row r="656" spans="1:11" x14ac:dyDescent="0.25">
      <c r="A656" t="s">
        <v>276</v>
      </c>
      <c r="B656" t="s">
        <v>173</v>
      </c>
      <c r="C656" t="s">
        <v>174</v>
      </c>
      <c r="D656" t="s">
        <v>32</v>
      </c>
      <c r="E656" t="s">
        <v>74</v>
      </c>
      <c r="F656">
        <v>0.60118760521814418</v>
      </c>
      <c r="G656">
        <v>0.80237521043628834</v>
      </c>
      <c r="H656">
        <v>0.4</v>
      </c>
      <c r="I656">
        <v>488166875780</v>
      </c>
      <c r="J656">
        <v>12.05</v>
      </c>
      <c r="K656">
        <v>15</v>
      </c>
    </row>
    <row r="657" spans="1:11" x14ac:dyDescent="0.25">
      <c r="A657" t="s">
        <v>276</v>
      </c>
      <c r="B657" t="s">
        <v>255</v>
      </c>
      <c r="C657" t="s">
        <v>256</v>
      </c>
      <c r="D657" t="s">
        <v>32</v>
      </c>
      <c r="E657" t="s">
        <v>59</v>
      </c>
      <c r="F657">
        <v>0.59327784820886975</v>
      </c>
      <c r="G657">
        <v>0.73655569641773955</v>
      </c>
      <c r="H657">
        <v>0.45</v>
      </c>
      <c r="I657">
        <v>4546380000</v>
      </c>
      <c r="J657">
        <v>34.549999999999997</v>
      </c>
      <c r="K657">
        <v>16</v>
      </c>
    </row>
    <row r="658" spans="1:11" x14ac:dyDescent="0.25">
      <c r="A658" t="s">
        <v>276</v>
      </c>
      <c r="B658" t="s">
        <v>179</v>
      </c>
      <c r="C658" t="s">
        <v>180</v>
      </c>
      <c r="D658" t="s">
        <v>32</v>
      </c>
      <c r="E658" t="s">
        <v>124</v>
      </c>
      <c r="F658">
        <v>0.57573994212400048</v>
      </c>
      <c r="G658">
        <v>0.95147988424800101</v>
      </c>
      <c r="H658">
        <v>0.2</v>
      </c>
      <c r="I658">
        <v>275779511900</v>
      </c>
      <c r="J658">
        <v>26.3</v>
      </c>
      <c r="K658">
        <v>17</v>
      </c>
    </row>
    <row r="659" spans="1:11" x14ac:dyDescent="0.25">
      <c r="A659" t="s">
        <v>276</v>
      </c>
      <c r="B659" t="s">
        <v>101</v>
      </c>
      <c r="C659" t="s">
        <v>102</v>
      </c>
      <c r="D659" t="s">
        <v>18</v>
      </c>
      <c r="E659" t="s">
        <v>15</v>
      </c>
      <c r="F659">
        <v>0.56646518418991731</v>
      </c>
      <c r="G659">
        <v>0.53293036837983465</v>
      </c>
      <c r="H659">
        <v>0.6</v>
      </c>
      <c r="I659">
        <v>4189027800</v>
      </c>
      <c r="J659">
        <v>60.2</v>
      </c>
      <c r="K659">
        <v>18</v>
      </c>
    </row>
    <row r="660" spans="1:11" x14ac:dyDescent="0.25">
      <c r="A660" t="s">
        <v>276</v>
      </c>
      <c r="B660" t="s">
        <v>154</v>
      </c>
      <c r="C660" t="s">
        <v>155</v>
      </c>
      <c r="D660" t="s">
        <v>32</v>
      </c>
      <c r="E660" t="s">
        <v>39</v>
      </c>
      <c r="F660">
        <v>0.55503106056160667</v>
      </c>
      <c r="G660">
        <v>0.71006212112321332</v>
      </c>
      <c r="H660">
        <v>0.4</v>
      </c>
      <c r="I660">
        <v>119247685800</v>
      </c>
      <c r="J660">
        <v>31.95</v>
      </c>
      <c r="K660">
        <v>19</v>
      </c>
    </row>
    <row r="661" spans="1:11" x14ac:dyDescent="0.25">
      <c r="A661" t="s">
        <v>276</v>
      </c>
      <c r="B661" t="s">
        <v>271</v>
      </c>
      <c r="C661" t="s">
        <v>272</v>
      </c>
      <c r="D661" t="s">
        <v>32</v>
      </c>
      <c r="E661" t="s">
        <v>26</v>
      </c>
      <c r="F661">
        <v>0.53839303354065982</v>
      </c>
      <c r="G661">
        <v>0.82678606708131963</v>
      </c>
      <c r="H661">
        <v>0.25</v>
      </c>
      <c r="I661">
        <v>208576761600</v>
      </c>
      <c r="J661">
        <v>22.4</v>
      </c>
      <c r="K661">
        <v>20</v>
      </c>
    </row>
    <row r="662" spans="1:11" x14ac:dyDescent="0.25">
      <c r="A662" t="s">
        <v>277</v>
      </c>
      <c r="B662" t="s">
        <v>82</v>
      </c>
      <c r="C662" t="s">
        <v>83</v>
      </c>
      <c r="D662" t="s">
        <v>32</v>
      </c>
      <c r="E662" t="s">
        <v>39</v>
      </c>
      <c r="F662">
        <v>0.77666531103674052</v>
      </c>
      <c r="G662">
        <v>0.95333062207348118</v>
      </c>
      <c r="H662">
        <v>0.6</v>
      </c>
      <c r="I662">
        <v>43384471800</v>
      </c>
      <c r="J662">
        <v>16.850000000000001</v>
      </c>
      <c r="K662">
        <v>1</v>
      </c>
    </row>
    <row r="663" spans="1:11" x14ac:dyDescent="0.25">
      <c r="A663" t="s">
        <v>277</v>
      </c>
      <c r="B663" t="s">
        <v>122</v>
      </c>
      <c r="C663" t="s">
        <v>123</v>
      </c>
      <c r="D663" t="s">
        <v>32</v>
      </c>
      <c r="E663" t="s">
        <v>124</v>
      </c>
      <c r="F663">
        <v>0.76742796582401818</v>
      </c>
      <c r="G663">
        <v>0.98485593164803631</v>
      </c>
      <c r="H663">
        <v>0.55000000000000004</v>
      </c>
      <c r="I663">
        <v>76117834600</v>
      </c>
      <c r="J663">
        <v>89</v>
      </c>
      <c r="K663">
        <v>2</v>
      </c>
    </row>
    <row r="664" spans="1:11" x14ac:dyDescent="0.25">
      <c r="A664" t="s">
        <v>277</v>
      </c>
      <c r="B664" t="s">
        <v>199</v>
      </c>
      <c r="C664" t="s">
        <v>200</v>
      </c>
      <c r="D664" t="s">
        <v>32</v>
      </c>
      <c r="E664" t="s">
        <v>26</v>
      </c>
      <c r="F664">
        <v>0.76438015927157732</v>
      </c>
      <c r="G664">
        <v>0.97876031854315471</v>
      </c>
      <c r="H664">
        <v>0.55000000000000004</v>
      </c>
      <c r="I664">
        <v>4812700480</v>
      </c>
      <c r="J664">
        <v>15</v>
      </c>
      <c r="K664">
        <v>3</v>
      </c>
    </row>
    <row r="665" spans="1:11" x14ac:dyDescent="0.25">
      <c r="A665" t="s">
        <v>277</v>
      </c>
      <c r="B665" t="s">
        <v>162</v>
      </c>
      <c r="C665" t="s">
        <v>163</v>
      </c>
      <c r="D665" t="s">
        <v>32</v>
      </c>
      <c r="E665" t="s">
        <v>29</v>
      </c>
      <c r="F665">
        <v>0.71909278177713087</v>
      </c>
      <c r="G665">
        <v>0.78818556355426173</v>
      </c>
      <c r="H665">
        <v>0.65</v>
      </c>
      <c r="I665">
        <v>526306792200</v>
      </c>
      <c r="J665">
        <v>12.7</v>
      </c>
      <c r="K665">
        <v>4</v>
      </c>
    </row>
    <row r="666" spans="1:11" x14ac:dyDescent="0.25">
      <c r="A666" t="s">
        <v>277</v>
      </c>
      <c r="B666" t="s">
        <v>16</v>
      </c>
      <c r="C666" t="s">
        <v>17</v>
      </c>
      <c r="D666" t="s">
        <v>18</v>
      </c>
      <c r="E666" t="s">
        <v>15</v>
      </c>
      <c r="F666">
        <v>0.71873773457990686</v>
      </c>
      <c r="G666">
        <v>0.78747546915981381</v>
      </c>
      <c r="H666">
        <v>0.65</v>
      </c>
      <c r="I666">
        <v>17456850800</v>
      </c>
      <c r="J666">
        <v>216.1</v>
      </c>
      <c r="K666">
        <v>5</v>
      </c>
    </row>
    <row r="667" spans="1:11" x14ac:dyDescent="0.25">
      <c r="A667" t="s">
        <v>277</v>
      </c>
      <c r="B667" t="s">
        <v>261</v>
      </c>
      <c r="C667" t="s">
        <v>262</v>
      </c>
      <c r="D667" t="s">
        <v>32</v>
      </c>
      <c r="E667" t="s">
        <v>42</v>
      </c>
      <c r="F667">
        <v>0.71457318916932711</v>
      </c>
      <c r="G667">
        <v>0.92914637833865421</v>
      </c>
      <c r="H667">
        <v>0.5</v>
      </c>
      <c r="I667">
        <v>126161863400</v>
      </c>
      <c r="J667">
        <v>59.4</v>
      </c>
      <c r="K667">
        <v>6</v>
      </c>
    </row>
    <row r="668" spans="1:11" x14ac:dyDescent="0.25">
      <c r="A668" t="s">
        <v>277</v>
      </c>
      <c r="B668" t="s">
        <v>247</v>
      </c>
      <c r="C668" t="s">
        <v>248</v>
      </c>
      <c r="D668" t="s">
        <v>32</v>
      </c>
      <c r="E668" t="s">
        <v>59</v>
      </c>
      <c r="F668">
        <v>0.69136152505227511</v>
      </c>
      <c r="G668">
        <v>0.88272305010455032</v>
      </c>
      <c r="H668">
        <v>0.5</v>
      </c>
      <c r="I668">
        <v>30868111200</v>
      </c>
      <c r="J668">
        <v>129.80000000000001</v>
      </c>
      <c r="K668">
        <v>7</v>
      </c>
    </row>
    <row r="669" spans="1:11" x14ac:dyDescent="0.25">
      <c r="A669" t="s">
        <v>277</v>
      </c>
      <c r="B669" t="s">
        <v>257</v>
      </c>
      <c r="C669" t="s">
        <v>258</v>
      </c>
      <c r="D669" t="s">
        <v>14</v>
      </c>
      <c r="E669" t="s">
        <v>259</v>
      </c>
      <c r="F669">
        <v>0.68374116296552578</v>
      </c>
      <c r="G669">
        <v>0.81748232593105152</v>
      </c>
      <c r="H669">
        <v>0.55000000000000004</v>
      </c>
      <c r="I669">
        <v>2606748400</v>
      </c>
      <c r="J669">
        <v>10</v>
      </c>
      <c r="K669">
        <v>8</v>
      </c>
    </row>
    <row r="670" spans="1:11" x14ac:dyDescent="0.25">
      <c r="A670" t="s">
        <v>277</v>
      </c>
      <c r="B670" t="s">
        <v>186</v>
      </c>
      <c r="C670" t="s">
        <v>187</v>
      </c>
      <c r="D670" t="s">
        <v>32</v>
      </c>
      <c r="E670" t="s">
        <v>74</v>
      </c>
      <c r="F670">
        <v>0.66625772559230034</v>
      </c>
      <c r="G670">
        <v>0.8325154511846008</v>
      </c>
      <c r="H670">
        <v>0.5</v>
      </c>
      <c r="I670">
        <v>12614589800</v>
      </c>
      <c r="J670">
        <v>10.8</v>
      </c>
      <c r="K670">
        <v>9</v>
      </c>
    </row>
    <row r="671" spans="1:11" x14ac:dyDescent="0.25">
      <c r="A671" t="s">
        <v>277</v>
      </c>
      <c r="B671" t="s">
        <v>278</v>
      </c>
      <c r="C671" t="s">
        <v>279</v>
      </c>
      <c r="D671" t="s">
        <v>32</v>
      </c>
      <c r="E671" t="s">
        <v>23</v>
      </c>
      <c r="F671">
        <v>0.65101709159111154</v>
      </c>
      <c r="G671">
        <v>0.9520341831822231</v>
      </c>
      <c r="H671">
        <v>0.35</v>
      </c>
      <c r="I671">
        <v>6691079040</v>
      </c>
      <c r="J671">
        <v>8.15</v>
      </c>
      <c r="K671">
        <v>10</v>
      </c>
    </row>
    <row r="672" spans="1:11" x14ac:dyDescent="0.25">
      <c r="A672" t="s">
        <v>277</v>
      </c>
      <c r="B672" t="s">
        <v>19</v>
      </c>
      <c r="C672" t="s">
        <v>20</v>
      </c>
      <c r="D672" t="s">
        <v>18</v>
      </c>
      <c r="E672" t="s">
        <v>15</v>
      </c>
      <c r="F672">
        <v>0.63612978648114371</v>
      </c>
      <c r="G672">
        <v>0.92225957296228755</v>
      </c>
      <c r="H672">
        <v>0.35</v>
      </c>
      <c r="I672">
        <v>3447326200</v>
      </c>
      <c r="J672">
        <v>355</v>
      </c>
      <c r="K672">
        <v>11</v>
      </c>
    </row>
    <row r="673" spans="1:11" x14ac:dyDescent="0.25">
      <c r="A673" t="s">
        <v>277</v>
      </c>
      <c r="B673" t="s">
        <v>173</v>
      </c>
      <c r="C673" t="s">
        <v>174</v>
      </c>
      <c r="D673" t="s">
        <v>32</v>
      </c>
      <c r="E673" t="s">
        <v>74</v>
      </c>
      <c r="F673">
        <v>0.62831782399465474</v>
      </c>
      <c r="G673">
        <v>0.95663564798930956</v>
      </c>
      <c r="H673">
        <v>0.3</v>
      </c>
      <c r="I673">
        <v>525907986680</v>
      </c>
      <c r="J673">
        <v>12.85</v>
      </c>
      <c r="K673">
        <v>12</v>
      </c>
    </row>
    <row r="674" spans="1:11" x14ac:dyDescent="0.25">
      <c r="A674" t="s">
        <v>277</v>
      </c>
      <c r="B674" t="s">
        <v>280</v>
      </c>
      <c r="C674" t="s">
        <v>281</v>
      </c>
      <c r="D674" t="s">
        <v>18</v>
      </c>
      <c r="E674" t="s">
        <v>26</v>
      </c>
      <c r="F674">
        <v>0.60711828879733742</v>
      </c>
      <c r="G674">
        <v>0.81423657759467494</v>
      </c>
      <c r="H674">
        <v>0.4</v>
      </c>
      <c r="I674">
        <v>2349898600</v>
      </c>
      <c r="J674">
        <v>5.7</v>
      </c>
      <c r="K674">
        <v>13</v>
      </c>
    </row>
    <row r="675" spans="1:11" x14ac:dyDescent="0.25">
      <c r="A675" t="s">
        <v>277</v>
      </c>
      <c r="B675" t="s">
        <v>88</v>
      </c>
      <c r="C675" t="s">
        <v>89</v>
      </c>
      <c r="D675" t="s">
        <v>32</v>
      </c>
      <c r="E675" t="s">
        <v>33</v>
      </c>
      <c r="F675">
        <v>0.60680850483280779</v>
      </c>
      <c r="G675">
        <v>0.96361700966561559</v>
      </c>
      <c r="H675">
        <v>0.25</v>
      </c>
      <c r="I675">
        <v>38207899260</v>
      </c>
      <c r="J675">
        <v>11</v>
      </c>
      <c r="K675">
        <v>14</v>
      </c>
    </row>
    <row r="676" spans="1:11" x14ac:dyDescent="0.25">
      <c r="A676" t="s">
        <v>277</v>
      </c>
      <c r="B676" t="s">
        <v>84</v>
      </c>
      <c r="C676" t="s">
        <v>85</v>
      </c>
      <c r="D676" t="s">
        <v>14</v>
      </c>
      <c r="E676" t="s">
        <v>42</v>
      </c>
      <c r="F676">
        <v>0.60244684429247553</v>
      </c>
      <c r="G676">
        <v>0.75489368858495098</v>
      </c>
      <c r="H676">
        <v>0.45</v>
      </c>
      <c r="I676">
        <v>8359566000</v>
      </c>
      <c r="J676">
        <v>134</v>
      </c>
      <c r="K676">
        <v>15</v>
      </c>
    </row>
    <row r="677" spans="1:11" x14ac:dyDescent="0.25">
      <c r="A677" t="s">
        <v>277</v>
      </c>
      <c r="B677" t="s">
        <v>179</v>
      </c>
      <c r="C677" t="s">
        <v>180</v>
      </c>
      <c r="D677" t="s">
        <v>32</v>
      </c>
      <c r="E677" t="s">
        <v>124</v>
      </c>
      <c r="F677">
        <v>0.58442187724861672</v>
      </c>
      <c r="G677">
        <v>0.96884375449723337</v>
      </c>
      <c r="H677">
        <v>0.2</v>
      </c>
      <c r="I677">
        <v>287793770200</v>
      </c>
      <c r="J677">
        <v>27.5</v>
      </c>
      <c r="K677">
        <v>16</v>
      </c>
    </row>
    <row r="678" spans="1:11" x14ac:dyDescent="0.25">
      <c r="A678" t="s">
        <v>277</v>
      </c>
      <c r="B678" t="s">
        <v>45</v>
      </c>
      <c r="C678" t="s">
        <v>46</v>
      </c>
      <c r="D678" t="s">
        <v>14</v>
      </c>
      <c r="E678" t="s">
        <v>15</v>
      </c>
      <c r="F678">
        <v>0.57601906556090066</v>
      </c>
      <c r="G678">
        <v>0.55203813112180133</v>
      </c>
      <c r="H678">
        <v>0.6</v>
      </c>
      <c r="I678">
        <v>3634580400</v>
      </c>
      <c r="J678">
        <v>20.3</v>
      </c>
      <c r="K678">
        <v>17</v>
      </c>
    </row>
    <row r="679" spans="1:11" x14ac:dyDescent="0.25">
      <c r="A679" t="s">
        <v>277</v>
      </c>
      <c r="B679" t="s">
        <v>169</v>
      </c>
      <c r="C679" t="s">
        <v>170</v>
      </c>
      <c r="D679" t="s">
        <v>32</v>
      </c>
      <c r="E679" t="s">
        <v>23</v>
      </c>
      <c r="F679">
        <v>0.57514669395429052</v>
      </c>
      <c r="G679">
        <v>0.57514669395429052</v>
      </c>
      <c r="I679">
        <v>5146791400</v>
      </c>
      <c r="J679">
        <v>12.25</v>
      </c>
      <c r="K679">
        <v>18</v>
      </c>
    </row>
    <row r="680" spans="1:11" x14ac:dyDescent="0.25">
      <c r="A680" t="s">
        <v>277</v>
      </c>
      <c r="B680" t="s">
        <v>273</v>
      </c>
      <c r="C680" t="s">
        <v>274</v>
      </c>
      <c r="D680" t="s">
        <v>32</v>
      </c>
      <c r="E680" t="s">
        <v>275</v>
      </c>
      <c r="F680">
        <v>0.57027955505341232</v>
      </c>
      <c r="G680">
        <v>0.49055911010682463</v>
      </c>
      <c r="H680">
        <v>0.65</v>
      </c>
      <c r="I680">
        <v>2492164100</v>
      </c>
      <c r="J680">
        <v>34.25</v>
      </c>
      <c r="K680">
        <v>19</v>
      </c>
    </row>
    <row r="681" spans="1:11" x14ac:dyDescent="0.25">
      <c r="A681" t="s">
        <v>277</v>
      </c>
      <c r="B681" t="s">
        <v>154</v>
      </c>
      <c r="C681" t="s">
        <v>155</v>
      </c>
      <c r="D681" t="s">
        <v>32</v>
      </c>
      <c r="E681" t="s">
        <v>39</v>
      </c>
      <c r="F681">
        <v>0.56524671284204842</v>
      </c>
      <c r="G681">
        <v>0.78049342568409685</v>
      </c>
      <c r="H681">
        <v>0.35</v>
      </c>
      <c r="I681">
        <v>121069856900</v>
      </c>
      <c r="J681">
        <v>32.65</v>
      </c>
      <c r="K681">
        <v>20</v>
      </c>
    </row>
    <row r="682" spans="1:11" x14ac:dyDescent="0.25">
      <c r="A682" t="s">
        <v>282</v>
      </c>
      <c r="B682" t="s">
        <v>199</v>
      </c>
      <c r="C682" t="s">
        <v>200</v>
      </c>
      <c r="D682" t="s">
        <v>32</v>
      </c>
      <c r="E682" t="s">
        <v>26</v>
      </c>
      <c r="F682">
        <v>0.76493469111129664</v>
      </c>
      <c r="G682">
        <v>0.97986938222259312</v>
      </c>
      <c r="H682">
        <v>0.55000000000000004</v>
      </c>
      <c r="I682">
        <v>4908640340</v>
      </c>
      <c r="J682">
        <v>15.1</v>
      </c>
      <c r="K682">
        <v>1</v>
      </c>
    </row>
    <row r="683" spans="1:11" x14ac:dyDescent="0.25">
      <c r="A683" t="s">
        <v>282</v>
      </c>
      <c r="B683" t="s">
        <v>82</v>
      </c>
      <c r="C683" t="s">
        <v>83</v>
      </c>
      <c r="D683" t="s">
        <v>32</v>
      </c>
      <c r="E683" t="s">
        <v>39</v>
      </c>
      <c r="F683">
        <v>0.76098031439014679</v>
      </c>
      <c r="G683">
        <v>0.9219606287802935</v>
      </c>
      <c r="H683">
        <v>0.6</v>
      </c>
      <c r="I683">
        <v>42627209200</v>
      </c>
      <c r="J683">
        <v>16.899999999999999</v>
      </c>
      <c r="K683">
        <v>2</v>
      </c>
    </row>
    <row r="684" spans="1:11" x14ac:dyDescent="0.25">
      <c r="A684" t="s">
        <v>282</v>
      </c>
      <c r="B684" t="s">
        <v>283</v>
      </c>
      <c r="C684" t="s">
        <v>284</v>
      </c>
      <c r="D684" t="s">
        <v>18</v>
      </c>
      <c r="E684" t="s">
        <v>33</v>
      </c>
      <c r="F684">
        <v>0.73443876103456129</v>
      </c>
      <c r="G684">
        <v>0.8688775220691225</v>
      </c>
      <c r="H684">
        <v>0.6</v>
      </c>
      <c r="I684">
        <v>4006279000</v>
      </c>
      <c r="J684">
        <v>7.3</v>
      </c>
      <c r="K684">
        <v>3</v>
      </c>
    </row>
    <row r="685" spans="1:11" x14ac:dyDescent="0.25">
      <c r="A685" t="s">
        <v>282</v>
      </c>
      <c r="B685" t="s">
        <v>173</v>
      </c>
      <c r="C685" t="s">
        <v>174</v>
      </c>
      <c r="D685" t="s">
        <v>32</v>
      </c>
      <c r="E685" t="s">
        <v>74</v>
      </c>
      <c r="F685">
        <v>0.72532621618605819</v>
      </c>
      <c r="G685">
        <v>0.95065243237211638</v>
      </c>
      <c r="H685">
        <v>0.5</v>
      </c>
      <c r="I685">
        <v>544829396080</v>
      </c>
      <c r="J685">
        <v>13.2</v>
      </c>
      <c r="K685">
        <v>4</v>
      </c>
    </row>
    <row r="686" spans="1:11" x14ac:dyDescent="0.25">
      <c r="A686" t="s">
        <v>282</v>
      </c>
      <c r="B686" t="s">
        <v>122</v>
      </c>
      <c r="C686" t="s">
        <v>123</v>
      </c>
      <c r="D686" t="s">
        <v>32</v>
      </c>
      <c r="E686" t="s">
        <v>124</v>
      </c>
      <c r="F686">
        <v>0.71498486752665114</v>
      </c>
      <c r="G686">
        <v>0.9799697350533022</v>
      </c>
      <c r="H686">
        <v>0.45</v>
      </c>
      <c r="I686">
        <v>77969833200</v>
      </c>
      <c r="J686">
        <v>86.5</v>
      </c>
      <c r="K686">
        <v>5</v>
      </c>
    </row>
    <row r="687" spans="1:11" x14ac:dyDescent="0.25">
      <c r="A687" t="s">
        <v>282</v>
      </c>
      <c r="B687" t="s">
        <v>285</v>
      </c>
      <c r="C687" t="s">
        <v>286</v>
      </c>
      <c r="D687" t="s">
        <v>18</v>
      </c>
      <c r="E687" t="s">
        <v>26</v>
      </c>
      <c r="F687">
        <v>0.70169989940684097</v>
      </c>
      <c r="G687">
        <v>0.80339979881368195</v>
      </c>
      <c r="H687">
        <v>0.6</v>
      </c>
      <c r="I687">
        <v>32354790000</v>
      </c>
      <c r="J687">
        <v>68</v>
      </c>
      <c r="K687">
        <v>6</v>
      </c>
    </row>
    <row r="688" spans="1:11" x14ac:dyDescent="0.25">
      <c r="A688" t="s">
        <v>282</v>
      </c>
      <c r="B688" t="s">
        <v>261</v>
      </c>
      <c r="C688" t="s">
        <v>262</v>
      </c>
      <c r="D688" t="s">
        <v>32</v>
      </c>
      <c r="E688" t="s">
        <v>42</v>
      </c>
      <c r="F688">
        <v>0.70167506552568726</v>
      </c>
      <c r="G688">
        <v>0.90335013105137452</v>
      </c>
      <c r="H688">
        <v>0.5</v>
      </c>
      <c r="I688">
        <v>125444812400</v>
      </c>
      <c r="J688">
        <v>59.3</v>
      </c>
      <c r="K688">
        <v>7</v>
      </c>
    </row>
    <row r="689" spans="1:11" x14ac:dyDescent="0.25">
      <c r="A689" t="s">
        <v>282</v>
      </c>
      <c r="B689" t="s">
        <v>16</v>
      </c>
      <c r="C689" t="s">
        <v>17</v>
      </c>
      <c r="D689" t="s">
        <v>18</v>
      </c>
      <c r="E689" t="s">
        <v>15</v>
      </c>
      <c r="F689">
        <v>0.69722514836809668</v>
      </c>
      <c r="G689">
        <v>0.6944502967361933</v>
      </c>
      <c r="H689">
        <v>0.7</v>
      </c>
      <c r="I689">
        <v>17058522600</v>
      </c>
      <c r="J689">
        <v>211.3</v>
      </c>
      <c r="K689">
        <v>8</v>
      </c>
    </row>
    <row r="690" spans="1:11" x14ac:dyDescent="0.25">
      <c r="A690" t="s">
        <v>282</v>
      </c>
      <c r="B690" t="s">
        <v>280</v>
      </c>
      <c r="C690" t="s">
        <v>281</v>
      </c>
      <c r="D690" t="s">
        <v>18</v>
      </c>
      <c r="E690" t="s">
        <v>26</v>
      </c>
      <c r="F690">
        <v>0.69046304706616313</v>
      </c>
      <c r="G690">
        <v>0.9309260941323263</v>
      </c>
      <c r="H690">
        <v>0.45</v>
      </c>
      <c r="I690">
        <v>2495111800</v>
      </c>
      <c r="J690">
        <v>6.2</v>
      </c>
      <c r="K690">
        <v>9</v>
      </c>
    </row>
    <row r="691" spans="1:11" x14ac:dyDescent="0.25">
      <c r="A691" t="s">
        <v>282</v>
      </c>
      <c r="B691" t="s">
        <v>186</v>
      </c>
      <c r="C691" t="s">
        <v>187</v>
      </c>
      <c r="D691" t="s">
        <v>32</v>
      </c>
      <c r="E691" t="s">
        <v>74</v>
      </c>
      <c r="F691">
        <v>0.66313572239709995</v>
      </c>
      <c r="G691">
        <v>0.82627144479419989</v>
      </c>
      <c r="H691">
        <v>0.5</v>
      </c>
      <c r="I691">
        <v>12705074400</v>
      </c>
      <c r="J691">
        <v>10.9</v>
      </c>
      <c r="K691">
        <v>10</v>
      </c>
    </row>
    <row r="692" spans="1:11" x14ac:dyDescent="0.25">
      <c r="A692" t="s">
        <v>282</v>
      </c>
      <c r="B692" t="s">
        <v>162</v>
      </c>
      <c r="C692" t="s">
        <v>163</v>
      </c>
      <c r="D692" t="s">
        <v>32</v>
      </c>
      <c r="E692" t="s">
        <v>29</v>
      </c>
      <c r="F692">
        <v>0.66169197678207392</v>
      </c>
      <c r="G692">
        <v>0.67338395356414793</v>
      </c>
      <c r="H692">
        <v>0.65</v>
      </c>
      <c r="I692">
        <v>534759251600</v>
      </c>
      <c r="J692">
        <v>12.5</v>
      </c>
      <c r="K692">
        <v>11</v>
      </c>
    </row>
    <row r="693" spans="1:11" x14ac:dyDescent="0.25">
      <c r="A693" t="s">
        <v>282</v>
      </c>
      <c r="B693" t="s">
        <v>273</v>
      </c>
      <c r="C693" t="s">
        <v>274</v>
      </c>
      <c r="D693" t="s">
        <v>32</v>
      </c>
      <c r="E693" t="s">
        <v>275</v>
      </c>
      <c r="F693">
        <v>0.64836144674008556</v>
      </c>
      <c r="G693">
        <v>0.59672289348017116</v>
      </c>
      <c r="H693">
        <v>0.7</v>
      </c>
      <c r="I693">
        <v>2424760700</v>
      </c>
      <c r="J693">
        <v>34.950000000000003</v>
      </c>
      <c r="K693">
        <v>12</v>
      </c>
    </row>
    <row r="694" spans="1:11" x14ac:dyDescent="0.25">
      <c r="A694" t="s">
        <v>282</v>
      </c>
      <c r="B694" t="s">
        <v>278</v>
      </c>
      <c r="C694" t="s">
        <v>279</v>
      </c>
      <c r="D694" t="s">
        <v>32</v>
      </c>
      <c r="E694" t="s">
        <v>23</v>
      </c>
      <c r="F694">
        <v>0.62316143158482995</v>
      </c>
      <c r="G694">
        <v>0.94632286316965986</v>
      </c>
      <c r="H694">
        <v>0.3</v>
      </c>
      <c r="I694">
        <v>6869244320</v>
      </c>
      <c r="J694">
        <v>8.5</v>
      </c>
      <c r="K694">
        <v>13</v>
      </c>
    </row>
    <row r="695" spans="1:11" x14ac:dyDescent="0.25">
      <c r="A695" t="s">
        <v>282</v>
      </c>
      <c r="B695" t="s">
        <v>183</v>
      </c>
      <c r="C695" t="s">
        <v>184</v>
      </c>
      <c r="D695" t="s">
        <v>32</v>
      </c>
      <c r="E695" t="s">
        <v>33</v>
      </c>
      <c r="F695">
        <v>0.61948451998548126</v>
      </c>
      <c r="G695">
        <v>0.5889690399709625</v>
      </c>
      <c r="H695">
        <v>0.65</v>
      </c>
      <c r="I695">
        <v>4249080740</v>
      </c>
      <c r="J695">
        <v>2.0499999999999998</v>
      </c>
      <c r="K695">
        <v>14</v>
      </c>
    </row>
    <row r="696" spans="1:11" x14ac:dyDescent="0.25">
      <c r="A696" t="s">
        <v>282</v>
      </c>
      <c r="B696" t="s">
        <v>257</v>
      </c>
      <c r="C696" t="s">
        <v>258</v>
      </c>
      <c r="D696" t="s">
        <v>14</v>
      </c>
      <c r="E696" t="s">
        <v>259</v>
      </c>
      <c r="F696">
        <v>0.60807418086799048</v>
      </c>
      <c r="G696">
        <v>0.71614836173598095</v>
      </c>
      <c r="H696">
        <v>0.5</v>
      </c>
      <c r="I696">
        <v>2603113600</v>
      </c>
      <c r="J696">
        <v>10</v>
      </c>
      <c r="K696">
        <v>15</v>
      </c>
    </row>
    <row r="697" spans="1:11" x14ac:dyDescent="0.25">
      <c r="A697" t="s">
        <v>282</v>
      </c>
      <c r="B697" t="s">
        <v>179</v>
      </c>
      <c r="C697" t="s">
        <v>180</v>
      </c>
      <c r="D697" t="s">
        <v>32</v>
      </c>
      <c r="E697" t="s">
        <v>124</v>
      </c>
      <c r="F697">
        <v>0.60351858791526536</v>
      </c>
      <c r="G697">
        <v>0.95703717583053072</v>
      </c>
      <c r="H697">
        <v>0.25</v>
      </c>
      <c r="I697">
        <v>294740691800</v>
      </c>
      <c r="J697">
        <v>27.3</v>
      </c>
      <c r="K697">
        <v>16</v>
      </c>
    </row>
    <row r="698" spans="1:11" x14ac:dyDescent="0.25">
      <c r="A698" t="s">
        <v>282</v>
      </c>
      <c r="B698" t="s">
        <v>287</v>
      </c>
      <c r="C698" t="s">
        <v>288</v>
      </c>
      <c r="D698" t="s">
        <v>14</v>
      </c>
      <c r="E698" t="s">
        <v>59</v>
      </c>
      <c r="F698">
        <v>0.59967214283119596</v>
      </c>
      <c r="G698">
        <v>0.84934428566239195</v>
      </c>
      <c r="H698">
        <v>0.35</v>
      </c>
      <c r="I698">
        <v>39710371400</v>
      </c>
      <c r="J698">
        <v>20.100000000000001</v>
      </c>
      <c r="K698">
        <v>17</v>
      </c>
    </row>
    <row r="699" spans="1:11" x14ac:dyDescent="0.25">
      <c r="A699" t="s">
        <v>282</v>
      </c>
      <c r="B699" t="s">
        <v>84</v>
      </c>
      <c r="C699" t="s">
        <v>85</v>
      </c>
      <c r="D699" t="s">
        <v>14</v>
      </c>
      <c r="E699" t="s">
        <v>42</v>
      </c>
      <c r="F699">
        <v>0.59763709957508837</v>
      </c>
      <c r="G699">
        <v>0.79527419915017672</v>
      </c>
      <c r="H699">
        <v>0.4</v>
      </c>
      <c r="I699">
        <v>8034767400</v>
      </c>
      <c r="J699">
        <v>137.9</v>
      </c>
      <c r="K699">
        <v>18</v>
      </c>
    </row>
    <row r="700" spans="1:11" x14ac:dyDescent="0.25">
      <c r="A700" t="s">
        <v>282</v>
      </c>
      <c r="B700" t="s">
        <v>152</v>
      </c>
      <c r="C700" t="s">
        <v>153</v>
      </c>
      <c r="D700" t="s">
        <v>32</v>
      </c>
      <c r="E700" t="s">
        <v>74</v>
      </c>
      <c r="F700">
        <v>0.59684297526585428</v>
      </c>
      <c r="G700">
        <v>0.89368595053170852</v>
      </c>
      <c r="H700">
        <v>0.3</v>
      </c>
      <c r="I700">
        <v>529458873000</v>
      </c>
      <c r="J700">
        <v>40.450000000000003</v>
      </c>
      <c r="K700">
        <v>19</v>
      </c>
    </row>
    <row r="701" spans="1:11" x14ac:dyDescent="0.25">
      <c r="A701" t="s">
        <v>282</v>
      </c>
      <c r="B701" t="s">
        <v>19</v>
      </c>
      <c r="C701" t="s">
        <v>20</v>
      </c>
      <c r="D701" t="s">
        <v>18</v>
      </c>
      <c r="E701" t="s">
        <v>15</v>
      </c>
      <c r="F701">
        <v>0.59030620422512703</v>
      </c>
      <c r="G701">
        <v>0.83061240845025419</v>
      </c>
      <c r="H701">
        <v>0.35</v>
      </c>
      <c r="I701">
        <v>3361921400</v>
      </c>
      <c r="J701">
        <v>347.2</v>
      </c>
      <c r="K701">
        <v>20</v>
      </c>
    </row>
    <row r="702" spans="1:11" x14ac:dyDescent="0.25">
      <c r="A702" t="s">
        <v>289</v>
      </c>
      <c r="B702" t="s">
        <v>82</v>
      </c>
      <c r="C702" t="s">
        <v>83</v>
      </c>
      <c r="D702" t="s">
        <v>32</v>
      </c>
      <c r="E702" t="s">
        <v>39</v>
      </c>
      <c r="F702">
        <v>0.82148374798195734</v>
      </c>
      <c r="G702">
        <v>0.94296749596391471</v>
      </c>
      <c r="H702">
        <v>0.7</v>
      </c>
      <c r="I702">
        <v>42926821200</v>
      </c>
      <c r="J702">
        <v>16.899999999999999</v>
      </c>
      <c r="K702">
        <v>1</v>
      </c>
    </row>
    <row r="703" spans="1:11" x14ac:dyDescent="0.25">
      <c r="A703" t="s">
        <v>289</v>
      </c>
      <c r="B703" t="s">
        <v>261</v>
      </c>
      <c r="C703" t="s">
        <v>262</v>
      </c>
      <c r="D703" t="s">
        <v>32</v>
      </c>
      <c r="E703" t="s">
        <v>42</v>
      </c>
      <c r="F703">
        <v>0.79803629481980531</v>
      </c>
      <c r="G703">
        <v>0.94607258963961061</v>
      </c>
      <c r="H703">
        <v>0.65</v>
      </c>
      <c r="I703">
        <v>125621185800</v>
      </c>
      <c r="J703">
        <v>60.4</v>
      </c>
      <c r="K703">
        <v>2</v>
      </c>
    </row>
    <row r="704" spans="1:11" x14ac:dyDescent="0.25">
      <c r="A704" t="s">
        <v>289</v>
      </c>
      <c r="B704" t="s">
        <v>199</v>
      </c>
      <c r="C704" t="s">
        <v>200</v>
      </c>
      <c r="D704" t="s">
        <v>32</v>
      </c>
      <c r="E704" t="s">
        <v>26</v>
      </c>
      <c r="F704">
        <v>0.7676362422620433</v>
      </c>
      <c r="G704">
        <v>0.98527248452408656</v>
      </c>
      <c r="H704">
        <v>0.55000000000000004</v>
      </c>
      <c r="I704">
        <v>5146123240</v>
      </c>
      <c r="J704">
        <v>15.3</v>
      </c>
      <c r="K704">
        <v>3</v>
      </c>
    </row>
    <row r="705" spans="1:11" x14ac:dyDescent="0.25">
      <c r="A705" t="s">
        <v>289</v>
      </c>
      <c r="B705" t="s">
        <v>280</v>
      </c>
      <c r="C705" t="s">
        <v>281</v>
      </c>
      <c r="D705" t="s">
        <v>18</v>
      </c>
      <c r="E705" t="s">
        <v>26</v>
      </c>
      <c r="F705">
        <v>0.76656242258520746</v>
      </c>
      <c r="G705">
        <v>0.98312484517041498</v>
      </c>
      <c r="H705">
        <v>0.55000000000000004</v>
      </c>
      <c r="I705">
        <v>2432793400</v>
      </c>
      <c r="J705">
        <v>6.8</v>
      </c>
      <c r="K705">
        <v>4</v>
      </c>
    </row>
    <row r="706" spans="1:11" x14ac:dyDescent="0.25">
      <c r="A706" t="s">
        <v>289</v>
      </c>
      <c r="B706" t="s">
        <v>122</v>
      </c>
      <c r="C706" t="s">
        <v>123</v>
      </c>
      <c r="D706" t="s">
        <v>32</v>
      </c>
      <c r="E706" t="s">
        <v>124</v>
      </c>
      <c r="F706">
        <v>0.71544259090612483</v>
      </c>
      <c r="G706">
        <v>0.98088518181224971</v>
      </c>
      <c r="H706">
        <v>0.45</v>
      </c>
      <c r="I706">
        <v>80090897200</v>
      </c>
      <c r="J706">
        <v>87</v>
      </c>
      <c r="K706">
        <v>5</v>
      </c>
    </row>
    <row r="707" spans="1:11" x14ac:dyDescent="0.25">
      <c r="A707" t="s">
        <v>289</v>
      </c>
      <c r="B707" t="s">
        <v>285</v>
      </c>
      <c r="C707" t="s">
        <v>286</v>
      </c>
      <c r="D707" t="s">
        <v>18</v>
      </c>
      <c r="E707" t="s">
        <v>26</v>
      </c>
      <c r="F707">
        <v>0.70468597256407506</v>
      </c>
      <c r="G707">
        <v>0.85937194512814996</v>
      </c>
      <c r="H707">
        <v>0.55000000000000004</v>
      </c>
      <c r="I707">
        <v>33514049600</v>
      </c>
      <c r="J707">
        <v>68</v>
      </c>
      <c r="K707">
        <v>6</v>
      </c>
    </row>
    <row r="708" spans="1:11" x14ac:dyDescent="0.25">
      <c r="A708" t="s">
        <v>289</v>
      </c>
      <c r="B708" t="s">
        <v>19</v>
      </c>
      <c r="C708" t="s">
        <v>20</v>
      </c>
      <c r="D708" t="s">
        <v>18</v>
      </c>
      <c r="E708" t="s">
        <v>15</v>
      </c>
      <c r="F708">
        <v>0.69372975461836872</v>
      </c>
      <c r="G708">
        <v>0.88745950923673744</v>
      </c>
      <c r="H708">
        <v>0.5</v>
      </c>
      <c r="I708">
        <v>3414720800</v>
      </c>
      <c r="J708">
        <v>345</v>
      </c>
      <c r="K708">
        <v>7</v>
      </c>
    </row>
    <row r="709" spans="1:11" x14ac:dyDescent="0.25">
      <c r="A709" t="s">
        <v>289</v>
      </c>
      <c r="B709" t="s">
        <v>173</v>
      </c>
      <c r="C709" t="s">
        <v>174</v>
      </c>
      <c r="D709" t="s">
        <v>32</v>
      </c>
      <c r="E709" t="s">
        <v>74</v>
      </c>
      <c r="F709">
        <v>0.67931667318781264</v>
      </c>
      <c r="G709">
        <v>0.95863334637562514</v>
      </c>
      <c r="H709">
        <v>0.4</v>
      </c>
      <c r="I709">
        <v>600564199880</v>
      </c>
      <c r="J709">
        <v>13.2</v>
      </c>
      <c r="K709">
        <v>8</v>
      </c>
    </row>
    <row r="710" spans="1:11" x14ac:dyDescent="0.25">
      <c r="A710" t="s">
        <v>289</v>
      </c>
      <c r="B710" t="s">
        <v>162</v>
      </c>
      <c r="C710" t="s">
        <v>163</v>
      </c>
      <c r="D710" t="s">
        <v>32</v>
      </c>
      <c r="E710" t="s">
        <v>29</v>
      </c>
      <c r="F710">
        <v>0.67893879540875923</v>
      </c>
      <c r="G710">
        <v>0.70787759081751844</v>
      </c>
      <c r="H710">
        <v>0.65</v>
      </c>
      <c r="I710">
        <v>557297734960</v>
      </c>
      <c r="J710">
        <v>12.2</v>
      </c>
      <c r="K710">
        <v>9</v>
      </c>
    </row>
    <row r="711" spans="1:11" x14ac:dyDescent="0.25">
      <c r="A711" t="s">
        <v>289</v>
      </c>
      <c r="B711" t="s">
        <v>290</v>
      </c>
      <c r="C711" t="s">
        <v>291</v>
      </c>
      <c r="D711" t="s">
        <v>14</v>
      </c>
      <c r="E711" t="s">
        <v>292</v>
      </c>
      <c r="F711">
        <v>0.67393155662830617</v>
      </c>
      <c r="G711">
        <v>0.84786311325661223</v>
      </c>
      <c r="H711">
        <v>0.5</v>
      </c>
      <c r="I711">
        <v>2530600600</v>
      </c>
      <c r="J711">
        <v>199</v>
      </c>
      <c r="K711">
        <v>10</v>
      </c>
    </row>
    <row r="712" spans="1:11" x14ac:dyDescent="0.25">
      <c r="A712" t="s">
        <v>289</v>
      </c>
      <c r="B712" t="s">
        <v>84</v>
      </c>
      <c r="C712" t="s">
        <v>85</v>
      </c>
      <c r="D712" t="s">
        <v>14</v>
      </c>
      <c r="E712" t="s">
        <v>42</v>
      </c>
      <c r="F712">
        <v>0.67065595421448454</v>
      </c>
      <c r="G712">
        <v>0.69131190842896895</v>
      </c>
      <c r="H712">
        <v>0.65</v>
      </c>
      <c r="I712">
        <v>7578116400</v>
      </c>
      <c r="J712">
        <v>128</v>
      </c>
      <c r="K712">
        <v>11</v>
      </c>
    </row>
    <row r="713" spans="1:11" x14ac:dyDescent="0.25">
      <c r="A713" t="s">
        <v>289</v>
      </c>
      <c r="B713" t="s">
        <v>183</v>
      </c>
      <c r="C713" t="s">
        <v>184</v>
      </c>
      <c r="D713" t="s">
        <v>32</v>
      </c>
      <c r="E713" t="s">
        <v>33</v>
      </c>
      <c r="F713">
        <v>0.65061046520024224</v>
      </c>
      <c r="G713">
        <v>0.60122093040048452</v>
      </c>
      <c r="H713">
        <v>0.7</v>
      </c>
      <c r="I713">
        <v>4325576340</v>
      </c>
      <c r="J713">
        <v>1.99</v>
      </c>
      <c r="K713">
        <v>12</v>
      </c>
    </row>
    <row r="714" spans="1:11" x14ac:dyDescent="0.25">
      <c r="A714" t="s">
        <v>289</v>
      </c>
      <c r="B714" t="s">
        <v>179</v>
      </c>
      <c r="C714" t="s">
        <v>180</v>
      </c>
      <c r="D714" t="s">
        <v>32</v>
      </c>
      <c r="E714" t="s">
        <v>124</v>
      </c>
      <c r="F714">
        <v>0.64629709539981017</v>
      </c>
      <c r="G714">
        <v>0.94259419079962037</v>
      </c>
      <c r="H714">
        <v>0.35</v>
      </c>
      <c r="I714">
        <v>309136400800</v>
      </c>
      <c r="J714">
        <v>26.3</v>
      </c>
      <c r="K714">
        <v>13</v>
      </c>
    </row>
    <row r="715" spans="1:11" x14ac:dyDescent="0.25">
      <c r="A715" t="s">
        <v>289</v>
      </c>
      <c r="B715" t="s">
        <v>283</v>
      </c>
      <c r="C715" t="s">
        <v>284</v>
      </c>
      <c r="D715" t="s">
        <v>18</v>
      </c>
      <c r="E715" t="s">
        <v>33</v>
      </c>
      <c r="F715">
        <v>0.63924374761434777</v>
      </c>
      <c r="G715">
        <v>0.77848749522869554</v>
      </c>
      <c r="H715">
        <v>0.5</v>
      </c>
      <c r="I715">
        <v>4114159400</v>
      </c>
      <c r="J715">
        <v>6.9</v>
      </c>
      <c r="K715">
        <v>14</v>
      </c>
    </row>
    <row r="716" spans="1:11" x14ac:dyDescent="0.25">
      <c r="A716" t="s">
        <v>289</v>
      </c>
      <c r="B716" t="s">
        <v>273</v>
      </c>
      <c r="C716" t="s">
        <v>274</v>
      </c>
      <c r="D716" t="s">
        <v>32</v>
      </c>
      <c r="E716" t="s">
        <v>275</v>
      </c>
      <c r="F716">
        <v>0.63848368532021782</v>
      </c>
      <c r="G716">
        <v>0.47696737064043571</v>
      </c>
      <c r="H716">
        <v>0.8</v>
      </c>
      <c r="I716">
        <v>2389804700</v>
      </c>
      <c r="J716">
        <v>34</v>
      </c>
      <c r="K716">
        <v>15</v>
      </c>
    </row>
    <row r="717" spans="1:11" x14ac:dyDescent="0.25">
      <c r="A717" t="s">
        <v>289</v>
      </c>
      <c r="B717" t="s">
        <v>287</v>
      </c>
      <c r="C717" t="s">
        <v>288</v>
      </c>
      <c r="D717" t="s">
        <v>14</v>
      </c>
      <c r="E717" t="s">
        <v>59</v>
      </c>
      <c r="F717">
        <v>0.63578486174460813</v>
      </c>
      <c r="G717">
        <v>0.77156972348921626</v>
      </c>
      <c r="H717">
        <v>0.5</v>
      </c>
      <c r="I717">
        <v>40788269400</v>
      </c>
      <c r="J717">
        <v>19.8</v>
      </c>
      <c r="K717">
        <v>16</v>
      </c>
    </row>
    <row r="718" spans="1:11" x14ac:dyDescent="0.25">
      <c r="A718" t="s">
        <v>289</v>
      </c>
      <c r="B718" t="s">
        <v>169</v>
      </c>
      <c r="C718" t="s">
        <v>170</v>
      </c>
      <c r="D718" t="s">
        <v>32</v>
      </c>
      <c r="E718" t="s">
        <v>23</v>
      </c>
      <c r="F718">
        <v>0.61802186807360093</v>
      </c>
      <c r="G718">
        <v>0.61802186807360093</v>
      </c>
      <c r="I718">
        <v>5068081100</v>
      </c>
      <c r="J718">
        <v>12.3</v>
      </c>
      <c r="K718">
        <v>17</v>
      </c>
    </row>
    <row r="719" spans="1:11" x14ac:dyDescent="0.25">
      <c r="A719" t="s">
        <v>289</v>
      </c>
      <c r="B719" t="s">
        <v>135</v>
      </c>
      <c r="C719" t="s">
        <v>136</v>
      </c>
      <c r="D719" t="s">
        <v>32</v>
      </c>
      <c r="E719" t="s">
        <v>29</v>
      </c>
      <c r="F719">
        <v>0.60668549007197536</v>
      </c>
      <c r="G719">
        <v>0.76337098014395077</v>
      </c>
      <c r="H719">
        <v>0.45</v>
      </c>
      <c r="I719">
        <v>336290097000</v>
      </c>
      <c r="J719">
        <v>15</v>
      </c>
      <c r="K719">
        <v>18</v>
      </c>
    </row>
    <row r="720" spans="1:11" x14ac:dyDescent="0.25">
      <c r="A720" t="s">
        <v>289</v>
      </c>
      <c r="B720" t="s">
        <v>278</v>
      </c>
      <c r="C720" t="s">
        <v>279</v>
      </c>
      <c r="D720" t="s">
        <v>32</v>
      </c>
      <c r="E720" t="s">
        <v>23</v>
      </c>
      <c r="F720">
        <v>0.60502492902392691</v>
      </c>
      <c r="G720">
        <v>0.96004985804785381</v>
      </c>
      <c r="H720">
        <v>0.25</v>
      </c>
      <c r="I720">
        <v>6815835200</v>
      </c>
      <c r="J720">
        <v>8.5</v>
      </c>
      <c r="K720">
        <v>19</v>
      </c>
    </row>
    <row r="721" spans="1:11" x14ac:dyDescent="0.25">
      <c r="A721" t="s">
        <v>289</v>
      </c>
      <c r="B721" t="s">
        <v>152</v>
      </c>
      <c r="C721" t="s">
        <v>153</v>
      </c>
      <c r="D721" t="s">
        <v>32</v>
      </c>
      <c r="E721" t="s">
        <v>74</v>
      </c>
      <c r="F721">
        <v>0.60199828540268341</v>
      </c>
      <c r="G721">
        <v>0.90399657080536677</v>
      </c>
      <c r="H721">
        <v>0.3</v>
      </c>
      <c r="I721">
        <v>539243217600</v>
      </c>
      <c r="J721">
        <v>40.65</v>
      </c>
      <c r="K721">
        <v>20</v>
      </c>
    </row>
    <row r="722" spans="1:11" x14ac:dyDescent="0.25">
      <c r="A722" t="s">
        <v>293</v>
      </c>
      <c r="B722" t="s">
        <v>82</v>
      </c>
      <c r="C722" t="s">
        <v>83</v>
      </c>
      <c r="D722" t="s">
        <v>32</v>
      </c>
      <c r="E722" t="s">
        <v>39</v>
      </c>
      <c r="F722">
        <v>0.83727150046902943</v>
      </c>
      <c r="G722">
        <v>0.92454300093805886</v>
      </c>
      <c r="H722">
        <v>0.75</v>
      </c>
      <c r="I722">
        <v>42142943600</v>
      </c>
      <c r="J722">
        <v>16.95</v>
      </c>
      <c r="K722">
        <v>1</v>
      </c>
    </row>
    <row r="723" spans="1:11" x14ac:dyDescent="0.25">
      <c r="A723" t="s">
        <v>293</v>
      </c>
      <c r="B723" t="s">
        <v>285</v>
      </c>
      <c r="C723" t="s">
        <v>286</v>
      </c>
      <c r="D723" t="s">
        <v>18</v>
      </c>
      <c r="E723" t="s">
        <v>26</v>
      </c>
      <c r="F723">
        <v>0.72049441335342901</v>
      </c>
      <c r="G723">
        <v>0.89098882670685808</v>
      </c>
      <c r="H723">
        <v>0.55000000000000004</v>
      </c>
      <c r="I723">
        <v>34423495200</v>
      </c>
      <c r="J723">
        <v>70.8</v>
      </c>
      <c r="K723">
        <v>2</v>
      </c>
    </row>
    <row r="724" spans="1:11" x14ac:dyDescent="0.25">
      <c r="A724" t="s">
        <v>293</v>
      </c>
      <c r="B724" t="s">
        <v>287</v>
      </c>
      <c r="C724" t="s">
        <v>288</v>
      </c>
      <c r="D724" t="s">
        <v>14</v>
      </c>
      <c r="E724" t="s">
        <v>59</v>
      </c>
      <c r="F724">
        <v>0.70664071080913393</v>
      </c>
      <c r="G724">
        <v>0.91328142161826797</v>
      </c>
      <c r="H724">
        <v>0.5</v>
      </c>
      <c r="I724">
        <v>42118540400</v>
      </c>
      <c r="J724">
        <v>21</v>
      </c>
      <c r="K724">
        <v>3</v>
      </c>
    </row>
    <row r="725" spans="1:11" x14ac:dyDescent="0.25">
      <c r="A725" t="s">
        <v>293</v>
      </c>
      <c r="B725" t="s">
        <v>169</v>
      </c>
      <c r="C725" t="s">
        <v>170</v>
      </c>
      <c r="D725" t="s">
        <v>32</v>
      </c>
      <c r="E725" t="s">
        <v>23</v>
      </c>
      <c r="F725">
        <v>0.70259560158622625</v>
      </c>
      <c r="G725">
        <v>0.70259560158622625</v>
      </c>
      <c r="I725">
        <v>5094093200</v>
      </c>
      <c r="J725">
        <v>12.65</v>
      </c>
      <c r="K725">
        <v>4</v>
      </c>
    </row>
    <row r="726" spans="1:11" x14ac:dyDescent="0.25">
      <c r="A726" t="s">
        <v>293</v>
      </c>
      <c r="B726" t="s">
        <v>280</v>
      </c>
      <c r="C726" t="s">
        <v>281</v>
      </c>
      <c r="D726" t="s">
        <v>18</v>
      </c>
      <c r="E726" t="s">
        <v>26</v>
      </c>
      <c r="F726">
        <v>0.69578568766979076</v>
      </c>
      <c r="G726">
        <v>0.9915713753395814</v>
      </c>
      <c r="H726">
        <v>0.4</v>
      </c>
      <c r="I726">
        <v>2384764000</v>
      </c>
      <c r="J726">
        <v>7.3</v>
      </c>
      <c r="K726">
        <v>5</v>
      </c>
    </row>
    <row r="727" spans="1:11" x14ac:dyDescent="0.25">
      <c r="A727" t="s">
        <v>293</v>
      </c>
      <c r="B727" t="s">
        <v>283</v>
      </c>
      <c r="C727" t="s">
        <v>284</v>
      </c>
      <c r="D727" t="s">
        <v>18</v>
      </c>
      <c r="E727" t="s">
        <v>33</v>
      </c>
      <c r="F727">
        <v>0.68716399673758288</v>
      </c>
      <c r="G727">
        <v>0.92432799347516581</v>
      </c>
      <c r="H727">
        <v>0.45</v>
      </c>
      <c r="I727">
        <v>4391727400</v>
      </c>
      <c r="J727">
        <v>7.4</v>
      </c>
      <c r="K727">
        <v>6</v>
      </c>
    </row>
    <row r="728" spans="1:11" x14ac:dyDescent="0.25">
      <c r="A728" t="s">
        <v>293</v>
      </c>
      <c r="B728" t="s">
        <v>261</v>
      </c>
      <c r="C728" t="s">
        <v>262</v>
      </c>
      <c r="D728" t="s">
        <v>32</v>
      </c>
      <c r="E728" t="s">
        <v>42</v>
      </c>
      <c r="F728">
        <v>0.67661130837397121</v>
      </c>
      <c r="G728">
        <v>0.90322261674794235</v>
      </c>
      <c r="H728">
        <v>0.45</v>
      </c>
      <c r="I728">
        <v>124430004800</v>
      </c>
      <c r="J728">
        <v>59.9</v>
      </c>
      <c r="K728">
        <v>7</v>
      </c>
    </row>
    <row r="729" spans="1:11" x14ac:dyDescent="0.25">
      <c r="A729" t="s">
        <v>293</v>
      </c>
      <c r="B729" t="s">
        <v>179</v>
      </c>
      <c r="C729" t="s">
        <v>180</v>
      </c>
      <c r="D729" t="s">
        <v>32</v>
      </c>
      <c r="E729" t="s">
        <v>124</v>
      </c>
      <c r="F729">
        <v>0.66217373823883652</v>
      </c>
      <c r="G729">
        <v>0.92434747647767301</v>
      </c>
      <c r="H729">
        <v>0.4</v>
      </c>
      <c r="I729">
        <v>312308283500</v>
      </c>
      <c r="J729">
        <v>26.95</v>
      </c>
      <c r="K729">
        <v>8</v>
      </c>
    </row>
    <row r="730" spans="1:11" x14ac:dyDescent="0.25">
      <c r="A730" t="s">
        <v>293</v>
      </c>
      <c r="B730" t="s">
        <v>199</v>
      </c>
      <c r="C730" t="s">
        <v>200</v>
      </c>
      <c r="D730" t="s">
        <v>32</v>
      </c>
      <c r="E730" t="s">
        <v>26</v>
      </c>
      <c r="F730">
        <v>0.66062378531357313</v>
      </c>
      <c r="G730">
        <v>0.97124757062714628</v>
      </c>
      <c r="H730">
        <v>0.35</v>
      </c>
      <c r="I730">
        <v>5307451120</v>
      </c>
      <c r="J730">
        <v>14.25</v>
      </c>
      <c r="K730">
        <v>9</v>
      </c>
    </row>
    <row r="731" spans="1:11" x14ac:dyDescent="0.25">
      <c r="A731" t="s">
        <v>293</v>
      </c>
      <c r="B731" t="s">
        <v>257</v>
      </c>
      <c r="C731" t="s">
        <v>258</v>
      </c>
      <c r="D731" t="s">
        <v>14</v>
      </c>
      <c r="E731" t="s">
        <v>259</v>
      </c>
      <c r="F731">
        <v>0.64066355173060985</v>
      </c>
      <c r="G731">
        <v>0.73132710346121976</v>
      </c>
      <c r="H731">
        <v>0.55000000000000004</v>
      </c>
      <c r="I731">
        <v>2668691200</v>
      </c>
      <c r="J731">
        <v>9.9</v>
      </c>
      <c r="K731">
        <v>10</v>
      </c>
    </row>
    <row r="732" spans="1:11" x14ac:dyDescent="0.25">
      <c r="A732" t="s">
        <v>293</v>
      </c>
      <c r="B732" t="s">
        <v>278</v>
      </c>
      <c r="C732" t="s">
        <v>279</v>
      </c>
      <c r="D732" t="s">
        <v>32</v>
      </c>
      <c r="E732" t="s">
        <v>23</v>
      </c>
      <c r="F732">
        <v>0.63848665103723623</v>
      </c>
      <c r="G732">
        <v>0.92697330207447259</v>
      </c>
      <c r="H732">
        <v>0.35</v>
      </c>
      <c r="I732">
        <v>6872137220</v>
      </c>
      <c r="J732">
        <v>8.49</v>
      </c>
      <c r="K732">
        <v>11</v>
      </c>
    </row>
    <row r="733" spans="1:11" x14ac:dyDescent="0.25">
      <c r="A733" t="s">
        <v>293</v>
      </c>
      <c r="B733" t="s">
        <v>290</v>
      </c>
      <c r="C733" t="s">
        <v>291</v>
      </c>
      <c r="D733" t="s">
        <v>14</v>
      </c>
      <c r="E733" t="s">
        <v>292</v>
      </c>
      <c r="F733">
        <v>0.62503574208788792</v>
      </c>
      <c r="G733">
        <v>0.95007148417577592</v>
      </c>
      <c r="H733">
        <v>0.3</v>
      </c>
      <c r="I733">
        <v>2786506600</v>
      </c>
      <c r="J733">
        <v>214.8</v>
      </c>
      <c r="K733">
        <v>12</v>
      </c>
    </row>
    <row r="734" spans="1:11" x14ac:dyDescent="0.25">
      <c r="A734" t="s">
        <v>293</v>
      </c>
      <c r="B734" t="s">
        <v>84</v>
      </c>
      <c r="C734" t="s">
        <v>85</v>
      </c>
      <c r="D734" t="s">
        <v>14</v>
      </c>
      <c r="E734" t="s">
        <v>42</v>
      </c>
      <c r="F734">
        <v>0.60313075632713553</v>
      </c>
      <c r="G734">
        <v>0.75626151265427111</v>
      </c>
      <c r="H734">
        <v>0.45</v>
      </c>
      <c r="I734">
        <v>7475963800</v>
      </c>
      <c r="J734">
        <v>136</v>
      </c>
      <c r="K734">
        <v>13</v>
      </c>
    </row>
    <row r="735" spans="1:11" x14ac:dyDescent="0.25">
      <c r="A735" t="s">
        <v>293</v>
      </c>
      <c r="B735" t="s">
        <v>122</v>
      </c>
      <c r="C735" t="s">
        <v>123</v>
      </c>
      <c r="D735" t="s">
        <v>32</v>
      </c>
      <c r="E735" t="s">
        <v>124</v>
      </c>
      <c r="F735">
        <v>0.60136619621467058</v>
      </c>
      <c r="G735">
        <v>0.95273239242934127</v>
      </c>
      <c r="H735">
        <v>0.25</v>
      </c>
      <c r="I735">
        <v>80907519700</v>
      </c>
      <c r="J735">
        <v>83.5</v>
      </c>
      <c r="K735">
        <v>14</v>
      </c>
    </row>
    <row r="736" spans="1:11" x14ac:dyDescent="0.25">
      <c r="A736" t="s">
        <v>293</v>
      </c>
      <c r="B736" t="s">
        <v>294</v>
      </c>
      <c r="C736" t="s">
        <v>295</v>
      </c>
      <c r="D736" t="s">
        <v>32</v>
      </c>
      <c r="E736" t="s">
        <v>131</v>
      </c>
      <c r="F736">
        <v>0.60094230174314389</v>
      </c>
      <c r="G736">
        <v>0.70188460348628767</v>
      </c>
      <c r="H736">
        <v>0.5</v>
      </c>
      <c r="I736">
        <v>5213354800</v>
      </c>
      <c r="J736">
        <v>21.9</v>
      </c>
      <c r="K736">
        <v>15</v>
      </c>
    </row>
    <row r="737" spans="1:11" x14ac:dyDescent="0.25">
      <c r="A737" t="s">
        <v>293</v>
      </c>
      <c r="B737" t="s">
        <v>296</v>
      </c>
      <c r="C737" t="s">
        <v>297</v>
      </c>
      <c r="D737" t="s">
        <v>14</v>
      </c>
      <c r="E737" t="s">
        <v>29</v>
      </c>
      <c r="F737">
        <v>0.59889377918358</v>
      </c>
      <c r="G737">
        <v>0.89778755836716007</v>
      </c>
      <c r="H737">
        <v>0.3</v>
      </c>
      <c r="I737">
        <v>6592011600</v>
      </c>
      <c r="J737">
        <v>5.6</v>
      </c>
      <c r="K737">
        <v>16</v>
      </c>
    </row>
    <row r="738" spans="1:11" x14ac:dyDescent="0.25">
      <c r="A738" t="s">
        <v>293</v>
      </c>
      <c r="B738" t="s">
        <v>19</v>
      </c>
      <c r="C738" t="s">
        <v>20</v>
      </c>
      <c r="D738" t="s">
        <v>18</v>
      </c>
      <c r="E738" t="s">
        <v>15</v>
      </c>
      <c r="F738">
        <v>0.59483886068281466</v>
      </c>
      <c r="G738">
        <v>0.68967772136562933</v>
      </c>
      <c r="H738">
        <v>0.5</v>
      </c>
      <c r="I738">
        <v>3414486800</v>
      </c>
      <c r="J738">
        <v>327</v>
      </c>
      <c r="K738">
        <v>17</v>
      </c>
    </row>
    <row r="739" spans="1:11" x14ac:dyDescent="0.25">
      <c r="A739" t="s">
        <v>293</v>
      </c>
      <c r="B739" t="s">
        <v>298</v>
      </c>
      <c r="C739" t="s">
        <v>299</v>
      </c>
      <c r="D739" t="s">
        <v>32</v>
      </c>
      <c r="E739" t="s">
        <v>26</v>
      </c>
      <c r="F739">
        <v>0.5854347212990465</v>
      </c>
      <c r="G739">
        <v>0.62086944259809285</v>
      </c>
      <c r="H739">
        <v>0.55000000000000004</v>
      </c>
      <c r="I739">
        <v>21561654500</v>
      </c>
      <c r="J739">
        <v>14.25</v>
      </c>
      <c r="K739">
        <v>18</v>
      </c>
    </row>
    <row r="740" spans="1:11" x14ac:dyDescent="0.25">
      <c r="A740" t="s">
        <v>293</v>
      </c>
      <c r="B740" t="s">
        <v>273</v>
      </c>
      <c r="C740" t="s">
        <v>274</v>
      </c>
      <c r="D740" t="s">
        <v>32</v>
      </c>
      <c r="E740" t="s">
        <v>275</v>
      </c>
      <c r="F740">
        <v>0.58464227344172159</v>
      </c>
      <c r="G740">
        <v>0.51928454688344305</v>
      </c>
      <c r="H740">
        <v>0.65</v>
      </c>
      <c r="I740">
        <v>2344204200</v>
      </c>
      <c r="J740">
        <v>34.75</v>
      </c>
      <c r="K740">
        <v>19</v>
      </c>
    </row>
    <row r="741" spans="1:11" x14ac:dyDescent="0.25">
      <c r="A741" t="s">
        <v>293</v>
      </c>
      <c r="B741" t="s">
        <v>162</v>
      </c>
      <c r="C741" t="s">
        <v>163</v>
      </c>
      <c r="D741" t="s">
        <v>32</v>
      </c>
      <c r="E741" t="s">
        <v>29</v>
      </c>
      <c r="F741">
        <v>0.57421057461147196</v>
      </c>
      <c r="G741">
        <v>0.54842114922294394</v>
      </c>
      <c r="H741">
        <v>0.6</v>
      </c>
      <c r="I741">
        <v>561396897020</v>
      </c>
      <c r="J741">
        <v>12.25</v>
      </c>
      <c r="K741">
        <v>20</v>
      </c>
    </row>
    <row r="742" spans="1:11" x14ac:dyDescent="0.25">
      <c r="A742" t="s">
        <v>300</v>
      </c>
      <c r="B742" t="s">
        <v>82</v>
      </c>
      <c r="C742" t="s">
        <v>83</v>
      </c>
      <c r="D742" t="s">
        <v>32</v>
      </c>
      <c r="E742" t="s">
        <v>39</v>
      </c>
      <c r="F742">
        <v>0.83404054801571625</v>
      </c>
      <c r="G742">
        <v>0.9180810960314324</v>
      </c>
      <c r="H742">
        <v>0.75</v>
      </c>
      <c r="I742">
        <v>41956660400</v>
      </c>
      <c r="J742">
        <v>16.95</v>
      </c>
      <c r="K742">
        <v>1</v>
      </c>
    </row>
    <row r="743" spans="1:11" x14ac:dyDescent="0.25">
      <c r="A743" t="s">
        <v>300</v>
      </c>
      <c r="B743" t="s">
        <v>285</v>
      </c>
      <c r="C743" t="s">
        <v>286</v>
      </c>
      <c r="D743" t="s">
        <v>18</v>
      </c>
      <c r="E743" t="s">
        <v>26</v>
      </c>
      <c r="F743">
        <v>0.73904136185905078</v>
      </c>
      <c r="G743">
        <v>0.92808272371810152</v>
      </c>
      <c r="H743">
        <v>0.55000000000000004</v>
      </c>
      <c r="I743">
        <v>35725171600</v>
      </c>
      <c r="J743">
        <v>72.7</v>
      </c>
      <c r="K743">
        <v>2</v>
      </c>
    </row>
    <row r="744" spans="1:11" x14ac:dyDescent="0.25">
      <c r="A744" t="s">
        <v>300</v>
      </c>
      <c r="B744" t="s">
        <v>169</v>
      </c>
      <c r="C744" t="s">
        <v>170</v>
      </c>
      <c r="D744" t="s">
        <v>32</v>
      </c>
      <c r="E744" t="s">
        <v>23</v>
      </c>
      <c r="F744">
        <v>0.71952931580553436</v>
      </c>
      <c r="G744">
        <v>0.71952931580553436</v>
      </c>
      <c r="I744">
        <v>5170012700</v>
      </c>
      <c r="J744">
        <v>12.75</v>
      </c>
      <c r="K744">
        <v>3</v>
      </c>
    </row>
    <row r="745" spans="1:11" x14ac:dyDescent="0.25">
      <c r="A745" t="s">
        <v>300</v>
      </c>
      <c r="B745" t="s">
        <v>179</v>
      </c>
      <c r="C745" t="s">
        <v>180</v>
      </c>
      <c r="D745" t="s">
        <v>32</v>
      </c>
      <c r="E745" t="s">
        <v>124</v>
      </c>
      <c r="F745">
        <v>0.7160837413262261</v>
      </c>
      <c r="G745">
        <v>0.9321674826524522</v>
      </c>
      <c r="H745">
        <v>0.5</v>
      </c>
      <c r="I745">
        <v>319496348700</v>
      </c>
      <c r="J745">
        <v>26.8</v>
      </c>
      <c r="K745">
        <v>4</v>
      </c>
    </row>
    <row r="746" spans="1:11" x14ac:dyDescent="0.25">
      <c r="A746" t="s">
        <v>300</v>
      </c>
      <c r="B746" t="s">
        <v>287</v>
      </c>
      <c r="C746" t="s">
        <v>288</v>
      </c>
      <c r="D746" t="s">
        <v>14</v>
      </c>
      <c r="E746" t="s">
        <v>59</v>
      </c>
      <c r="F746">
        <v>0.71088557444967626</v>
      </c>
      <c r="G746">
        <v>0.92177114889935252</v>
      </c>
      <c r="H746">
        <v>0.5</v>
      </c>
      <c r="I746">
        <v>42786345800</v>
      </c>
      <c r="J746">
        <v>21.6</v>
      </c>
      <c r="K746">
        <v>5</v>
      </c>
    </row>
    <row r="747" spans="1:11" x14ac:dyDescent="0.25">
      <c r="A747" t="s">
        <v>300</v>
      </c>
      <c r="B747" t="s">
        <v>290</v>
      </c>
      <c r="C747" t="s">
        <v>291</v>
      </c>
      <c r="D747" t="s">
        <v>14</v>
      </c>
      <c r="E747" t="s">
        <v>292</v>
      </c>
      <c r="F747">
        <v>0.70490221182030677</v>
      </c>
      <c r="G747">
        <v>0.90980442364061342</v>
      </c>
      <c r="H747">
        <v>0.5</v>
      </c>
      <c r="I747">
        <v>2903619200</v>
      </c>
      <c r="J747">
        <v>209.5</v>
      </c>
      <c r="K747">
        <v>6</v>
      </c>
    </row>
    <row r="748" spans="1:11" x14ac:dyDescent="0.25">
      <c r="A748" t="s">
        <v>300</v>
      </c>
      <c r="B748" t="s">
        <v>84</v>
      </c>
      <c r="C748" t="s">
        <v>85</v>
      </c>
      <c r="D748" t="s">
        <v>14</v>
      </c>
      <c r="E748" t="s">
        <v>42</v>
      </c>
      <c r="F748">
        <v>0.66048088891119794</v>
      </c>
      <c r="G748">
        <v>0.77096177782239583</v>
      </c>
      <c r="H748">
        <v>0.55000000000000004</v>
      </c>
      <c r="I748">
        <v>7436229200</v>
      </c>
      <c r="J748">
        <v>135.9</v>
      </c>
      <c r="K748">
        <v>7</v>
      </c>
    </row>
    <row r="749" spans="1:11" x14ac:dyDescent="0.25">
      <c r="A749" t="s">
        <v>300</v>
      </c>
      <c r="B749" t="s">
        <v>280</v>
      </c>
      <c r="C749" t="s">
        <v>281</v>
      </c>
      <c r="D749" t="s">
        <v>18</v>
      </c>
      <c r="E749" t="s">
        <v>26</v>
      </c>
      <c r="F749">
        <v>0.64646375287337232</v>
      </c>
      <c r="G749">
        <v>0.9929275057467446</v>
      </c>
      <c r="H749">
        <v>0.3</v>
      </c>
      <c r="I749">
        <v>2632892000</v>
      </c>
      <c r="J749">
        <v>8</v>
      </c>
      <c r="K749">
        <v>8</v>
      </c>
    </row>
    <row r="750" spans="1:11" x14ac:dyDescent="0.25">
      <c r="A750" t="s">
        <v>300</v>
      </c>
      <c r="B750" t="s">
        <v>261</v>
      </c>
      <c r="C750" t="s">
        <v>262</v>
      </c>
      <c r="D750" t="s">
        <v>32</v>
      </c>
      <c r="E750" t="s">
        <v>42</v>
      </c>
      <c r="F750">
        <v>0.61884316020046537</v>
      </c>
      <c r="G750">
        <v>0.88768632040093065</v>
      </c>
      <c r="H750">
        <v>0.35</v>
      </c>
      <c r="I750">
        <v>124534011200</v>
      </c>
      <c r="J750">
        <v>59.6</v>
      </c>
      <c r="K750">
        <v>9</v>
      </c>
    </row>
    <row r="751" spans="1:11" x14ac:dyDescent="0.25">
      <c r="A751" t="s">
        <v>300</v>
      </c>
      <c r="B751" t="s">
        <v>204</v>
      </c>
      <c r="C751" t="s">
        <v>205</v>
      </c>
      <c r="D751" t="s">
        <v>18</v>
      </c>
      <c r="E751" t="s">
        <v>29</v>
      </c>
      <c r="F751">
        <v>0.60425531837416258</v>
      </c>
      <c r="G751">
        <v>0.90851063674832511</v>
      </c>
      <c r="H751">
        <v>0.3</v>
      </c>
      <c r="I751">
        <v>2531437200</v>
      </c>
      <c r="J751">
        <v>7.4</v>
      </c>
      <c r="K751">
        <v>10</v>
      </c>
    </row>
    <row r="752" spans="1:11" x14ac:dyDescent="0.25">
      <c r="A752" t="s">
        <v>300</v>
      </c>
      <c r="B752" t="s">
        <v>122</v>
      </c>
      <c r="C752" t="s">
        <v>123</v>
      </c>
      <c r="D752" t="s">
        <v>32</v>
      </c>
      <c r="E752" t="s">
        <v>124</v>
      </c>
      <c r="F752">
        <v>0.60304112565187107</v>
      </c>
      <c r="G752">
        <v>0.95608225130374214</v>
      </c>
      <c r="H752">
        <v>0.25</v>
      </c>
      <c r="I752">
        <v>81380169700</v>
      </c>
      <c r="J752">
        <v>84.5</v>
      </c>
      <c r="K752">
        <v>11</v>
      </c>
    </row>
    <row r="753" spans="1:11" x14ac:dyDescent="0.25">
      <c r="A753" t="s">
        <v>300</v>
      </c>
      <c r="B753" t="s">
        <v>278</v>
      </c>
      <c r="C753" t="s">
        <v>279</v>
      </c>
      <c r="D753" t="s">
        <v>32</v>
      </c>
      <c r="E753" t="s">
        <v>23</v>
      </c>
      <c r="F753">
        <v>0.59343450734283332</v>
      </c>
      <c r="G753">
        <v>0.93686901468566652</v>
      </c>
      <c r="H753">
        <v>0.25</v>
      </c>
      <c r="I753">
        <v>6901375020</v>
      </c>
      <c r="J753">
        <v>8.58</v>
      </c>
      <c r="K753">
        <v>12</v>
      </c>
    </row>
    <row r="754" spans="1:11" x14ac:dyDescent="0.25">
      <c r="A754" t="s">
        <v>300</v>
      </c>
      <c r="B754" t="s">
        <v>273</v>
      </c>
      <c r="C754" t="s">
        <v>274</v>
      </c>
      <c r="D754" t="s">
        <v>32</v>
      </c>
      <c r="E754" t="s">
        <v>275</v>
      </c>
      <c r="F754">
        <v>0.58964431529110517</v>
      </c>
      <c r="G754">
        <v>0.52928863058221032</v>
      </c>
      <c r="H754">
        <v>0.65</v>
      </c>
      <c r="I754">
        <v>2212362500</v>
      </c>
      <c r="J754">
        <v>34.799999999999997</v>
      </c>
      <c r="K754">
        <v>13</v>
      </c>
    </row>
    <row r="755" spans="1:11" x14ac:dyDescent="0.25">
      <c r="A755" t="s">
        <v>300</v>
      </c>
      <c r="B755" t="s">
        <v>294</v>
      </c>
      <c r="C755" t="s">
        <v>295</v>
      </c>
      <c r="D755" t="s">
        <v>32</v>
      </c>
      <c r="E755" t="s">
        <v>131</v>
      </c>
      <c r="F755">
        <v>0.58918554385067434</v>
      </c>
      <c r="G755">
        <v>0.67837108770134869</v>
      </c>
      <c r="H755">
        <v>0.5</v>
      </c>
      <c r="I755">
        <v>5297330800</v>
      </c>
      <c r="J755">
        <v>22</v>
      </c>
      <c r="K755">
        <v>14</v>
      </c>
    </row>
    <row r="756" spans="1:11" x14ac:dyDescent="0.25">
      <c r="A756" t="s">
        <v>300</v>
      </c>
      <c r="B756" t="s">
        <v>158</v>
      </c>
      <c r="C756" t="s">
        <v>159</v>
      </c>
      <c r="D756" t="s">
        <v>32</v>
      </c>
      <c r="E756" t="s">
        <v>160</v>
      </c>
      <c r="F756">
        <v>0.58609399299470755</v>
      </c>
      <c r="G756">
        <v>0.77218798598941496</v>
      </c>
      <c r="H756">
        <v>0.4</v>
      </c>
      <c r="I756">
        <v>17284970000</v>
      </c>
      <c r="J756">
        <v>14.15</v>
      </c>
      <c r="K756">
        <v>15</v>
      </c>
    </row>
    <row r="757" spans="1:11" x14ac:dyDescent="0.25">
      <c r="A757" t="s">
        <v>300</v>
      </c>
      <c r="B757" t="s">
        <v>183</v>
      </c>
      <c r="C757" t="s">
        <v>184</v>
      </c>
      <c r="D757" t="s">
        <v>32</v>
      </c>
      <c r="E757" t="s">
        <v>33</v>
      </c>
      <c r="F757">
        <v>0.55746989133548475</v>
      </c>
      <c r="G757">
        <v>0.56493978267096934</v>
      </c>
      <c r="H757">
        <v>0.55000000000000004</v>
      </c>
      <c r="I757">
        <v>4328290380</v>
      </c>
      <c r="J757">
        <v>2.0299999999999998</v>
      </c>
      <c r="K757">
        <v>16</v>
      </c>
    </row>
    <row r="758" spans="1:11" x14ac:dyDescent="0.25">
      <c r="A758" t="s">
        <v>300</v>
      </c>
      <c r="B758" t="s">
        <v>88</v>
      </c>
      <c r="C758" t="s">
        <v>89</v>
      </c>
      <c r="D758" t="s">
        <v>32</v>
      </c>
      <c r="E758" t="s">
        <v>33</v>
      </c>
      <c r="F758">
        <v>0.55475852567502348</v>
      </c>
      <c r="G758">
        <v>0.95951705135004706</v>
      </c>
      <c r="H758">
        <v>0.15</v>
      </c>
      <c r="I758">
        <v>44451856300</v>
      </c>
      <c r="J758">
        <v>11.3</v>
      </c>
      <c r="K758">
        <v>17</v>
      </c>
    </row>
    <row r="759" spans="1:11" x14ac:dyDescent="0.25">
      <c r="A759" t="s">
        <v>300</v>
      </c>
      <c r="B759" t="s">
        <v>296</v>
      </c>
      <c r="C759" t="s">
        <v>297</v>
      </c>
      <c r="D759" t="s">
        <v>14</v>
      </c>
      <c r="E759" t="s">
        <v>29</v>
      </c>
      <c r="F759">
        <v>0.55378001732638893</v>
      </c>
      <c r="G759">
        <v>0.95756003465277795</v>
      </c>
      <c r="H759">
        <v>0.15</v>
      </c>
      <c r="I759">
        <v>7308260800</v>
      </c>
      <c r="J759">
        <v>5.9</v>
      </c>
      <c r="K759">
        <v>18</v>
      </c>
    </row>
    <row r="760" spans="1:11" x14ac:dyDescent="0.25">
      <c r="A760" t="s">
        <v>300</v>
      </c>
      <c r="B760" t="s">
        <v>301</v>
      </c>
      <c r="C760" t="s">
        <v>302</v>
      </c>
      <c r="D760" t="s">
        <v>32</v>
      </c>
      <c r="E760" t="s">
        <v>74</v>
      </c>
      <c r="F760">
        <v>0.54780001343643181</v>
      </c>
      <c r="G760">
        <v>0.79560002687286369</v>
      </c>
      <c r="H760">
        <v>0.3</v>
      </c>
      <c r="I760">
        <v>4476557800</v>
      </c>
      <c r="J760">
        <v>12</v>
      </c>
      <c r="K760">
        <v>19</v>
      </c>
    </row>
    <row r="761" spans="1:11" x14ac:dyDescent="0.25">
      <c r="A761" t="s">
        <v>300</v>
      </c>
      <c r="B761" t="s">
        <v>257</v>
      </c>
      <c r="C761" t="s">
        <v>258</v>
      </c>
      <c r="D761" t="s">
        <v>14</v>
      </c>
      <c r="E761" t="s">
        <v>259</v>
      </c>
      <c r="F761">
        <v>0.54719640215286525</v>
      </c>
      <c r="G761">
        <v>0.69439280430573047</v>
      </c>
      <c r="H761">
        <v>0.4</v>
      </c>
      <c r="I761">
        <v>2677108000</v>
      </c>
      <c r="J761">
        <v>10</v>
      </c>
      <c r="K761">
        <v>20</v>
      </c>
    </row>
    <row r="762" spans="1:11" x14ac:dyDescent="0.25">
      <c r="A762" t="s">
        <v>303</v>
      </c>
      <c r="B762" t="s">
        <v>82</v>
      </c>
      <c r="C762" t="s">
        <v>83</v>
      </c>
      <c r="D762" t="s">
        <v>32</v>
      </c>
      <c r="E762" t="s">
        <v>39</v>
      </c>
      <c r="F762">
        <v>0.80930977253103276</v>
      </c>
      <c r="G762">
        <v>0.91861954506206545</v>
      </c>
      <c r="H762">
        <v>0.7</v>
      </c>
      <c r="I762">
        <v>41933997800</v>
      </c>
      <c r="J762">
        <v>16.95</v>
      </c>
      <c r="K762">
        <v>1</v>
      </c>
    </row>
    <row r="763" spans="1:11" x14ac:dyDescent="0.25">
      <c r="A763" t="s">
        <v>303</v>
      </c>
      <c r="B763" t="s">
        <v>283</v>
      </c>
      <c r="C763" t="s">
        <v>284</v>
      </c>
      <c r="D763" t="s">
        <v>18</v>
      </c>
      <c r="E763" t="s">
        <v>33</v>
      </c>
      <c r="F763">
        <v>0.76147971410490045</v>
      </c>
      <c r="G763">
        <v>0.97295942820980086</v>
      </c>
      <c r="H763">
        <v>0.55000000000000004</v>
      </c>
      <c r="I763">
        <v>4780253400</v>
      </c>
      <c r="J763">
        <v>7.9</v>
      </c>
      <c r="K763">
        <v>2</v>
      </c>
    </row>
    <row r="764" spans="1:11" x14ac:dyDescent="0.25">
      <c r="A764" t="s">
        <v>303</v>
      </c>
      <c r="B764" t="s">
        <v>186</v>
      </c>
      <c r="C764" t="s">
        <v>187</v>
      </c>
      <c r="D764" t="s">
        <v>32</v>
      </c>
      <c r="E764" t="s">
        <v>74</v>
      </c>
      <c r="F764">
        <v>0.76003088054727019</v>
      </c>
      <c r="G764">
        <v>0.92006176109454041</v>
      </c>
      <c r="H764">
        <v>0.6</v>
      </c>
      <c r="I764">
        <v>13660335600</v>
      </c>
      <c r="J764">
        <v>11.1</v>
      </c>
      <c r="K764">
        <v>3</v>
      </c>
    </row>
    <row r="765" spans="1:11" x14ac:dyDescent="0.25">
      <c r="A765" t="s">
        <v>303</v>
      </c>
      <c r="B765" t="s">
        <v>285</v>
      </c>
      <c r="C765" t="s">
        <v>286</v>
      </c>
      <c r="D765" t="s">
        <v>18</v>
      </c>
      <c r="E765" t="s">
        <v>26</v>
      </c>
      <c r="F765">
        <v>0.74773845946412987</v>
      </c>
      <c r="G765">
        <v>0.8454769189282596</v>
      </c>
      <c r="H765">
        <v>0.65</v>
      </c>
      <c r="I765">
        <v>36031033200</v>
      </c>
      <c r="J765">
        <v>71.2</v>
      </c>
      <c r="K765">
        <v>4</v>
      </c>
    </row>
    <row r="766" spans="1:11" x14ac:dyDescent="0.25">
      <c r="A766" t="s">
        <v>303</v>
      </c>
      <c r="B766" t="s">
        <v>84</v>
      </c>
      <c r="C766" t="s">
        <v>85</v>
      </c>
      <c r="D766" t="s">
        <v>14</v>
      </c>
      <c r="E766" t="s">
        <v>42</v>
      </c>
      <c r="F766">
        <v>0.71222321444693493</v>
      </c>
      <c r="G766">
        <v>0.67444642889386974</v>
      </c>
      <c r="H766">
        <v>0.75</v>
      </c>
      <c r="I766">
        <v>7227919200</v>
      </c>
      <c r="J766">
        <v>135</v>
      </c>
      <c r="K766">
        <v>5</v>
      </c>
    </row>
    <row r="767" spans="1:11" x14ac:dyDescent="0.25">
      <c r="A767" t="s">
        <v>303</v>
      </c>
      <c r="B767" t="s">
        <v>261</v>
      </c>
      <c r="C767" t="s">
        <v>262</v>
      </c>
      <c r="D767" t="s">
        <v>32</v>
      </c>
      <c r="E767" t="s">
        <v>42</v>
      </c>
      <c r="F767">
        <v>0.67955061055193811</v>
      </c>
      <c r="G767">
        <v>0.90910122110387626</v>
      </c>
      <c r="H767">
        <v>0.45</v>
      </c>
      <c r="I767">
        <v>123176765800</v>
      </c>
      <c r="J767">
        <v>60.5</v>
      </c>
      <c r="K767">
        <v>6</v>
      </c>
    </row>
    <row r="768" spans="1:11" x14ac:dyDescent="0.25">
      <c r="A768" t="s">
        <v>303</v>
      </c>
      <c r="B768" t="s">
        <v>290</v>
      </c>
      <c r="C768" t="s">
        <v>291</v>
      </c>
      <c r="D768" t="s">
        <v>14</v>
      </c>
      <c r="E768" t="s">
        <v>292</v>
      </c>
      <c r="F768">
        <v>0.6781994393473475</v>
      </c>
      <c r="G768">
        <v>0.95639887869469498</v>
      </c>
      <c r="H768">
        <v>0.4</v>
      </c>
      <c r="I768">
        <v>3068211200</v>
      </c>
      <c r="J768">
        <v>216</v>
      </c>
      <c r="K768">
        <v>7</v>
      </c>
    </row>
    <row r="769" spans="1:11" x14ac:dyDescent="0.25">
      <c r="A769" t="s">
        <v>303</v>
      </c>
      <c r="B769" t="s">
        <v>169</v>
      </c>
      <c r="C769" t="s">
        <v>170</v>
      </c>
      <c r="D769" t="s">
        <v>32</v>
      </c>
      <c r="E769" t="s">
        <v>23</v>
      </c>
      <c r="F769">
        <v>0.67599462020883383</v>
      </c>
      <c r="G769">
        <v>0.67599462020883383</v>
      </c>
      <c r="I769">
        <v>5203651000</v>
      </c>
      <c r="J769">
        <v>12.75</v>
      </c>
      <c r="K769">
        <v>8</v>
      </c>
    </row>
    <row r="770" spans="1:11" x14ac:dyDescent="0.25">
      <c r="A770" t="s">
        <v>303</v>
      </c>
      <c r="B770" t="s">
        <v>122</v>
      </c>
      <c r="C770" t="s">
        <v>123</v>
      </c>
      <c r="D770" t="s">
        <v>32</v>
      </c>
      <c r="E770" t="s">
        <v>124</v>
      </c>
      <c r="F770">
        <v>0.66758624539356592</v>
      </c>
      <c r="G770">
        <v>0.98517249078713176</v>
      </c>
      <c r="H770">
        <v>0.35</v>
      </c>
      <c r="I770">
        <v>83308117000</v>
      </c>
      <c r="J770">
        <v>90.2</v>
      </c>
      <c r="K770">
        <v>9</v>
      </c>
    </row>
    <row r="771" spans="1:11" x14ac:dyDescent="0.25">
      <c r="A771" t="s">
        <v>303</v>
      </c>
      <c r="B771" t="s">
        <v>280</v>
      </c>
      <c r="C771" t="s">
        <v>281</v>
      </c>
      <c r="D771" t="s">
        <v>18</v>
      </c>
      <c r="E771" t="s">
        <v>26</v>
      </c>
      <c r="F771">
        <v>0.6675574232022139</v>
      </c>
      <c r="G771">
        <v>0.98511484640442781</v>
      </c>
      <c r="H771">
        <v>0.35</v>
      </c>
      <c r="I771">
        <v>2998485800</v>
      </c>
      <c r="J771">
        <v>7.2</v>
      </c>
      <c r="K771">
        <v>10</v>
      </c>
    </row>
    <row r="772" spans="1:11" x14ac:dyDescent="0.25">
      <c r="A772" t="s">
        <v>303</v>
      </c>
      <c r="B772" t="s">
        <v>304</v>
      </c>
      <c r="C772" t="s">
        <v>305</v>
      </c>
      <c r="D772" t="s">
        <v>14</v>
      </c>
      <c r="E772" t="s">
        <v>15</v>
      </c>
      <c r="F772">
        <v>0.6510230957094747</v>
      </c>
      <c r="G772">
        <v>0.90204619141894937</v>
      </c>
      <c r="H772">
        <v>0.4</v>
      </c>
      <c r="I772">
        <v>2033747200</v>
      </c>
      <c r="J772">
        <v>22.6</v>
      </c>
      <c r="K772">
        <v>11</v>
      </c>
    </row>
    <row r="773" spans="1:11" x14ac:dyDescent="0.25">
      <c r="A773" t="s">
        <v>303</v>
      </c>
      <c r="B773" t="s">
        <v>229</v>
      </c>
      <c r="C773" t="s">
        <v>230</v>
      </c>
      <c r="D773" t="s">
        <v>18</v>
      </c>
      <c r="E773" t="s">
        <v>29</v>
      </c>
      <c r="F773">
        <v>0.64686373342866688</v>
      </c>
      <c r="G773">
        <v>0.89372746685733384</v>
      </c>
      <c r="H773">
        <v>0.4</v>
      </c>
      <c r="I773">
        <v>22928262800</v>
      </c>
      <c r="J773">
        <v>18.8</v>
      </c>
      <c r="K773">
        <v>12</v>
      </c>
    </row>
    <row r="774" spans="1:11" x14ac:dyDescent="0.25">
      <c r="A774" t="s">
        <v>303</v>
      </c>
      <c r="B774" t="s">
        <v>287</v>
      </c>
      <c r="C774" t="s">
        <v>288</v>
      </c>
      <c r="D774" t="s">
        <v>14</v>
      </c>
      <c r="E774" t="s">
        <v>59</v>
      </c>
      <c r="F774">
        <v>0.6390481977671687</v>
      </c>
      <c r="G774">
        <v>0.87809639553433738</v>
      </c>
      <c r="H774">
        <v>0.4</v>
      </c>
      <c r="I774">
        <v>42953535800</v>
      </c>
      <c r="J774">
        <v>21.2</v>
      </c>
      <c r="K774">
        <v>13</v>
      </c>
    </row>
    <row r="775" spans="1:11" x14ac:dyDescent="0.25">
      <c r="A775" t="s">
        <v>303</v>
      </c>
      <c r="B775" t="s">
        <v>179</v>
      </c>
      <c r="C775" t="s">
        <v>180</v>
      </c>
      <c r="D775" t="s">
        <v>32</v>
      </c>
      <c r="E775" t="s">
        <v>124</v>
      </c>
      <c r="F775">
        <v>0.62163420282120785</v>
      </c>
      <c r="G775">
        <v>0.89326840564241572</v>
      </c>
      <c r="H775">
        <v>0.35</v>
      </c>
      <c r="I775">
        <v>318351689400</v>
      </c>
      <c r="J775">
        <v>26.55</v>
      </c>
      <c r="K775">
        <v>14</v>
      </c>
    </row>
    <row r="776" spans="1:11" x14ac:dyDescent="0.25">
      <c r="A776" t="s">
        <v>303</v>
      </c>
      <c r="B776" t="s">
        <v>204</v>
      </c>
      <c r="C776" t="s">
        <v>205</v>
      </c>
      <c r="D776" t="s">
        <v>18</v>
      </c>
      <c r="E776" t="s">
        <v>29</v>
      </c>
      <c r="F776">
        <v>0.61124576756679305</v>
      </c>
      <c r="G776">
        <v>0.9724915351335861</v>
      </c>
      <c r="H776">
        <v>0.25</v>
      </c>
      <c r="I776">
        <v>2888789600</v>
      </c>
      <c r="J776">
        <v>8.1</v>
      </c>
      <c r="K776">
        <v>15</v>
      </c>
    </row>
    <row r="777" spans="1:11" x14ac:dyDescent="0.25">
      <c r="A777" t="s">
        <v>303</v>
      </c>
      <c r="B777" t="s">
        <v>273</v>
      </c>
      <c r="C777" t="s">
        <v>274</v>
      </c>
      <c r="D777" t="s">
        <v>32</v>
      </c>
      <c r="E777" t="s">
        <v>275</v>
      </c>
      <c r="F777">
        <v>0.59917108676036612</v>
      </c>
      <c r="G777">
        <v>0.49834217352073229</v>
      </c>
      <c r="H777">
        <v>0.7</v>
      </c>
      <c r="I777">
        <v>2172437700</v>
      </c>
      <c r="J777">
        <v>34.799999999999997</v>
      </c>
      <c r="K777">
        <v>16</v>
      </c>
    </row>
    <row r="778" spans="1:11" x14ac:dyDescent="0.25">
      <c r="A778" t="s">
        <v>303</v>
      </c>
      <c r="B778" t="s">
        <v>294</v>
      </c>
      <c r="C778" t="s">
        <v>295</v>
      </c>
      <c r="D778" t="s">
        <v>32</v>
      </c>
      <c r="E778" t="s">
        <v>131</v>
      </c>
      <c r="F778">
        <v>0.59498628450663427</v>
      </c>
      <c r="G778">
        <v>0.68997256901326864</v>
      </c>
      <c r="H778">
        <v>0.5</v>
      </c>
      <c r="I778">
        <v>5301358000</v>
      </c>
      <c r="J778">
        <v>22.1</v>
      </c>
      <c r="K778">
        <v>17</v>
      </c>
    </row>
    <row r="779" spans="1:11" x14ac:dyDescent="0.25">
      <c r="A779" t="s">
        <v>303</v>
      </c>
      <c r="B779" t="s">
        <v>257</v>
      </c>
      <c r="C779" t="s">
        <v>258</v>
      </c>
      <c r="D779" t="s">
        <v>14</v>
      </c>
      <c r="E779" t="s">
        <v>259</v>
      </c>
      <c r="F779">
        <v>0.59475482954469849</v>
      </c>
      <c r="G779">
        <v>0.68950965908939699</v>
      </c>
      <c r="H779">
        <v>0.5</v>
      </c>
      <c r="I779">
        <v>2697124800</v>
      </c>
      <c r="J779">
        <v>9.9</v>
      </c>
      <c r="K779">
        <v>18</v>
      </c>
    </row>
    <row r="780" spans="1:11" x14ac:dyDescent="0.25">
      <c r="A780" t="s">
        <v>303</v>
      </c>
      <c r="B780" t="s">
        <v>199</v>
      </c>
      <c r="C780" t="s">
        <v>200</v>
      </c>
      <c r="D780" t="s">
        <v>32</v>
      </c>
      <c r="E780" t="s">
        <v>26</v>
      </c>
      <c r="F780">
        <v>0.58589079589862481</v>
      </c>
      <c r="G780">
        <v>0.92178159179724972</v>
      </c>
      <c r="H780">
        <v>0.25</v>
      </c>
      <c r="I780">
        <v>5524063600</v>
      </c>
      <c r="J780">
        <v>13.65</v>
      </c>
      <c r="K780">
        <v>19</v>
      </c>
    </row>
    <row r="781" spans="1:11" x14ac:dyDescent="0.25">
      <c r="A781" t="s">
        <v>303</v>
      </c>
      <c r="B781" t="s">
        <v>183</v>
      </c>
      <c r="C781" t="s">
        <v>184</v>
      </c>
      <c r="D781" t="s">
        <v>32</v>
      </c>
      <c r="E781" t="s">
        <v>33</v>
      </c>
      <c r="F781">
        <v>0.57118366279301669</v>
      </c>
      <c r="G781">
        <v>0.59236732558603333</v>
      </c>
      <c r="H781">
        <v>0.55000000000000004</v>
      </c>
      <c r="I781">
        <v>4331657720</v>
      </c>
      <c r="J781">
        <v>2.0499999999999998</v>
      </c>
      <c r="K781">
        <v>20</v>
      </c>
    </row>
    <row r="782" spans="1:11" x14ac:dyDescent="0.25">
      <c r="A782" t="s">
        <v>306</v>
      </c>
      <c r="B782" t="s">
        <v>82</v>
      </c>
      <c r="C782" t="s">
        <v>83</v>
      </c>
      <c r="D782" t="s">
        <v>32</v>
      </c>
      <c r="E782" t="s">
        <v>39</v>
      </c>
      <c r="F782">
        <v>0.80414353051513066</v>
      </c>
      <c r="G782">
        <v>0.90828706103026136</v>
      </c>
      <c r="H782">
        <v>0.7</v>
      </c>
      <c r="I782">
        <v>41671430700</v>
      </c>
      <c r="J782">
        <v>16.95</v>
      </c>
      <c r="K782">
        <v>1</v>
      </c>
    </row>
    <row r="783" spans="1:11" x14ac:dyDescent="0.25">
      <c r="A783" t="s">
        <v>306</v>
      </c>
      <c r="B783" t="s">
        <v>283</v>
      </c>
      <c r="C783" t="s">
        <v>284</v>
      </c>
      <c r="D783" t="s">
        <v>18</v>
      </c>
      <c r="E783" t="s">
        <v>33</v>
      </c>
      <c r="F783">
        <v>0.73727896321537933</v>
      </c>
      <c r="G783">
        <v>0.97455792643075867</v>
      </c>
      <c r="H783">
        <v>0.5</v>
      </c>
      <c r="I783">
        <v>4844487400</v>
      </c>
      <c r="J783">
        <v>8.3000000000000007</v>
      </c>
      <c r="K783">
        <v>2</v>
      </c>
    </row>
    <row r="784" spans="1:11" x14ac:dyDescent="0.25">
      <c r="A784" t="s">
        <v>306</v>
      </c>
      <c r="B784" t="s">
        <v>229</v>
      </c>
      <c r="C784" t="s">
        <v>230</v>
      </c>
      <c r="D784" t="s">
        <v>18</v>
      </c>
      <c r="E784" t="s">
        <v>29</v>
      </c>
      <c r="F784">
        <v>0.72173323279950508</v>
      </c>
      <c r="G784">
        <v>0.89346646559901011</v>
      </c>
      <c r="H784">
        <v>0.55000000000000004</v>
      </c>
      <c r="I784">
        <v>22930919000</v>
      </c>
      <c r="J784">
        <v>19.3</v>
      </c>
      <c r="K784">
        <v>3</v>
      </c>
    </row>
    <row r="785" spans="1:11" x14ac:dyDescent="0.25">
      <c r="A785" t="s">
        <v>306</v>
      </c>
      <c r="B785" t="s">
        <v>186</v>
      </c>
      <c r="C785" t="s">
        <v>187</v>
      </c>
      <c r="D785" t="s">
        <v>32</v>
      </c>
      <c r="E785" t="s">
        <v>74</v>
      </c>
      <c r="F785">
        <v>0.71851022647496465</v>
      </c>
      <c r="G785">
        <v>0.88702045294992926</v>
      </c>
      <c r="H785">
        <v>0.55000000000000004</v>
      </c>
      <c r="I785">
        <v>13539871200</v>
      </c>
      <c r="J785">
        <v>11.2</v>
      </c>
      <c r="K785">
        <v>4</v>
      </c>
    </row>
    <row r="786" spans="1:11" x14ac:dyDescent="0.25">
      <c r="A786" t="s">
        <v>306</v>
      </c>
      <c r="B786" t="s">
        <v>290</v>
      </c>
      <c r="C786" t="s">
        <v>291</v>
      </c>
      <c r="D786" t="s">
        <v>14</v>
      </c>
      <c r="E786" t="s">
        <v>292</v>
      </c>
      <c r="F786">
        <v>0.69150011586956994</v>
      </c>
      <c r="G786">
        <v>0.93300023173913993</v>
      </c>
      <c r="H786">
        <v>0.45</v>
      </c>
      <c r="I786">
        <v>3179128200</v>
      </c>
      <c r="J786">
        <v>214</v>
      </c>
      <c r="K786">
        <v>5</v>
      </c>
    </row>
    <row r="787" spans="1:11" x14ac:dyDescent="0.25">
      <c r="A787" t="s">
        <v>306</v>
      </c>
      <c r="B787" t="s">
        <v>287</v>
      </c>
      <c r="C787" t="s">
        <v>288</v>
      </c>
      <c r="D787" t="s">
        <v>14</v>
      </c>
      <c r="E787" t="s">
        <v>59</v>
      </c>
      <c r="F787">
        <v>0.68210781610526405</v>
      </c>
      <c r="G787">
        <v>0.86421563221052822</v>
      </c>
      <c r="H787">
        <v>0.5</v>
      </c>
      <c r="I787">
        <v>42916382000</v>
      </c>
      <c r="J787">
        <v>21.2</v>
      </c>
      <c r="K787">
        <v>6</v>
      </c>
    </row>
    <row r="788" spans="1:11" x14ac:dyDescent="0.25">
      <c r="A788" t="s">
        <v>306</v>
      </c>
      <c r="B788" t="s">
        <v>285</v>
      </c>
      <c r="C788" t="s">
        <v>286</v>
      </c>
      <c r="D788" t="s">
        <v>18</v>
      </c>
      <c r="E788" t="s">
        <v>26</v>
      </c>
      <c r="F788">
        <v>0.67948530470238744</v>
      </c>
      <c r="G788">
        <v>0.85897060940477488</v>
      </c>
      <c r="H788">
        <v>0.5</v>
      </c>
      <c r="I788">
        <v>35980483200</v>
      </c>
      <c r="J788">
        <v>72</v>
      </c>
      <c r="K788">
        <v>7</v>
      </c>
    </row>
    <row r="789" spans="1:11" x14ac:dyDescent="0.25">
      <c r="A789" t="s">
        <v>306</v>
      </c>
      <c r="B789" t="s">
        <v>261</v>
      </c>
      <c r="C789" t="s">
        <v>262</v>
      </c>
      <c r="D789" t="s">
        <v>32</v>
      </c>
      <c r="E789" t="s">
        <v>42</v>
      </c>
      <c r="F789">
        <v>0.6770364919251155</v>
      </c>
      <c r="G789">
        <v>0.90407298385023094</v>
      </c>
      <c r="H789">
        <v>0.45</v>
      </c>
      <c r="I789">
        <v>121631248600</v>
      </c>
      <c r="J789">
        <v>60.6</v>
      </c>
      <c r="K789">
        <v>8</v>
      </c>
    </row>
    <row r="790" spans="1:11" x14ac:dyDescent="0.25">
      <c r="A790" t="s">
        <v>306</v>
      </c>
      <c r="B790" t="s">
        <v>304</v>
      </c>
      <c r="C790" t="s">
        <v>305</v>
      </c>
      <c r="D790" t="s">
        <v>14</v>
      </c>
      <c r="E790" t="s">
        <v>15</v>
      </c>
      <c r="F790">
        <v>0.65190452476034744</v>
      </c>
      <c r="G790">
        <v>0.80380904952069487</v>
      </c>
      <c r="H790">
        <v>0.5</v>
      </c>
      <c r="I790">
        <v>2024459200</v>
      </c>
      <c r="J790">
        <v>21.5</v>
      </c>
      <c r="K790">
        <v>9</v>
      </c>
    </row>
    <row r="791" spans="1:11" x14ac:dyDescent="0.25">
      <c r="A791" t="s">
        <v>306</v>
      </c>
      <c r="B791" t="s">
        <v>204</v>
      </c>
      <c r="C791" t="s">
        <v>205</v>
      </c>
      <c r="D791" t="s">
        <v>18</v>
      </c>
      <c r="E791" t="s">
        <v>29</v>
      </c>
      <c r="F791">
        <v>0.6492639776021899</v>
      </c>
      <c r="G791">
        <v>0.94852795520437982</v>
      </c>
      <c r="H791">
        <v>0.35</v>
      </c>
      <c r="I791">
        <v>2951834600</v>
      </c>
      <c r="J791">
        <v>7.8</v>
      </c>
      <c r="K791">
        <v>10</v>
      </c>
    </row>
    <row r="792" spans="1:11" x14ac:dyDescent="0.25">
      <c r="A792" t="s">
        <v>306</v>
      </c>
      <c r="B792" t="s">
        <v>273</v>
      </c>
      <c r="C792" t="s">
        <v>274</v>
      </c>
      <c r="D792" t="s">
        <v>32</v>
      </c>
      <c r="E792" t="s">
        <v>275</v>
      </c>
      <c r="F792">
        <v>0.64584824955641429</v>
      </c>
      <c r="G792">
        <v>0.49169649911282848</v>
      </c>
      <c r="H792">
        <v>0.8</v>
      </c>
      <c r="I792">
        <v>2146205500</v>
      </c>
      <c r="J792">
        <v>34.65</v>
      </c>
      <c r="K792">
        <v>11</v>
      </c>
    </row>
    <row r="793" spans="1:11" x14ac:dyDescent="0.25">
      <c r="A793" t="s">
        <v>306</v>
      </c>
      <c r="B793" t="s">
        <v>169</v>
      </c>
      <c r="C793" t="s">
        <v>170</v>
      </c>
      <c r="D793" t="s">
        <v>32</v>
      </c>
      <c r="E793" t="s">
        <v>23</v>
      </c>
      <c r="F793">
        <v>0.60822604189360763</v>
      </c>
      <c r="G793">
        <v>0.60822604189360763</v>
      </c>
      <c r="I793">
        <v>5230929200</v>
      </c>
      <c r="J793">
        <v>12.55</v>
      </c>
      <c r="K793">
        <v>12</v>
      </c>
    </row>
    <row r="794" spans="1:11" x14ac:dyDescent="0.25">
      <c r="A794" t="s">
        <v>306</v>
      </c>
      <c r="B794" t="s">
        <v>280</v>
      </c>
      <c r="C794" t="s">
        <v>281</v>
      </c>
      <c r="D794" t="s">
        <v>18</v>
      </c>
      <c r="E794" t="s">
        <v>26</v>
      </c>
      <c r="F794">
        <v>0.60242541356079005</v>
      </c>
      <c r="G794">
        <v>0.90485082712158016</v>
      </c>
      <c r="H794">
        <v>0.3</v>
      </c>
      <c r="I794">
        <v>2853319400</v>
      </c>
      <c r="J794">
        <v>6.5</v>
      </c>
      <c r="K794">
        <v>13</v>
      </c>
    </row>
    <row r="795" spans="1:11" x14ac:dyDescent="0.25">
      <c r="A795" t="s">
        <v>306</v>
      </c>
      <c r="B795" t="s">
        <v>257</v>
      </c>
      <c r="C795" t="s">
        <v>258</v>
      </c>
      <c r="D795" t="s">
        <v>14</v>
      </c>
      <c r="E795" t="s">
        <v>259</v>
      </c>
      <c r="F795">
        <v>0.59020385597835545</v>
      </c>
      <c r="G795">
        <v>0.78040771195671088</v>
      </c>
      <c r="H795">
        <v>0.4</v>
      </c>
      <c r="I795">
        <v>2741995400</v>
      </c>
      <c r="J795">
        <v>10.3</v>
      </c>
      <c r="K795">
        <v>14</v>
      </c>
    </row>
    <row r="796" spans="1:11" x14ac:dyDescent="0.25">
      <c r="A796" t="s">
        <v>306</v>
      </c>
      <c r="B796" t="s">
        <v>179</v>
      </c>
      <c r="C796" t="s">
        <v>180</v>
      </c>
      <c r="D796" t="s">
        <v>32</v>
      </c>
      <c r="E796" t="s">
        <v>124</v>
      </c>
      <c r="F796">
        <v>0.57735821375078344</v>
      </c>
      <c r="G796">
        <v>0.85471642750156684</v>
      </c>
      <c r="H796">
        <v>0.3</v>
      </c>
      <c r="I796">
        <v>318812405400</v>
      </c>
      <c r="J796">
        <v>26.05</v>
      </c>
      <c r="K796">
        <v>15</v>
      </c>
    </row>
    <row r="797" spans="1:11" x14ac:dyDescent="0.25">
      <c r="A797" t="s">
        <v>306</v>
      </c>
      <c r="B797" t="s">
        <v>122</v>
      </c>
      <c r="C797" t="s">
        <v>123</v>
      </c>
      <c r="D797" t="s">
        <v>32</v>
      </c>
      <c r="E797" t="s">
        <v>124</v>
      </c>
      <c r="F797">
        <v>0.55863662268740677</v>
      </c>
      <c r="G797">
        <v>0.91727324537481358</v>
      </c>
      <c r="H797">
        <v>0.2</v>
      </c>
      <c r="I797">
        <v>83854257400</v>
      </c>
      <c r="J797">
        <v>80.099999999999994</v>
      </c>
      <c r="K797">
        <v>16</v>
      </c>
    </row>
    <row r="798" spans="1:11" x14ac:dyDescent="0.25">
      <c r="A798" t="s">
        <v>306</v>
      </c>
      <c r="B798" t="s">
        <v>307</v>
      </c>
      <c r="C798" t="s">
        <v>308</v>
      </c>
      <c r="D798" t="s">
        <v>32</v>
      </c>
      <c r="E798" t="s">
        <v>42</v>
      </c>
      <c r="F798">
        <v>0.55796882227082589</v>
      </c>
      <c r="G798">
        <v>0.96593764454165176</v>
      </c>
      <c r="H798">
        <v>0.15</v>
      </c>
      <c r="I798">
        <v>49228153700</v>
      </c>
      <c r="J798">
        <v>20.95</v>
      </c>
      <c r="K798">
        <v>17</v>
      </c>
    </row>
    <row r="799" spans="1:11" x14ac:dyDescent="0.25">
      <c r="A799" t="s">
        <v>306</v>
      </c>
      <c r="B799" t="s">
        <v>298</v>
      </c>
      <c r="C799" t="s">
        <v>299</v>
      </c>
      <c r="D799" t="s">
        <v>32</v>
      </c>
      <c r="E799" t="s">
        <v>26</v>
      </c>
      <c r="F799">
        <v>0.55586024731763017</v>
      </c>
      <c r="G799">
        <v>0.66172049463526028</v>
      </c>
      <c r="H799">
        <v>0.45</v>
      </c>
      <c r="I799">
        <v>21452679700</v>
      </c>
      <c r="J799">
        <v>14.4</v>
      </c>
      <c r="K799">
        <v>18</v>
      </c>
    </row>
    <row r="800" spans="1:11" x14ac:dyDescent="0.25">
      <c r="A800" t="s">
        <v>306</v>
      </c>
      <c r="B800" t="s">
        <v>309</v>
      </c>
      <c r="C800" t="s">
        <v>310</v>
      </c>
      <c r="D800" t="s">
        <v>32</v>
      </c>
      <c r="E800" t="s">
        <v>33</v>
      </c>
      <c r="F800">
        <v>0.55571897284278005</v>
      </c>
      <c r="G800">
        <v>0.91143794568556014</v>
      </c>
      <c r="H800">
        <v>0.2</v>
      </c>
      <c r="I800">
        <v>138385673740</v>
      </c>
      <c r="J800">
        <v>11.45</v>
      </c>
      <c r="K800">
        <v>19</v>
      </c>
    </row>
    <row r="801" spans="1:11" x14ac:dyDescent="0.25">
      <c r="A801" t="s">
        <v>306</v>
      </c>
      <c r="B801" t="s">
        <v>24</v>
      </c>
      <c r="C801" t="s">
        <v>25</v>
      </c>
      <c r="D801" t="s">
        <v>18</v>
      </c>
      <c r="E801" t="s">
        <v>26</v>
      </c>
      <c r="F801">
        <v>0.55390353212534471</v>
      </c>
      <c r="G801">
        <v>0.80780706425068949</v>
      </c>
      <c r="H801">
        <v>0.3</v>
      </c>
      <c r="I801">
        <v>9577468800</v>
      </c>
      <c r="J801">
        <v>13.6</v>
      </c>
      <c r="K801">
        <v>20</v>
      </c>
    </row>
    <row r="802" spans="1:11" x14ac:dyDescent="0.25">
      <c r="A802" t="s">
        <v>311</v>
      </c>
      <c r="B802" t="s">
        <v>261</v>
      </c>
      <c r="C802" t="s">
        <v>262</v>
      </c>
      <c r="D802" t="s">
        <v>32</v>
      </c>
      <c r="E802" t="s">
        <v>42</v>
      </c>
      <c r="F802">
        <v>0.80751216744890297</v>
      </c>
      <c r="G802">
        <v>0.96502433489780592</v>
      </c>
      <c r="H802">
        <v>0.65</v>
      </c>
      <c r="I802">
        <v>122687568000</v>
      </c>
      <c r="J802">
        <v>64.2</v>
      </c>
      <c r="K802">
        <v>1</v>
      </c>
    </row>
    <row r="803" spans="1:11" x14ac:dyDescent="0.25">
      <c r="A803" t="s">
        <v>311</v>
      </c>
      <c r="B803" t="s">
        <v>82</v>
      </c>
      <c r="C803" t="s">
        <v>83</v>
      </c>
      <c r="D803" t="s">
        <v>32</v>
      </c>
      <c r="E803" t="s">
        <v>39</v>
      </c>
      <c r="F803">
        <v>0.80733881900210802</v>
      </c>
      <c r="G803">
        <v>0.91467763800421598</v>
      </c>
      <c r="H803">
        <v>0.7</v>
      </c>
      <c r="I803">
        <v>41563180700</v>
      </c>
      <c r="J803">
        <v>17</v>
      </c>
      <c r="K803">
        <v>2</v>
      </c>
    </row>
    <row r="804" spans="1:11" x14ac:dyDescent="0.25">
      <c r="A804" t="s">
        <v>311</v>
      </c>
      <c r="B804" t="s">
        <v>229</v>
      </c>
      <c r="C804" t="s">
        <v>230</v>
      </c>
      <c r="D804" t="s">
        <v>18</v>
      </c>
      <c r="E804" t="s">
        <v>29</v>
      </c>
      <c r="F804">
        <v>0.72651560450426222</v>
      </c>
      <c r="G804">
        <v>0.95303120900852434</v>
      </c>
      <c r="H804">
        <v>0.5</v>
      </c>
      <c r="I804">
        <v>23449552400</v>
      </c>
      <c r="J804">
        <v>20.100000000000001</v>
      </c>
      <c r="K804">
        <v>3</v>
      </c>
    </row>
    <row r="805" spans="1:11" x14ac:dyDescent="0.25">
      <c r="A805" t="s">
        <v>311</v>
      </c>
      <c r="B805" t="s">
        <v>285</v>
      </c>
      <c r="C805" t="s">
        <v>286</v>
      </c>
      <c r="D805" t="s">
        <v>18</v>
      </c>
      <c r="E805" t="s">
        <v>26</v>
      </c>
      <c r="F805">
        <v>0.72561127409370463</v>
      </c>
      <c r="G805">
        <v>0.90122254818740932</v>
      </c>
      <c r="H805">
        <v>0.55000000000000004</v>
      </c>
      <c r="I805">
        <v>35702451600</v>
      </c>
      <c r="J805">
        <v>72.599999999999994</v>
      </c>
      <c r="K805">
        <v>4</v>
      </c>
    </row>
    <row r="806" spans="1:11" x14ac:dyDescent="0.25">
      <c r="A806" t="s">
        <v>311</v>
      </c>
      <c r="B806" t="s">
        <v>283</v>
      </c>
      <c r="C806" t="s">
        <v>284</v>
      </c>
      <c r="D806" t="s">
        <v>18</v>
      </c>
      <c r="E806" t="s">
        <v>33</v>
      </c>
      <c r="F806">
        <v>0.71726986889368971</v>
      </c>
      <c r="G806">
        <v>0.98453973778737935</v>
      </c>
      <c r="H806">
        <v>0.45</v>
      </c>
      <c r="I806">
        <v>5415284400</v>
      </c>
      <c r="J806">
        <v>8.4</v>
      </c>
      <c r="K806">
        <v>5</v>
      </c>
    </row>
    <row r="807" spans="1:11" x14ac:dyDescent="0.25">
      <c r="A807" t="s">
        <v>311</v>
      </c>
      <c r="B807" t="s">
        <v>287</v>
      </c>
      <c r="C807" t="s">
        <v>288</v>
      </c>
      <c r="D807" t="s">
        <v>14</v>
      </c>
      <c r="E807" t="s">
        <v>59</v>
      </c>
      <c r="F807">
        <v>0.6873179789853554</v>
      </c>
      <c r="G807">
        <v>0.92463595797071074</v>
      </c>
      <c r="H807">
        <v>0.45</v>
      </c>
      <c r="I807">
        <v>43279790000</v>
      </c>
      <c r="J807">
        <v>21.9</v>
      </c>
      <c r="K807">
        <v>6</v>
      </c>
    </row>
    <row r="808" spans="1:11" x14ac:dyDescent="0.25">
      <c r="A808" t="s">
        <v>311</v>
      </c>
      <c r="B808" t="s">
        <v>312</v>
      </c>
      <c r="C808" t="s">
        <v>313</v>
      </c>
      <c r="D808" t="s">
        <v>32</v>
      </c>
      <c r="E808" t="s">
        <v>275</v>
      </c>
      <c r="F808">
        <v>0.6787082573872365</v>
      </c>
      <c r="G808">
        <v>0.65741651477447316</v>
      </c>
      <c r="H808">
        <v>0.7</v>
      </c>
      <c r="I808">
        <v>3718134100</v>
      </c>
      <c r="J808">
        <v>21.6</v>
      </c>
      <c r="K808">
        <v>7</v>
      </c>
    </row>
    <row r="809" spans="1:11" x14ac:dyDescent="0.25">
      <c r="A809" t="s">
        <v>311</v>
      </c>
      <c r="B809" t="s">
        <v>204</v>
      </c>
      <c r="C809" t="s">
        <v>205</v>
      </c>
      <c r="D809" t="s">
        <v>18</v>
      </c>
      <c r="E809" t="s">
        <v>29</v>
      </c>
      <c r="F809">
        <v>0.67087876155440218</v>
      </c>
      <c r="G809">
        <v>0.94175752310880434</v>
      </c>
      <c r="H809">
        <v>0.4</v>
      </c>
      <c r="I809">
        <v>2961192200</v>
      </c>
      <c r="J809">
        <v>8</v>
      </c>
      <c r="K809">
        <v>8</v>
      </c>
    </row>
    <row r="810" spans="1:11" x14ac:dyDescent="0.25">
      <c r="A810" t="s">
        <v>311</v>
      </c>
      <c r="B810" t="s">
        <v>304</v>
      </c>
      <c r="C810" t="s">
        <v>305</v>
      </c>
      <c r="D810" t="s">
        <v>14</v>
      </c>
      <c r="E810" t="s">
        <v>15</v>
      </c>
      <c r="F810">
        <v>0.67006199432854152</v>
      </c>
      <c r="G810">
        <v>0.74012398865708318</v>
      </c>
      <c r="H810">
        <v>0.6</v>
      </c>
      <c r="I810">
        <v>2051542000</v>
      </c>
      <c r="J810">
        <v>20.7</v>
      </c>
      <c r="K810">
        <v>9</v>
      </c>
    </row>
    <row r="811" spans="1:11" x14ac:dyDescent="0.25">
      <c r="A811" t="s">
        <v>311</v>
      </c>
      <c r="B811" t="s">
        <v>290</v>
      </c>
      <c r="C811" t="s">
        <v>291</v>
      </c>
      <c r="D811" t="s">
        <v>14</v>
      </c>
      <c r="E811" t="s">
        <v>292</v>
      </c>
      <c r="F811">
        <v>0.66386542775140789</v>
      </c>
      <c r="G811">
        <v>0.87773085550281571</v>
      </c>
      <c r="H811">
        <v>0.45</v>
      </c>
      <c r="I811">
        <v>3237474400</v>
      </c>
      <c r="J811">
        <v>207.1</v>
      </c>
      <c r="K811">
        <v>10</v>
      </c>
    </row>
    <row r="812" spans="1:11" x14ac:dyDescent="0.25">
      <c r="A812" t="s">
        <v>311</v>
      </c>
      <c r="B812" t="s">
        <v>176</v>
      </c>
      <c r="C812" t="s">
        <v>177</v>
      </c>
      <c r="D812" t="s">
        <v>32</v>
      </c>
      <c r="E812" t="s">
        <v>33</v>
      </c>
      <c r="F812">
        <v>0.65958221058018074</v>
      </c>
      <c r="G812">
        <v>0.9691644211603615</v>
      </c>
      <c r="H812">
        <v>0.35</v>
      </c>
      <c r="I812">
        <v>3052111120</v>
      </c>
      <c r="J812">
        <v>8.86</v>
      </c>
      <c r="K812">
        <v>11</v>
      </c>
    </row>
    <row r="813" spans="1:11" x14ac:dyDescent="0.25">
      <c r="A813" t="s">
        <v>311</v>
      </c>
      <c r="B813" t="s">
        <v>186</v>
      </c>
      <c r="C813" t="s">
        <v>187</v>
      </c>
      <c r="D813" t="s">
        <v>32</v>
      </c>
      <c r="E813" t="s">
        <v>74</v>
      </c>
      <c r="F813">
        <v>0.65829511049171985</v>
      </c>
      <c r="G813">
        <v>0.8165902209834397</v>
      </c>
      <c r="H813">
        <v>0.5</v>
      </c>
      <c r="I813">
        <v>13309752800</v>
      </c>
      <c r="J813">
        <v>11</v>
      </c>
      <c r="K813">
        <v>12</v>
      </c>
    </row>
    <row r="814" spans="1:11" x14ac:dyDescent="0.25">
      <c r="A814" t="s">
        <v>311</v>
      </c>
      <c r="B814" t="s">
        <v>280</v>
      </c>
      <c r="C814" t="s">
        <v>281</v>
      </c>
      <c r="D814" t="s">
        <v>18</v>
      </c>
      <c r="E814" t="s">
        <v>26</v>
      </c>
      <c r="F814">
        <v>0.65091226523794887</v>
      </c>
      <c r="G814">
        <v>0.7518245304758977</v>
      </c>
      <c r="H814">
        <v>0.55000000000000004</v>
      </c>
      <c r="I814">
        <v>2895312400</v>
      </c>
      <c r="J814">
        <v>6.1</v>
      </c>
      <c r="K814">
        <v>13</v>
      </c>
    </row>
    <row r="815" spans="1:11" x14ac:dyDescent="0.25">
      <c r="A815" t="s">
        <v>311</v>
      </c>
      <c r="B815" t="s">
        <v>179</v>
      </c>
      <c r="C815" t="s">
        <v>180</v>
      </c>
      <c r="D815" t="s">
        <v>32</v>
      </c>
      <c r="E815" t="s">
        <v>124</v>
      </c>
      <c r="F815">
        <v>0.63327935669063651</v>
      </c>
      <c r="G815">
        <v>0.8665587133812731</v>
      </c>
      <c r="H815">
        <v>0.4</v>
      </c>
      <c r="I815">
        <v>316578283100</v>
      </c>
      <c r="J815">
        <v>26.5</v>
      </c>
      <c r="K815">
        <v>14</v>
      </c>
    </row>
    <row r="816" spans="1:11" x14ac:dyDescent="0.25">
      <c r="A816" t="s">
        <v>311</v>
      </c>
      <c r="B816" t="s">
        <v>169</v>
      </c>
      <c r="C816" t="s">
        <v>170</v>
      </c>
      <c r="D816" t="s">
        <v>32</v>
      </c>
      <c r="E816" t="s">
        <v>23</v>
      </c>
      <c r="F816">
        <v>0.61612326838743781</v>
      </c>
      <c r="G816">
        <v>0.61612326838743781</v>
      </c>
      <c r="I816">
        <v>5192170400</v>
      </c>
      <c r="J816">
        <v>12.55</v>
      </c>
      <c r="K816">
        <v>15</v>
      </c>
    </row>
    <row r="817" spans="1:11" x14ac:dyDescent="0.25">
      <c r="A817" t="s">
        <v>311</v>
      </c>
      <c r="B817" t="s">
        <v>154</v>
      </c>
      <c r="C817" t="s">
        <v>155</v>
      </c>
      <c r="D817" t="s">
        <v>32</v>
      </c>
      <c r="E817" t="s">
        <v>39</v>
      </c>
      <c r="F817">
        <v>0.57870561638219153</v>
      </c>
      <c r="G817">
        <v>0.85741123276438314</v>
      </c>
      <c r="H817">
        <v>0.3</v>
      </c>
      <c r="I817">
        <v>125122476400</v>
      </c>
      <c r="J817">
        <v>34.25</v>
      </c>
      <c r="K817">
        <v>16</v>
      </c>
    </row>
    <row r="818" spans="1:11" x14ac:dyDescent="0.25">
      <c r="A818" t="s">
        <v>311</v>
      </c>
      <c r="B818" t="s">
        <v>268</v>
      </c>
      <c r="C818" t="s">
        <v>269</v>
      </c>
      <c r="D818" t="s">
        <v>32</v>
      </c>
      <c r="E818" t="s">
        <v>59</v>
      </c>
      <c r="F818">
        <v>0.57604197419223202</v>
      </c>
      <c r="G818">
        <v>0.55208394838446406</v>
      </c>
      <c r="H818">
        <v>0.6</v>
      </c>
      <c r="I818">
        <v>2263626380</v>
      </c>
      <c r="J818">
        <v>2.86</v>
      </c>
      <c r="K818">
        <v>17</v>
      </c>
    </row>
    <row r="819" spans="1:11" x14ac:dyDescent="0.25">
      <c r="A819" t="s">
        <v>311</v>
      </c>
      <c r="B819" t="s">
        <v>301</v>
      </c>
      <c r="C819" t="s">
        <v>302</v>
      </c>
      <c r="D819" t="s">
        <v>32</v>
      </c>
      <c r="E819" t="s">
        <v>74</v>
      </c>
      <c r="F819">
        <v>0.56845172514173725</v>
      </c>
      <c r="G819">
        <v>0.78690345028347453</v>
      </c>
      <c r="H819">
        <v>0.35</v>
      </c>
      <c r="I819">
        <v>4949978800</v>
      </c>
      <c r="J819">
        <v>12.2</v>
      </c>
      <c r="K819">
        <v>18</v>
      </c>
    </row>
    <row r="820" spans="1:11" x14ac:dyDescent="0.25">
      <c r="A820" t="s">
        <v>311</v>
      </c>
      <c r="B820" t="s">
        <v>199</v>
      </c>
      <c r="C820" t="s">
        <v>200</v>
      </c>
      <c r="D820" t="s">
        <v>32</v>
      </c>
      <c r="E820" t="s">
        <v>26</v>
      </c>
      <c r="F820">
        <v>0.55651231972283799</v>
      </c>
      <c r="G820">
        <v>0.91302463944567602</v>
      </c>
      <c r="H820">
        <v>0.2</v>
      </c>
      <c r="I820">
        <v>5536637340</v>
      </c>
      <c r="J820">
        <v>13.8</v>
      </c>
      <c r="K820">
        <v>19</v>
      </c>
    </row>
    <row r="821" spans="1:11" x14ac:dyDescent="0.25">
      <c r="A821" t="s">
        <v>311</v>
      </c>
      <c r="B821" t="s">
        <v>273</v>
      </c>
      <c r="C821" t="s">
        <v>274</v>
      </c>
      <c r="D821" t="s">
        <v>32</v>
      </c>
      <c r="E821" t="s">
        <v>275</v>
      </c>
      <c r="F821">
        <v>0.55461126307560427</v>
      </c>
      <c r="G821">
        <v>0.50922252615120855</v>
      </c>
      <c r="H821">
        <v>0.6</v>
      </c>
      <c r="I821">
        <v>2060840400</v>
      </c>
      <c r="J821">
        <v>34.85</v>
      </c>
      <c r="K821">
        <v>20</v>
      </c>
    </row>
    <row r="822" spans="1:11" x14ac:dyDescent="0.25">
      <c r="A822" t="s">
        <v>314</v>
      </c>
      <c r="B822" t="s">
        <v>82</v>
      </c>
      <c r="C822" t="s">
        <v>83</v>
      </c>
      <c r="D822" t="s">
        <v>32</v>
      </c>
      <c r="E822" t="s">
        <v>39</v>
      </c>
      <c r="F822">
        <v>0.77090273943430243</v>
      </c>
      <c r="G822">
        <v>0.89180547886860473</v>
      </c>
      <c r="H822">
        <v>0.65</v>
      </c>
      <c r="I822">
        <v>41370652000</v>
      </c>
      <c r="J822">
        <v>16.899999999999999</v>
      </c>
      <c r="K822">
        <v>1</v>
      </c>
    </row>
    <row r="823" spans="1:11" x14ac:dyDescent="0.25">
      <c r="A823" t="s">
        <v>314</v>
      </c>
      <c r="B823" t="s">
        <v>261</v>
      </c>
      <c r="C823" t="s">
        <v>262</v>
      </c>
      <c r="D823" t="s">
        <v>32</v>
      </c>
      <c r="E823" t="s">
        <v>42</v>
      </c>
      <c r="F823">
        <v>0.75677046955789518</v>
      </c>
      <c r="G823">
        <v>0.9635409391157902</v>
      </c>
      <c r="H823">
        <v>0.55000000000000004</v>
      </c>
      <c r="I823">
        <v>121623641600</v>
      </c>
      <c r="J823">
        <v>66</v>
      </c>
      <c r="K823">
        <v>2</v>
      </c>
    </row>
    <row r="824" spans="1:11" x14ac:dyDescent="0.25">
      <c r="A824" t="s">
        <v>314</v>
      </c>
      <c r="B824" t="s">
        <v>287</v>
      </c>
      <c r="C824" t="s">
        <v>288</v>
      </c>
      <c r="D824" t="s">
        <v>14</v>
      </c>
      <c r="E824" t="s">
        <v>59</v>
      </c>
      <c r="F824">
        <v>0.73282117093066002</v>
      </c>
      <c r="G824">
        <v>0.96564234186131992</v>
      </c>
      <c r="H824">
        <v>0.5</v>
      </c>
      <c r="I824">
        <v>44341125000</v>
      </c>
      <c r="J824">
        <v>23</v>
      </c>
      <c r="K824">
        <v>3</v>
      </c>
    </row>
    <row r="825" spans="1:11" x14ac:dyDescent="0.25">
      <c r="A825" t="s">
        <v>314</v>
      </c>
      <c r="B825" t="s">
        <v>229</v>
      </c>
      <c r="C825" t="s">
        <v>230</v>
      </c>
      <c r="D825" t="s">
        <v>18</v>
      </c>
      <c r="E825" t="s">
        <v>29</v>
      </c>
      <c r="F825">
        <v>0.71993953755693307</v>
      </c>
      <c r="G825">
        <v>0.93987907511386615</v>
      </c>
      <c r="H825">
        <v>0.5</v>
      </c>
      <c r="I825">
        <v>23347346400</v>
      </c>
      <c r="J825">
        <v>20.5</v>
      </c>
      <c r="K825">
        <v>4</v>
      </c>
    </row>
    <row r="826" spans="1:11" x14ac:dyDescent="0.25">
      <c r="A826" t="s">
        <v>314</v>
      </c>
      <c r="B826" t="s">
        <v>283</v>
      </c>
      <c r="C826" t="s">
        <v>284</v>
      </c>
      <c r="D826" t="s">
        <v>18</v>
      </c>
      <c r="E826" t="s">
        <v>33</v>
      </c>
      <c r="F826">
        <v>0.69922030626226517</v>
      </c>
      <c r="G826">
        <v>0.94844061252453038</v>
      </c>
      <c r="H826">
        <v>0.45</v>
      </c>
      <c r="I826">
        <v>5408852600</v>
      </c>
      <c r="J826">
        <v>8.1999999999999993</v>
      </c>
      <c r="K826">
        <v>5</v>
      </c>
    </row>
    <row r="827" spans="1:11" x14ac:dyDescent="0.25">
      <c r="A827" t="s">
        <v>314</v>
      </c>
      <c r="B827" t="s">
        <v>285</v>
      </c>
      <c r="C827" t="s">
        <v>286</v>
      </c>
      <c r="D827" t="s">
        <v>18</v>
      </c>
      <c r="E827" t="s">
        <v>26</v>
      </c>
      <c r="F827">
        <v>0.68959917688315153</v>
      </c>
      <c r="G827">
        <v>0.87919835376630295</v>
      </c>
      <c r="H827">
        <v>0.5</v>
      </c>
      <c r="I827">
        <v>35675126200</v>
      </c>
      <c r="J827">
        <v>73.900000000000006</v>
      </c>
      <c r="K827">
        <v>6</v>
      </c>
    </row>
    <row r="828" spans="1:11" x14ac:dyDescent="0.25">
      <c r="A828" t="s">
        <v>314</v>
      </c>
      <c r="B828" t="s">
        <v>266</v>
      </c>
      <c r="C828" t="s">
        <v>267</v>
      </c>
      <c r="D828" t="s">
        <v>32</v>
      </c>
      <c r="E828" t="s">
        <v>59</v>
      </c>
      <c r="F828">
        <v>0.67627503873611927</v>
      </c>
      <c r="G828">
        <v>0.85255007747223854</v>
      </c>
      <c r="H828">
        <v>0.5</v>
      </c>
      <c r="I828">
        <v>21401885700</v>
      </c>
      <c r="J828">
        <v>43.7</v>
      </c>
      <c r="K828">
        <v>7</v>
      </c>
    </row>
    <row r="829" spans="1:11" x14ac:dyDescent="0.25">
      <c r="A829" t="s">
        <v>314</v>
      </c>
      <c r="B829" t="s">
        <v>290</v>
      </c>
      <c r="C829" t="s">
        <v>291</v>
      </c>
      <c r="D829" t="s">
        <v>14</v>
      </c>
      <c r="E829" t="s">
        <v>292</v>
      </c>
      <c r="F829">
        <v>0.66106185020782982</v>
      </c>
      <c r="G829">
        <v>0.87212370041565956</v>
      </c>
      <c r="H829">
        <v>0.45</v>
      </c>
      <c r="I829">
        <v>3303692400</v>
      </c>
      <c r="J829">
        <v>209</v>
      </c>
      <c r="K829">
        <v>8</v>
      </c>
    </row>
    <row r="830" spans="1:11" x14ac:dyDescent="0.25">
      <c r="A830" t="s">
        <v>314</v>
      </c>
      <c r="B830" t="s">
        <v>312</v>
      </c>
      <c r="C830" t="s">
        <v>313</v>
      </c>
      <c r="D830" t="s">
        <v>32</v>
      </c>
      <c r="E830" t="s">
        <v>275</v>
      </c>
      <c r="F830">
        <v>0.65056267390067779</v>
      </c>
      <c r="G830">
        <v>0.65112534780135556</v>
      </c>
      <c r="H830">
        <v>0.65</v>
      </c>
      <c r="I830">
        <v>3610439600</v>
      </c>
      <c r="J830">
        <v>21.75</v>
      </c>
      <c r="K830">
        <v>9</v>
      </c>
    </row>
    <row r="831" spans="1:11" x14ac:dyDescent="0.25">
      <c r="A831" t="s">
        <v>314</v>
      </c>
      <c r="B831" t="s">
        <v>179</v>
      </c>
      <c r="C831" t="s">
        <v>180</v>
      </c>
      <c r="D831" t="s">
        <v>32</v>
      </c>
      <c r="E831" t="s">
        <v>124</v>
      </c>
      <c r="F831">
        <v>0.64800802371097299</v>
      </c>
      <c r="G831">
        <v>0.946016047421946</v>
      </c>
      <c r="H831">
        <v>0.35</v>
      </c>
      <c r="I831">
        <v>323723461400</v>
      </c>
      <c r="J831">
        <v>28.35</v>
      </c>
      <c r="K831">
        <v>10</v>
      </c>
    </row>
    <row r="832" spans="1:11" x14ac:dyDescent="0.25">
      <c r="A832" t="s">
        <v>314</v>
      </c>
      <c r="B832" t="s">
        <v>169</v>
      </c>
      <c r="C832" t="s">
        <v>170</v>
      </c>
      <c r="D832" t="s">
        <v>32</v>
      </c>
      <c r="E832" t="s">
        <v>23</v>
      </c>
      <c r="F832">
        <v>0.64752527621427025</v>
      </c>
      <c r="G832">
        <v>0.64752527621427025</v>
      </c>
      <c r="I832">
        <v>5183732800</v>
      </c>
      <c r="J832">
        <v>12.7</v>
      </c>
      <c r="K832">
        <v>11</v>
      </c>
    </row>
    <row r="833" spans="1:11" x14ac:dyDescent="0.25">
      <c r="A833" t="s">
        <v>314</v>
      </c>
      <c r="B833" t="s">
        <v>204</v>
      </c>
      <c r="C833" t="s">
        <v>205</v>
      </c>
      <c r="D833" t="s">
        <v>18</v>
      </c>
      <c r="E833" t="s">
        <v>29</v>
      </c>
      <c r="F833">
        <v>0.62844620874427926</v>
      </c>
      <c r="G833">
        <v>0.90689241748855864</v>
      </c>
      <c r="H833">
        <v>0.35</v>
      </c>
      <c r="I833">
        <v>2963947200</v>
      </c>
      <c r="J833">
        <v>7.9</v>
      </c>
      <c r="K833">
        <v>12</v>
      </c>
    </row>
    <row r="834" spans="1:11" x14ac:dyDescent="0.25">
      <c r="A834" t="s">
        <v>314</v>
      </c>
      <c r="B834" t="s">
        <v>268</v>
      </c>
      <c r="C834" t="s">
        <v>269</v>
      </c>
      <c r="D834" t="s">
        <v>32</v>
      </c>
      <c r="E834" t="s">
        <v>59</v>
      </c>
      <c r="F834">
        <v>0.62085401423810471</v>
      </c>
      <c r="G834">
        <v>0.69170802847620927</v>
      </c>
      <c r="H834">
        <v>0.55000000000000004</v>
      </c>
      <c r="I834">
        <v>2283746460</v>
      </c>
      <c r="J834">
        <v>2.92</v>
      </c>
      <c r="K834">
        <v>13</v>
      </c>
    </row>
    <row r="835" spans="1:11" x14ac:dyDescent="0.25">
      <c r="A835" t="s">
        <v>314</v>
      </c>
      <c r="B835" t="s">
        <v>176</v>
      </c>
      <c r="C835" t="s">
        <v>177</v>
      </c>
      <c r="D835" t="s">
        <v>32</v>
      </c>
      <c r="E835" t="s">
        <v>33</v>
      </c>
      <c r="F835">
        <v>0.60627643493624095</v>
      </c>
      <c r="G835">
        <v>0.9625528698724819</v>
      </c>
      <c r="H835">
        <v>0.25</v>
      </c>
      <c r="I835">
        <v>3150135920</v>
      </c>
      <c r="J835">
        <v>9.08</v>
      </c>
      <c r="K835">
        <v>14</v>
      </c>
    </row>
    <row r="836" spans="1:11" x14ac:dyDescent="0.25">
      <c r="A836" t="s">
        <v>314</v>
      </c>
      <c r="B836" t="s">
        <v>315</v>
      </c>
      <c r="C836" t="s">
        <v>316</v>
      </c>
      <c r="D836" t="s">
        <v>32</v>
      </c>
      <c r="E836" t="s">
        <v>317</v>
      </c>
      <c r="F836">
        <v>0.60204530396571754</v>
      </c>
      <c r="G836">
        <v>0.6040906079314351</v>
      </c>
      <c r="H836">
        <v>0.6</v>
      </c>
      <c r="I836">
        <v>89512025800</v>
      </c>
      <c r="J836">
        <v>172.5</v>
      </c>
      <c r="K836">
        <v>15</v>
      </c>
    </row>
    <row r="837" spans="1:11" x14ac:dyDescent="0.25">
      <c r="A837" t="s">
        <v>314</v>
      </c>
      <c r="B837" t="s">
        <v>199</v>
      </c>
      <c r="C837" t="s">
        <v>200</v>
      </c>
      <c r="D837" t="s">
        <v>32</v>
      </c>
      <c r="E837" t="s">
        <v>26</v>
      </c>
      <c r="F837">
        <v>0.5701150446949057</v>
      </c>
      <c r="G837">
        <v>0.84023008938981147</v>
      </c>
      <c r="H837">
        <v>0.3</v>
      </c>
      <c r="I837">
        <v>5525863920</v>
      </c>
      <c r="J837">
        <v>13.5</v>
      </c>
      <c r="K837">
        <v>16</v>
      </c>
    </row>
    <row r="838" spans="1:11" x14ac:dyDescent="0.25">
      <c r="A838" t="s">
        <v>314</v>
      </c>
      <c r="B838" t="s">
        <v>181</v>
      </c>
      <c r="C838" t="s">
        <v>182</v>
      </c>
      <c r="D838" t="s">
        <v>32</v>
      </c>
      <c r="E838" t="s">
        <v>26</v>
      </c>
      <c r="F838">
        <v>0.56230431796964508</v>
      </c>
      <c r="G838">
        <v>0.72460863593929015</v>
      </c>
      <c r="H838">
        <v>0.4</v>
      </c>
      <c r="I838">
        <v>13157767900</v>
      </c>
      <c r="J838">
        <v>13.1</v>
      </c>
      <c r="K838">
        <v>17</v>
      </c>
    </row>
    <row r="839" spans="1:11" x14ac:dyDescent="0.25">
      <c r="A839" t="s">
        <v>314</v>
      </c>
      <c r="B839" t="s">
        <v>280</v>
      </c>
      <c r="C839" t="s">
        <v>281</v>
      </c>
      <c r="D839" t="s">
        <v>18</v>
      </c>
      <c r="E839" t="s">
        <v>26</v>
      </c>
      <c r="F839">
        <v>0.55873780570007003</v>
      </c>
      <c r="G839">
        <v>0.96747561140014005</v>
      </c>
      <c r="H839">
        <v>0.15</v>
      </c>
      <c r="I839">
        <v>3127163000</v>
      </c>
      <c r="J839">
        <v>6.7</v>
      </c>
      <c r="K839">
        <v>18</v>
      </c>
    </row>
    <row r="840" spans="1:11" x14ac:dyDescent="0.25">
      <c r="A840" t="s">
        <v>314</v>
      </c>
      <c r="B840" t="s">
        <v>318</v>
      </c>
      <c r="C840" t="s">
        <v>319</v>
      </c>
      <c r="D840" t="s">
        <v>32</v>
      </c>
      <c r="E840" t="s">
        <v>160</v>
      </c>
      <c r="F840">
        <v>0.55134861995532547</v>
      </c>
      <c r="G840">
        <v>0.80269723991065089</v>
      </c>
      <c r="H840">
        <v>0.3</v>
      </c>
      <c r="I840">
        <v>5433841600</v>
      </c>
      <c r="J840">
        <v>12.5</v>
      </c>
      <c r="K840">
        <v>19</v>
      </c>
    </row>
    <row r="841" spans="1:11" x14ac:dyDescent="0.25">
      <c r="A841" t="s">
        <v>314</v>
      </c>
      <c r="B841" t="s">
        <v>263</v>
      </c>
      <c r="C841" t="s">
        <v>264</v>
      </c>
      <c r="D841" t="s">
        <v>32</v>
      </c>
      <c r="E841" t="s">
        <v>259</v>
      </c>
      <c r="F841">
        <v>0.54647040003182301</v>
      </c>
      <c r="G841">
        <v>0.84294080006364613</v>
      </c>
      <c r="H841">
        <v>0.25</v>
      </c>
      <c r="I841">
        <v>77759565500</v>
      </c>
      <c r="J841">
        <v>32.5</v>
      </c>
      <c r="K841">
        <v>20</v>
      </c>
    </row>
    <row r="842" spans="1:11" x14ac:dyDescent="0.25">
      <c r="A842" t="s">
        <v>320</v>
      </c>
      <c r="B842" t="s">
        <v>261</v>
      </c>
      <c r="C842" t="s">
        <v>262</v>
      </c>
      <c r="D842" t="s">
        <v>32</v>
      </c>
      <c r="E842" t="s">
        <v>42</v>
      </c>
      <c r="F842">
        <v>0.7873719261347909</v>
      </c>
      <c r="G842">
        <v>0.92474385226958167</v>
      </c>
      <c r="H842">
        <v>0.65</v>
      </c>
      <c r="I842">
        <v>121799059000</v>
      </c>
      <c r="J842">
        <v>63.5</v>
      </c>
      <c r="K842">
        <v>1</v>
      </c>
    </row>
    <row r="843" spans="1:11" x14ac:dyDescent="0.25">
      <c r="A843" t="s">
        <v>320</v>
      </c>
      <c r="B843" t="s">
        <v>82</v>
      </c>
      <c r="C843" t="s">
        <v>83</v>
      </c>
      <c r="D843" t="s">
        <v>32</v>
      </c>
      <c r="E843" t="s">
        <v>39</v>
      </c>
      <c r="F843">
        <v>0.75011499785354752</v>
      </c>
      <c r="G843">
        <v>0.90022999570709505</v>
      </c>
      <c r="H843">
        <v>0.6</v>
      </c>
      <c r="I843">
        <v>41326738800</v>
      </c>
      <c r="J843">
        <v>16.8</v>
      </c>
      <c r="K843">
        <v>2</v>
      </c>
    </row>
    <row r="844" spans="1:11" x14ac:dyDescent="0.25">
      <c r="A844" t="s">
        <v>320</v>
      </c>
      <c r="B844" t="s">
        <v>309</v>
      </c>
      <c r="C844" t="s">
        <v>310</v>
      </c>
      <c r="D844" t="s">
        <v>32</v>
      </c>
      <c r="E844" t="s">
        <v>33</v>
      </c>
      <c r="F844">
        <v>0.73282460090340207</v>
      </c>
      <c r="G844">
        <v>0.96564920180680414</v>
      </c>
      <c r="H844">
        <v>0.5</v>
      </c>
      <c r="I844">
        <v>149090404500</v>
      </c>
      <c r="J844">
        <v>12.25</v>
      </c>
      <c r="K844">
        <v>3</v>
      </c>
    </row>
    <row r="845" spans="1:11" x14ac:dyDescent="0.25">
      <c r="A845" t="s">
        <v>320</v>
      </c>
      <c r="B845" t="s">
        <v>285</v>
      </c>
      <c r="C845" t="s">
        <v>286</v>
      </c>
      <c r="D845" t="s">
        <v>18</v>
      </c>
      <c r="E845" t="s">
        <v>26</v>
      </c>
      <c r="F845">
        <v>0.71010236592892872</v>
      </c>
      <c r="G845">
        <v>0.87020473185785729</v>
      </c>
      <c r="H845">
        <v>0.55000000000000004</v>
      </c>
      <c r="I845">
        <v>35428423400</v>
      </c>
      <c r="J845">
        <v>73.7</v>
      </c>
      <c r="K845">
        <v>4</v>
      </c>
    </row>
    <row r="846" spans="1:11" x14ac:dyDescent="0.25">
      <c r="A846" t="s">
        <v>320</v>
      </c>
      <c r="B846" t="s">
        <v>287</v>
      </c>
      <c r="C846" t="s">
        <v>288</v>
      </c>
      <c r="D846" t="s">
        <v>14</v>
      </c>
      <c r="E846" t="s">
        <v>59</v>
      </c>
      <c r="F846">
        <v>0.70556490284625006</v>
      </c>
      <c r="G846">
        <v>0.96112980569250006</v>
      </c>
      <c r="H846">
        <v>0.45</v>
      </c>
      <c r="I846">
        <v>44903201000</v>
      </c>
      <c r="J846">
        <v>23.1</v>
      </c>
      <c r="K846">
        <v>5</v>
      </c>
    </row>
    <row r="847" spans="1:11" x14ac:dyDescent="0.25">
      <c r="A847" t="s">
        <v>320</v>
      </c>
      <c r="B847" t="s">
        <v>229</v>
      </c>
      <c r="C847" t="s">
        <v>230</v>
      </c>
      <c r="D847" t="s">
        <v>18</v>
      </c>
      <c r="E847" t="s">
        <v>29</v>
      </c>
      <c r="F847">
        <v>0.70415833092583235</v>
      </c>
      <c r="G847">
        <v>0.95831666185166464</v>
      </c>
      <c r="H847">
        <v>0.45</v>
      </c>
      <c r="I847">
        <v>23811720800</v>
      </c>
      <c r="J847">
        <v>20.8</v>
      </c>
      <c r="K847">
        <v>6</v>
      </c>
    </row>
    <row r="848" spans="1:11" x14ac:dyDescent="0.25">
      <c r="A848" t="s">
        <v>320</v>
      </c>
      <c r="B848" t="s">
        <v>283</v>
      </c>
      <c r="C848" t="s">
        <v>284</v>
      </c>
      <c r="D848" t="s">
        <v>18</v>
      </c>
      <c r="E848" t="s">
        <v>33</v>
      </c>
      <c r="F848">
        <v>0.70111591897658521</v>
      </c>
      <c r="G848">
        <v>0.95223183795317046</v>
      </c>
      <c r="H848">
        <v>0.45</v>
      </c>
      <c r="I848">
        <v>5596967800</v>
      </c>
      <c r="J848">
        <v>8.1999999999999993</v>
      </c>
      <c r="K848">
        <v>7</v>
      </c>
    </row>
    <row r="849" spans="1:11" x14ac:dyDescent="0.25">
      <c r="A849" t="s">
        <v>320</v>
      </c>
      <c r="B849" t="s">
        <v>179</v>
      </c>
      <c r="C849" t="s">
        <v>180</v>
      </c>
      <c r="D849" t="s">
        <v>32</v>
      </c>
      <c r="E849" t="s">
        <v>124</v>
      </c>
      <c r="F849">
        <v>0.6610152451467981</v>
      </c>
      <c r="G849">
        <v>0.92203049029359618</v>
      </c>
      <c r="H849">
        <v>0.4</v>
      </c>
      <c r="I849">
        <v>325946757600</v>
      </c>
      <c r="J849">
        <v>28.6</v>
      </c>
      <c r="K849">
        <v>8</v>
      </c>
    </row>
    <row r="850" spans="1:11" x14ac:dyDescent="0.25">
      <c r="A850" t="s">
        <v>320</v>
      </c>
      <c r="B850" t="s">
        <v>188</v>
      </c>
      <c r="C850" t="s">
        <v>189</v>
      </c>
      <c r="D850" t="s">
        <v>32</v>
      </c>
      <c r="E850" t="s">
        <v>29</v>
      </c>
      <c r="F850">
        <v>0.652077945634845</v>
      </c>
      <c r="G850">
        <v>0.90415589126968998</v>
      </c>
      <c r="H850">
        <v>0.4</v>
      </c>
      <c r="I850">
        <v>5868737240</v>
      </c>
      <c r="J850">
        <v>11.85</v>
      </c>
      <c r="K850">
        <v>9</v>
      </c>
    </row>
    <row r="851" spans="1:11" x14ac:dyDescent="0.25">
      <c r="A851" t="s">
        <v>320</v>
      </c>
      <c r="B851" t="s">
        <v>290</v>
      </c>
      <c r="C851" t="s">
        <v>291</v>
      </c>
      <c r="D851" t="s">
        <v>14</v>
      </c>
      <c r="E851" t="s">
        <v>292</v>
      </c>
      <c r="F851">
        <v>0.64912227669480238</v>
      </c>
      <c r="G851">
        <v>0.89824455338960474</v>
      </c>
      <c r="H851">
        <v>0.4</v>
      </c>
      <c r="I851">
        <v>3430558400</v>
      </c>
      <c r="J851">
        <v>209.9</v>
      </c>
      <c r="K851">
        <v>10</v>
      </c>
    </row>
    <row r="852" spans="1:11" x14ac:dyDescent="0.25">
      <c r="A852" t="s">
        <v>320</v>
      </c>
      <c r="B852" t="s">
        <v>204</v>
      </c>
      <c r="C852" t="s">
        <v>205</v>
      </c>
      <c r="D852" t="s">
        <v>18</v>
      </c>
      <c r="E852" t="s">
        <v>29</v>
      </c>
      <c r="F852">
        <v>0.62911397579758987</v>
      </c>
      <c r="G852">
        <v>0.90822795159517977</v>
      </c>
      <c r="H852">
        <v>0.35</v>
      </c>
      <c r="I852">
        <v>2967742800</v>
      </c>
      <c r="J852">
        <v>7.9</v>
      </c>
      <c r="K852">
        <v>11</v>
      </c>
    </row>
    <row r="853" spans="1:11" x14ac:dyDescent="0.25">
      <c r="A853" t="s">
        <v>320</v>
      </c>
      <c r="B853" t="s">
        <v>266</v>
      </c>
      <c r="C853" t="s">
        <v>267</v>
      </c>
      <c r="D853" t="s">
        <v>32</v>
      </c>
      <c r="E853" t="s">
        <v>59</v>
      </c>
      <c r="F853">
        <v>0.62320250786429865</v>
      </c>
      <c r="G853">
        <v>0.89640501572859721</v>
      </c>
      <c r="H853">
        <v>0.35</v>
      </c>
      <c r="I853">
        <v>22174446100</v>
      </c>
      <c r="J853">
        <v>44.8</v>
      </c>
      <c r="K853">
        <v>12</v>
      </c>
    </row>
    <row r="854" spans="1:11" x14ac:dyDescent="0.25">
      <c r="A854" t="s">
        <v>320</v>
      </c>
      <c r="B854" t="s">
        <v>315</v>
      </c>
      <c r="C854" t="s">
        <v>316</v>
      </c>
      <c r="D854" t="s">
        <v>32</v>
      </c>
      <c r="E854" t="s">
        <v>317</v>
      </c>
      <c r="F854">
        <v>0.61619149774418092</v>
      </c>
      <c r="G854">
        <v>0.58238299548836192</v>
      </c>
      <c r="H854">
        <v>0.65</v>
      </c>
      <c r="I854">
        <v>89023831000</v>
      </c>
      <c r="J854">
        <v>171.8</v>
      </c>
      <c r="K854">
        <v>13</v>
      </c>
    </row>
    <row r="855" spans="1:11" x14ac:dyDescent="0.25">
      <c r="A855" t="s">
        <v>320</v>
      </c>
      <c r="B855" t="s">
        <v>318</v>
      </c>
      <c r="C855" t="s">
        <v>319</v>
      </c>
      <c r="D855" t="s">
        <v>32</v>
      </c>
      <c r="E855" t="s">
        <v>160</v>
      </c>
      <c r="F855">
        <v>0.60432931810624546</v>
      </c>
      <c r="G855">
        <v>0.85865863621249083</v>
      </c>
      <c r="H855">
        <v>0.35</v>
      </c>
      <c r="I855">
        <v>5727835100</v>
      </c>
      <c r="J855">
        <v>12.8</v>
      </c>
      <c r="K855">
        <v>14</v>
      </c>
    </row>
    <row r="856" spans="1:11" x14ac:dyDescent="0.25">
      <c r="A856" t="s">
        <v>320</v>
      </c>
      <c r="B856" t="s">
        <v>176</v>
      </c>
      <c r="C856" t="s">
        <v>177</v>
      </c>
      <c r="D856" t="s">
        <v>32</v>
      </c>
      <c r="E856" t="s">
        <v>33</v>
      </c>
      <c r="F856">
        <v>0.60324782959020351</v>
      </c>
      <c r="G856">
        <v>0.95649565918040713</v>
      </c>
      <c r="H856">
        <v>0.25</v>
      </c>
      <c r="I856">
        <v>3262760480</v>
      </c>
      <c r="J856">
        <v>9</v>
      </c>
      <c r="K856">
        <v>15</v>
      </c>
    </row>
    <row r="857" spans="1:11" x14ac:dyDescent="0.25">
      <c r="A857" t="s">
        <v>320</v>
      </c>
      <c r="B857" t="s">
        <v>312</v>
      </c>
      <c r="C857" t="s">
        <v>313</v>
      </c>
      <c r="D857" t="s">
        <v>32</v>
      </c>
      <c r="E857" t="s">
        <v>275</v>
      </c>
      <c r="F857">
        <v>0.59495455155128185</v>
      </c>
      <c r="G857">
        <v>0.6899091031025637</v>
      </c>
      <c r="H857">
        <v>0.5</v>
      </c>
      <c r="I857">
        <v>3617761800</v>
      </c>
      <c r="J857">
        <v>22</v>
      </c>
      <c r="K857">
        <v>16</v>
      </c>
    </row>
    <row r="858" spans="1:11" x14ac:dyDescent="0.25">
      <c r="A858" t="s">
        <v>320</v>
      </c>
      <c r="B858" t="s">
        <v>268</v>
      </c>
      <c r="C858" t="s">
        <v>269</v>
      </c>
      <c r="D858" t="s">
        <v>32</v>
      </c>
      <c r="E858" t="s">
        <v>59</v>
      </c>
      <c r="F858">
        <v>0.5847612999008529</v>
      </c>
      <c r="G858">
        <v>0.61952259980170588</v>
      </c>
      <c r="H858">
        <v>0.55000000000000004</v>
      </c>
      <c r="I858">
        <v>2287435180</v>
      </c>
      <c r="J858">
        <v>2.9</v>
      </c>
      <c r="K858">
        <v>17</v>
      </c>
    </row>
    <row r="859" spans="1:11" x14ac:dyDescent="0.25">
      <c r="A859" t="s">
        <v>320</v>
      </c>
      <c r="B859" t="s">
        <v>321</v>
      </c>
      <c r="C859" t="s">
        <v>322</v>
      </c>
      <c r="D859" t="s">
        <v>18</v>
      </c>
      <c r="E859" t="s">
        <v>59</v>
      </c>
      <c r="F859">
        <v>0.58110574526643144</v>
      </c>
      <c r="G859">
        <v>0.81221149053286301</v>
      </c>
      <c r="H859">
        <v>0.35</v>
      </c>
      <c r="I859">
        <v>7939221400</v>
      </c>
      <c r="J859">
        <v>25.7</v>
      </c>
      <c r="K859">
        <v>18</v>
      </c>
    </row>
    <row r="860" spans="1:11" x14ac:dyDescent="0.25">
      <c r="A860" t="s">
        <v>320</v>
      </c>
      <c r="B860" t="s">
        <v>263</v>
      </c>
      <c r="C860" t="s">
        <v>264</v>
      </c>
      <c r="D860" t="s">
        <v>32</v>
      </c>
      <c r="E860" t="s">
        <v>259</v>
      </c>
      <c r="F860">
        <v>0.57902376309246417</v>
      </c>
      <c r="G860">
        <v>0.90804752618492834</v>
      </c>
      <c r="H860">
        <v>0.25</v>
      </c>
      <c r="I860">
        <v>79137252000</v>
      </c>
      <c r="J860">
        <v>33.549999999999997</v>
      </c>
      <c r="K860">
        <v>19</v>
      </c>
    </row>
    <row r="861" spans="1:11" x14ac:dyDescent="0.25">
      <c r="A861" t="s">
        <v>320</v>
      </c>
      <c r="B861" t="s">
        <v>169</v>
      </c>
      <c r="C861" t="s">
        <v>170</v>
      </c>
      <c r="D861" t="s">
        <v>32</v>
      </c>
      <c r="E861" t="s">
        <v>23</v>
      </c>
      <c r="F861">
        <v>0.5730864933215859</v>
      </c>
      <c r="G861">
        <v>0.5730864933215859</v>
      </c>
      <c r="I861">
        <v>5126290600</v>
      </c>
      <c r="J861">
        <v>12.65</v>
      </c>
      <c r="K861">
        <v>20</v>
      </c>
    </row>
    <row r="862" spans="1:11" x14ac:dyDescent="0.25">
      <c r="A862" t="s">
        <v>323</v>
      </c>
      <c r="B862" t="s">
        <v>263</v>
      </c>
      <c r="C862" t="s">
        <v>264</v>
      </c>
      <c r="D862" t="s">
        <v>32</v>
      </c>
      <c r="E862" t="s">
        <v>259</v>
      </c>
      <c r="F862">
        <v>0.88023769064778468</v>
      </c>
      <c r="G862">
        <v>0.96047538129556942</v>
      </c>
      <c r="H862">
        <v>0.8</v>
      </c>
      <c r="I862">
        <v>82557008400</v>
      </c>
      <c r="J862">
        <v>34.950000000000003</v>
      </c>
      <c r="K862">
        <v>1</v>
      </c>
    </row>
    <row r="863" spans="1:11" x14ac:dyDescent="0.25">
      <c r="A863" t="s">
        <v>323</v>
      </c>
      <c r="B863" t="s">
        <v>285</v>
      </c>
      <c r="C863" t="s">
        <v>286</v>
      </c>
      <c r="D863" t="s">
        <v>18</v>
      </c>
      <c r="E863" t="s">
        <v>26</v>
      </c>
      <c r="F863">
        <v>0.79312401014282385</v>
      </c>
      <c r="G863">
        <v>0.88624802028564786</v>
      </c>
      <c r="H863">
        <v>0.7</v>
      </c>
      <c r="I863">
        <v>35706401000</v>
      </c>
      <c r="J863">
        <v>72.8</v>
      </c>
      <c r="K863">
        <v>2</v>
      </c>
    </row>
    <row r="864" spans="1:11" x14ac:dyDescent="0.25">
      <c r="A864" t="s">
        <v>323</v>
      </c>
      <c r="B864" t="s">
        <v>309</v>
      </c>
      <c r="C864" t="s">
        <v>310</v>
      </c>
      <c r="D864" t="s">
        <v>32</v>
      </c>
      <c r="E864" t="s">
        <v>33</v>
      </c>
      <c r="F864">
        <v>0.76580963652014455</v>
      </c>
      <c r="G864">
        <v>0.98161927304028895</v>
      </c>
      <c r="H864">
        <v>0.55000000000000004</v>
      </c>
      <c r="I864">
        <v>154135641600</v>
      </c>
      <c r="J864">
        <v>12.65</v>
      </c>
      <c r="K864">
        <v>3</v>
      </c>
    </row>
    <row r="865" spans="1:11" x14ac:dyDescent="0.25">
      <c r="A865" t="s">
        <v>323</v>
      </c>
      <c r="B865" t="s">
        <v>188</v>
      </c>
      <c r="C865" t="s">
        <v>189</v>
      </c>
      <c r="D865" t="s">
        <v>32</v>
      </c>
      <c r="E865" t="s">
        <v>29</v>
      </c>
      <c r="F865">
        <v>0.76152673282657513</v>
      </c>
      <c r="G865">
        <v>0.87305346565315023</v>
      </c>
      <c r="H865">
        <v>0.65</v>
      </c>
      <c r="I865">
        <v>5881236300</v>
      </c>
      <c r="J865">
        <v>11.75</v>
      </c>
      <c r="K865">
        <v>4</v>
      </c>
    </row>
    <row r="866" spans="1:11" x14ac:dyDescent="0.25">
      <c r="A866" t="s">
        <v>323</v>
      </c>
      <c r="B866" t="s">
        <v>261</v>
      </c>
      <c r="C866" t="s">
        <v>262</v>
      </c>
      <c r="D866" t="s">
        <v>32</v>
      </c>
      <c r="E866" t="s">
        <v>42</v>
      </c>
      <c r="F866">
        <v>0.75649196816115138</v>
      </c>
      <c r="G866">
        <v>0.96298393632230272</v>
      </c>
      <c r="H866">
        <v>0.55000000000000004</v>
      </c>
      <c r="I866">
        <v>122174040400</v>
      </c>
      <c r="J866">
        <v>66.5</v>
      </c>
      <c r="K866">
        <v>5</v>
      </c>
    </row>
    <row r="867" spans="1:11" x14ac:dyDescent="0.25">
      <c r="A867" t="s">
        <v>323</v>
      </c>
      <c r="B867" t="s">
        <v>82</v>
      </c>
      <c r="C867" t="s">
        <v>83</v>
      </c>
      <c r="D867" t="s">
        <v>32</v>
      </c>
      <c r="E867" t="s">
        <v>39</v>
      </c>
      <c r="F867">
        <v>0.71897209877071877</v>
      </c>
      <c r="G867">
        <v>0.8879441975414375</v>
      </c>
      <c r="H867">
        <v>0.55000000000000004</v>
      </c>
      <c r="I867">
        <v>41088128000</v>
      </c>
      <c r="J867">
        <v>16.899999999999999</v>
      </c>
      <c r="K867">
        <v>6</v>
      </c>
    </row>
    <row r="868" spans="1:11" x14ac:dyDescent="0.25">
      <c r="A868" t="s">
        <v>323</v>
      </c>
      <c r="B868" t="s">
        <v>209</v>
      </c>
      <c r="C868" t="s">
        <v>210</v>
      </c>
      <c r="D868" t="s">
        <v>18</v>
      </c>
      <c r="E868" t="s">
        <v>42</v>
      </c>
      <c r="F868">
        <v>0.70187270050877359</v>
      </c>
      <c r="G868">
        <v>0.95374540101754712</v>
      </c>
      <c r="H868">
        <v>0.45</v>
      </c>
      <c r="I868">
        <v>10160796800</v>
      </c>
      <c r="J868">
        <v>7.4</v>
      </c>
      <c r="K868">
        <v>7</v>
      </c>
    </row>
    <row r="869" spans="1:11" x14ac:dyDescent="0.25">
      <c r="A869" t="s">
        <v>323</v>
      </c>
      <c r="B869" t="s">
        <v>24</v>
      </c>
      <c r="C869" t="s">
        <v>25</v>
      </c>
      <c r="D869" t="s">
        <v>18</v>
      </c>
      <c r="E869" t="s">
        <v>26</v>
      </c>
      <c r="F869">
        <v>0.70044109704135515</v>
      </c>
      <c r="G869">
        <v>0.95088219408271024</v>
      </c>
      <c r="H869">
        <v>0.45</v>
      </c>
      <c r="I869">
        <v>9936340000</v>
      </c>
      <c r="J869">
        <v>15.1</v>
      </c>
      <c r="K869">
        <v>8</v>
      </c>
    </row>
    <row r="870" spans="1:11" x14ac:dyDescent="0.25">
      <c r="A870" t="s">
        <v>323</v>
      </c>
      <c r="B870" t="s">
        <v>290</v>
      </c>
      <c r="C870" t="s">
        <v>291</v>
      </c>
      <c r="D870" t="s">
        <v>14</v>
      </c>
      <c r="E870" t="s">
        <v>292</v>
      </c>
      <c r="F870">
        <v>0.69868730573552706</v>
      </c>
      <c r="G870">
        <v>0.89737461147105413</v>
      </c>
      <c r="H870">
        <v>0.5</v>
      </c>
      <c r="I870">
        <v>3483782000</v>
      </c>
      <c r="J870">
        <v>210</v>
      </c>
      <c r="K870">
        <v>9</v>
      </c>
    </row>
    <row r="871" spans="1:11" x14ac:dyDescent="0.25">
      <c r="A871" t="s">
        <v>323</v>
      </c>
      <c r="B871" t="s">
        <v>229</v>
      </c>
      <c r="C871" t="s">
        <v>230</v>
      </c>
      <c r="D871" t="s">
        <v>18</v>
      </c>
      <c r="E871" t="s">
        <v>29</v>
      </c>
      <c r="F871">
        <v>0.69306145853943324</v>
      </c>
      <c r="G871">
        <v>0.93612291707886652</v>
      </c>
      <c r="H871">
        <v>0.45</v>
      </c>
      <c r="I871">
        <v>23399110800</v>
      </c>
      <c r="J871">
        <v>20.5</v>
      </c>
      <c r="K871">
        <v>10</v>
      </c>
    </row>
    <row r="872" spans="1:11" x14ac:dyDescent="0.25">
      <c r="A872" t="s">
        <v>323</v>
      </c>
      <c r="B872" t="s">
        <v>287</v>
      </c>
      <c r="C872" t="s">
        <v>288</v>
      </c>
      <c r="D872" t="s">
        <v>14</v>
      </c>
      <c r="E872" t="s">
        <v>59</v>
      </c>
      <c r="F872">
        <v>0.68347815617529317</v>
      </c>
      <c r="G872">
        <v>0.96695631235058621</v>
      </c>
      <c r="H872">
        <v>0.4</v>
      </c>
      <c r="I872">
        <v>45546730600</v>
      </c>
      <c r="J872">
        <v>23.2</v>
      </c>
      <c r="K872">
        <v>11</v>
      </c>
    </row>
    <row r="873" spans="1:11" x14ac:dyDescent="0.25">
      <c r="A873" t="s">
        <v>323</v>
      </c>
      <c r="B873" t="s">
        <v>315</v>
      </c>
      <c r="C873" t="s">
        <v>316</v>
      </c>
      <c r="D873" t="s">
        <v>32</v>
      </c>
      <c r="E873" t="s">
        <v>317</v>
      </c>
      <c r="F873">
        <v>0.67672222877020316</v>
      </c>
      <c r="G873">
        <v>0.7034444575404063</v>
      </c>
      <c r="H873">
        <v>0.65</v>
      </c>
      <c r="I873">
        <v>89774979800</v>
      </c>
      <c r="J873">
        <v>173.2</v>
      </c>
      <c r="K873">
        <v>12</v>
      </c>
    </row>
    <row r="874" spans="1:11" x14ac:dyDescent="0.25">
      <c r="A874" t="s">
        <v>323</v>
      </c>
      <c r="B874" t="s">
        <v>257</v>
      </c>
      <c r="C874" t="s">
        <v>258</v>
      </c>
      <c r="D874" t="s">
        <v>14</v>
      </c>
      <c r="E874" t="s">
        <v>259</v>
      </c>
      <c r="F874">
        <v>0.6663766999827494</v>
      </c>
      <c r="G874">
        <v>0.73275339996549871</v>
      </c>
      <c r="H874">
        <v>0.6</v>
      </c>
      <c r="I874">
        <v>2855290400</v>
      </c>
      <c r="J874">
        <v>10.1</v>
      </c>
      <c r="K874">
        <v>13</v>
      </c>
    </row>
    <row r="875" spans="1:11" x14ac:dyDescent="0.25">
      <c r="A875" t="s">
        <v>323</v>
      </c>
      <c r="B875" t="s">
        <v>280</v>
      </c>
      <c r="C875" t="s">
        <v>281</v>
      </c>
      <c r="D875" t="s">
        <v>18</v>
      </c>
      <c r="E875" t="s">
        <v>26</v>
      </c>
      <c r="F875">
        <v>0.64215765719864082</v>
      </c>
      <c r="G875">
        <v>0.9843153143972817</v>
      </c>
      <c r="H875">
        <v>0.3</v>
      </c>
      <c r="I875">
        <v>3505737000</v>
      </c>
      <c r="J875">
        <v>7.8</v>
      </c>
      <c r="K875">
        <v>14</v>
      </c>
    </row>
    <row r="876" spans="1:11" x14ac:dyDescent="0.25">
      <c r="A876" t="s">
        <v>323</v>
      </c>
      <c r="B876" t="s">
        <v>204</v>
      </c>
      <c r="C876" t="s">
        <v>205</v>
      </c>
      <c r="D876" t="s">
        <v>18</v>
      </c>
      <c r="E876" t="s">
        <v>29</v>
      </c>
      <c r="F876">
        <v>0.62839067194571196</v>
      </c>
      <c r="G876">
        <v>0.90678134389142395</v>
      </c>
      <c r="H876">
        <v>0.35</v>
      </c>
      <c r="I876">
        <v>3133891200</v>
      </c>
      <c r="J876">
        <v>7.5</v>
      </c>
      <c r="K876">
        <v>15</v>
      </c>
    </row>
    <row r="877" spans="1:11" x14ac:dyDescent="0.25">
      <c r="A877" t="s">
        <v>323</v>
      </c>
      <c r="B877" t="s">
        <v>179</v>
      </c>
      <c r="C877" t="s">
        <v>180</v>
      </c>
      <c r="D877" t="s">
        <v>32</v>
      </c>
      <c r="E877" t="s">
        <v>124</v>
      </c>
      <c r="F877">
        <v>0.62749376247123012</v>
      </c>
      <c r="G877">
        <v>0.9549875249424602</v>
      </c>
      <c r="H877">
        <v>0.3</v>
      </c>
      <c r="I877">
        <v>328775856100</v>
      </c>
      <c r="J877">
        <v>29.75</v>
      </c>
      <c r="K877">
        <v>16</v>
      </c>
    </row>
    <row r="878" spans="1:11" x14ac:dyDescent="0.25">
      <c r="A878" t="s">
        <v>323</v>
      </c>
      <c r="B878" t="s">
        <v>283</v>
      </c>
      <c r="C878" t="s">
        <v>284</v>
      </c>
      <c r="D878" t="s">
        <v>18</v>
      </c>
      <c r="E878" t="s">
        <v>33</v>
      </c>
      <c r="F878">
        <v>0.6240133115485017</v>
      </c>
      <c r="G878">
        <v>0.94802662309700347</v>
      </c>
      <c r="H878">
        <v>0.3</v>
      </c>
      <c r="I878">
        <v>5770902600</v>
      </c>
      <c r="J878">
        <v>8.1999999999999993</v>
      </c>
      <c r="K878">
        <v>17</v>
      </c>
    </row>
    <row r="879" spans="1:11" x14ac:dyDescent="0.25">
      <c r="A879" t="s">
        <v>323</v>
      </c>
      <c r="B879" t="s">
        <v>268</v>
      </c>
      <c r="C879" t="s">
        <v>269</v>
      </c>
      <c r="D879" t="s">
        <v>32</v>
      </c>
      <c r="E879" t="s">
        <v>59</v>
      </c>
      <c r="F879">
        <v>0.61995739894274959</v>
      </c>
      <c r="G879">
        <v>0.53991479788549923</v>
      </c>
      <c r="H879">
        <v>0.7</v>
      </c>
      <c r="I879">
        <v>2295834200</v>
      </c>
      <c r="J879">
        <v>2.87</v>
      </c>
      <c r="K879">
        <v>18</v>
      </c>
    </row>
    <row r="880" spans="1:11" x14ac:dyDescent="0.25">
      <c r="A880" t="s">
        <v>323</v>
      </c>
      <c r="B880" t="s">
        <v>183</v>
      </c>
      <c r="C880" t="s">
        <v>184</v>
      </c>
      <c r="D880" t="s">
        <v>32</v>
      </c>
      <c r="E880" t="s">
        <v>33</v>
      </c>
      <c r="F880">
        <v>0.61581734547155431</v>
      </c>
      <c r="G880">
        <v>0.83163469094310871</v>
      </c>
      <c r="H880">
        <v>0.4</v>
      </c>
      <c r="I880">
        <v>4388160360</v>
      </c>
      <c r="J880">
        <v>2.19</v>
      </c>
      <c r="K880">
        <v>19</v>
      </c>
    </row>
    <row r="881" spans="1:11" x14ac:dyDescent="0.25">
      <c r="A881" t="s">
        <v>323</v>
      </c>
      <c r="B881" t="s">
        <v>176</v>
      </c>
      <c r="C881" t="s">
        <v>177</v>
      </c>
      <c r="D881" t="s">
        <v>32</v>
      </c>
      <c r="E881" t="s">
        <v>33</v>
      </c>
      <c r="F881">
        <v>0.60375260056407443</v>
      </c>
      <c r="G881">
        <v>0.95750520112814885</v>
      </c>
      <c r="H881">
        <v>0.25</v>
      </c>
      <c r="I881">
        <v>3381288920</v>
      </c>
      <c r="J881">
        <v>9.02</v>
      </c>
      <c r="K881">
        <v>20</v>
      </c>
    </row>
    <row r="882" spans="1:11" x14ac:dyDescent="0.25">
      <c r="A882" t="s">
        <v>324</v>
      </c>
      <c r="B882" t="s">
        <v>283</v>
      </c>
      <c r="C882" t="s">
        <v>284</v>
      </c>
      <c r="D882" t="s">
        <v>18</v>
      </c>
      <c r="E882" t="s">
        <v>33</v>
      </c>
      <c r="F882">
        <v>0.81805252445258214</v>
      </c>
      <c r="G882">
        <v>0.98610504890516426</v>
      </c>
      <c r="H882">
        <v>0.65</v>
      </c>
      <c r="I882">
        <v>6187519600</v>
      </c>
      <c r="J882">
        <v>8.6999999999999993</v>
      </c>
      <c r="K882">
        <v>1</v>
      </c>
    </row>
    <row r="883" spans="1:11" x14ac:dyDescent="0.25">
      <c r="A883" t="s">
        <v>324</v>
      </c>
      <c r="B883" t="s">
        <v>188</v>
      </c>
      <c r="C883" t="s">
        <v>189</v>
      </c>
      <c r="D883" t="s">
        <v>32</v>
      </c>
      <c r="E883" t="s">
        <v>29</v>
      </c>
      <c r="F883">
        <v>0.81630672378431246</v>
      </c>
      <c r="G883">
        <v>0.88261344756862481</v>
      </c>
      <c r="H883">
        <v>0.75</v>
      </c>
      <c r="I883">
        <v>5907803900</v>
      </c>
      <c r="J883">
        <v>11.95</v>
      </c>
      <c r="K883">
        <v>2</v>
      </c>
    </row>
    <row r="884" spans="1:11" x14ac:dyDescent="0.25">
      <c r="A884" t="s">
        <v>324</v>
      </c>
      <c r="B884" t="s">
        <v>229</v>
      </c>
      <c r="C884" t="s">
        <v>230</v>
      </c>
      <c r="D884" t="s">
        <v>18</v>
      </c>
      <c r="E884" t="s">
        <v>29</v>
      </c>
      <c r="F884">
        <v>0.76440031676486131</v>
      </c>
      <c r="G884">
        <v>0.92880063352972264</v>
      </c>
      <c r="H884">
        <v>0.6</v>
      </c>
      <c r="I884">
        <v>23545370400</v>
      </c>
      <c r="J884">
        <v>21</v>
      </c>
      <c r="K884">
        <v>3</v>
      </c>
    </row>
    <row r="885" spans="1:11" x14ac:dyDescent="0.25">
      <c r="A885" t="s">
        <v>324</v>
      </c>
      <c r="B885" t="s">
        <v>261</v>
      </c>
      <c r="C885" t="s">
        <v>262</v>
      </c>
      <c r="D885" t="s">
        <v>32</v>
      </c>
      <c r="E885" t="s">
        <v>42</v>
      </c>
      <c r="F885">
        <v>0.7547442797885795</v>
      </c>
      <c r="G885">
        <v>0.95948855957715895</v>
      </c>
      <c r="H885">
        <v>0.55000000000000004</v>
      </c>
      <c r="I885">
        <v>122825633600</v>
      </c>
      <c r="J885">
        <v>67.400000000000006</v>
      </c>
      <c r="K885">
        <v>4</v>
      </c>
    </row>
    <row r="886" spans="1:11" x14ac:dyDescent="0.25">
      <c r="A886" t="s">
        <v>324</v>
      </c>
      <c r="B886" t="s">
        <v>309</v>
      </c>
      <c r="C886" t="s">
        <v>310</v>
      </c>
      <c r="D886" t="s">
        <v>32</v>
      </c>
      <c r="E886" t="s">
        <v>33</v>
      </c>
      <c r="F886">
        <v>0.71190179246152507</v>
      </c>
      <c r="G886">
        <v>0.97380358492305008</v>
      </c>
      <c r="H886">
        <v>0.45</v>
      </c>
      <c r="I886">
        <v>158476840700</v>
      </c>
      <c r="J886">
        <v>12.6</v>
      </c>
      <c r="K886">
        <v>5</v>
      </c>
    </row>
    <row r="887" spans="1:11" x14ac:dyDescent="0.25">
      <c r="A887" t="s">
        <v>324</v>
      </c>
      <c r="B887" t="s">
        <v>287</v>
      </c>
      <c r="C887" t="s">
        <v>288</v>
      </c>
      <c r="D887" t="s">
        <v>14</v>
      </c>
      <c r="E887" t="s">
        <v>59</v>
      </c>
      <c r="F887">
        <v>0.70368022393566321</v>
      </c>
      <c r="G887">
        <v>0.95736044787132646</v>
      </c>
      <c r="H887">
        <v>0.45</v>
      </c>
      <c r="I887">
        <v>46719009800</v>
      </c>
      <c r="J887">
        <v>22.7</v>
      </c>
      <c r="K887">
        <v>6</v>
      </c>
    </row>
    <row r="888" spans="1:11" x14ac:dyDescent="0.25">
      <c r="A888" t="s">
        <v>324</v>
      </c>
      <c r="B888" t="s">
        <v>82</v>
      </c>
      <c r="C888" t="s">
        <v>83</v>
      </c>
      <c r="D888" t="s">
        <v>32</v>
      </c>
      <c r="E888" t="s">
        <v>39</v>
      </c>
      <c r="F888">
        <v>0.6992432294461548</v>
      </c>
      <c r="G888">
        <v>0.89848645889230949</v>
      </c>
      <c r="H888">
        <v>0.5</v>
      </c>
      <c r="I888">
        <v>40881417500</v>
      </c>
      <c r="J888">
        <v>17.350000000000001</v>
      </c>
      <c r="K888">
        <v>7</v>
      </c>
    </row>
    <row r="889" spans="1:11" x14ac:dyDescent="0.25">
      <c r="A889" t="s">
        <v>324</v>
      </c>
      <c r="B889" t="s">
        <v>321</v>
      </c>
      <c r="C889" t="s">
        <v>322</v>
      </c>
      <c r="D889" t="s">
        <v>18</v>
      </c>
      <c r="E889" t="s">
        <v>59</v>
      </c>
      <c r="F889">
        <v>0.66305458372740245</v>
      </c>
      <c r="G889">
        <v>0.87610916745480483</v>
      </c>
      <c r="H889">
        <v>0.45</v>
      </c>
      <c r="I889">
        <v>8372885800</v>
      </c>
      <c r="J889">
        <v>26.2</v>
      </c>
      <c r="K889">
        <v>8</v>
      </c>
    </row>
    <row r="890" spans="1:11" x14ac:dyDescent="0.25">
      <c r="A890" t="s">
        <v>324</v>
      </c>
      <c r="B890" t="s">
        <v>290</v>
      </c>
      <c r="C890" t="s">
        <v>291</v>
      </c>
      <c r="D890" t="s">
        <v>14</v>
      </c>
      <c r="E890" t="s">
        <v>292</v>
      </c>
      <c r="F890">
        <v>0.66183442989330921</v>
      </c>
      <c r="G890">
        <v>0.92366885978661839</v>
      </c>
      <c r="H890">
        <v>0.4</v>
      </c>
      <c r="I890">
        <v>3567602800</v>
      </c>
      <c r="J890">
        <v>216.4</v>
      </c>
      <c r="K890">
        <v>9</v>
      </c>
    </row>
    <row r="891" spans="1:11" x14ac:dyDescent="0.25">
      <c r="A891" t="s">
        <v>324</v>
      </c>
      <c r="B891" t="s">
        <v>96</v>
      </c>
      <c r="C891" t="s">
        <v>97</v>
      </c>
      <c r="D891" t="s">
        <v>32</v>
      </c>
      <c r="E891" t="s">
        <v>23</v>
      </c>
      <c r="F891">
        <v>0.65497986445258594</v>
      </c>
      <c r="G891">
        <v>0.55995972890517176</v>
      </c>
      <c r="H891">
        <v>0.75</v>
      </c>
      <c r="I891">
        <v>5571682480</v>
      </c>
      <c r="J891">
        <v>5.44</v>
      </c>
      <c r="K891">
        <v>10</v>
      </c>
    </row>
    <row r="892" spans="1:11" x14ac:dyDescent="0.25">
      <c r="A892" t="s">
        <v>324</v>
      </c>
      <c r="B892" t="s">
        <v>315</v>
      </c>
      <c r="C892" t="s">
        <v>316</v>
      </c>
      <c r="D892" t="s">
        <v>32</v>
      </c>
      <c r="E892" t="s">
        <v>317</v>
      </c>
      <c r="F892">
        <v>0.6471366514996385</v>
      </c>
      <c r="G892">
        <v>0.59427330299927705</v>
      </c>
      <c r="H892">
        <v>0.7</v>
      </c>
      <c r="I892">
        <v>88305670800</v>
      </c>
      <c r="J892">
        <v>170.5</v>
      </c>
      <c r="K892">
        <v>11</v>
      </c>
    </row>
    <row r="893" spans="1:11" x14ac:dyDescent="0.25">
      <c r="A893" t="s">
        <v>324</v>
      </c>
      <c r="B893" t="s">
        <v>183</v>
      </c>
      <c r="C893" t="s">
        <v>184</v>
      </c>
      <c r="D893" t="s">
        <v>32</v>
      </c>
      <c r="E893" t="s">
        <v>33</v>
      </c>
      <c r="F893">
        <v>0.64303672314305993</v>
      </c>
      <c r="G893">
        <v>0.93607344628611988</v>
      </c>
      <c r="H893">
        <v>0.35</v>
      </c>
      <c r="I893">
        <v>4516680340</v>
      </c>
      <c r="J893">
        <v>2.3199999999999998</v>
      </c>
      <c r="K893">
        <v>12</v>
      </c>
    </row>
    <row r="894" spans="1:11" x14ac:dyDescent="0.25">
      <c r="A894" t="s">
        <v>324</v>
      </c>
      <c r="B894" t="s">
        <v>268</v>
      </c>
      <c r="C894" t="s">
        <v>269</v>
      </c>
      <c r="D894" t="s">
        <v>32</v>
      </c>
      <c r="E894" t="s">
        <v>59</v>
      </c>
      <c r="F894">
        <v>0.64264390151632289</v>
      </c>
      <c r="G894">
        <v>0.6852878030326458</v>
      </c>
      <c r="H894">
        <v>0.6</v>
      </c>
      <c r="I894">
        <v>2340426360</v>
      </c>
      <c r="J894">
        <v>2.97</v>
      </c>
      <c r="K894">
        <v>13</v>
      </c>
    </row>
    <row r="895" spans="1:11" x14ac:dyDescent="0.25">
      <c r="A895" t="s">
        <v>324</v>
      </c>
      <c r="B895" t="s">
        <v>209</v>
      </c>
      <c r="C895" t="s">
        <v>210</v>
      </c>
      <c r="D895" t="s">
        <v>18</v>
      </c>
      <c r="E895" t="s">
        <v>42</v>
      </c>
      <c r="F895">
        <v>0.61912084834804637</v>
      </c>
      <c r="G895">
        <v>0.98824169669609285</v>
      </c>
      <c r="H895">
        <v>0.25</v>
      </c>
      <c r="I895">
        <v>10627620800</v>
      </c>
      <c r="J895">
        <v>8.1</v>
      </c>
      <c r="K895">
        <v>14</v>
      </c>
    </row>
    <row r="896" spans="1:11" x14ac:dyDescent="0.25">
      <c r="A896" t="s">
        <v>324</v>
      </c>
      <c r="B896" t="s">
        <v>179</v>
      </c>
      <c r="C896" t="s">
        <v>180</v>
      </c>
      <c r="D896" t="s">
        <v>32</v>
      </c>
      <c r="E896" t="s">
        <v>124</v>
      </c>
      <c r="F896">
        <v>0.6054056215811684</v>
      </c>
      <c r="G896">
        <v>0.96081124316233679</v>
      </c>
      <c r="H896">
        <v>0.25</v>
      </c>
      <c r="I896">
        <v>331410184100</v>
      </c>
      <c r="J896">
        <v>30.3</v>
      </c>
      <c r="K896">
        <v>15</v>
      </c>
    </row>
    <row r="897" spans="1:11" x14ac:dyDescent="0.25">
      <c r="A897" t="s">
        <v>324</v>
      </c>
      <c r="B897" t="s">
        <v>204</v>
      </c>
      <c r="C897" t="s">
        <v>205</v>
      </c>
      <c r="D897" t="s">
        <v>18</v>
      </c>
      <c r="E897" t="s">
        <v>29</v>
      </c>
      <c r="F897">
        <v>0.60441658230064654</v>
      </c>
      <c r="G897">
        <v>0.85883316460129311</v>
      </c>
      <c r="H897">
        <v>0.35</v>
      </c>
      <c r="I897">
        <v>3136340400</v>
      </c>
      <c r="J897">
        <v>7.7</v>
      </c>
      <c r="K897">
        <v>16</v>
      </c>
    </row>
    <row r="898" spans="1:11" x14ac:dyDescent="0.25">
      <c r="A898" t="s">
        <v>324</v>
      </c>
      <c r="B898" t="s">
        <v>285</v>
      </c>
      <c r="C898" t="s">
        <v>286</v>
      </c>
      <c r="D898" t="s">
        <v>18</v>
      </c>
      <c r="E898" t="s">
        <v>26</v>
      </c>
      <c r="F898">
        <v>0.59922899566266508</v>
      </c>
      <c r="G898">
        <v>0.84845799132533017</v>
      </c>
      <c r="H898">
        <v>0.35</v>
      </c>
      <c r="I898">
        <v>36372901400</v>
      </c>
      <c r="J898">
        <v>70.8</v>
      </c>
      <c r="K898">
        <v>17</v>
      </c>
    </row>
    <row r="899" spans="1:11" x14ac:dyDescent="0.25">
      <c r="A899" t="s">
        <v>324</v>
      </c>
      <c r="B899" t="s">
        <v>325</v>
      </c>
      <c r="C899" t="s">
        <v>326</v>
      </c>
      <c r="D899" t="s">
        <v>32</v>
      </c>
      <c r="E899" t="s">
        <v>36</v>
      </c>
      <c r="F899">
        <v>0.59336923255033813</v>
      </c>
      <c r="G899">
        <v>0.83673846510067629</v>
      </c>
      <c r="H899">
        <v>0.35</v>
      </c>
      <c r="I899">
        <v>2202840400</v>
      </c>
      <c r="J899">
        <v>106.9</v>
      </c>
      <c r="K899">
        <v>18</v>
      </c>
    </row>
    <row r="900" spans="1:11" x14ac:dyDescent="0.25">
      <c r="A900" t="s">
        <v>324</v>
      </c>
      <c r="B900" t="s">
        <v>307</v>
      </c>
      <c r="C900" t="s">
        <v>308</v>
      </c>
      <c r="D900" t="s">
        <v>32</v>
      </c>
      <c r="E900" t="s">
        <v>42</v>
      </c>
      <c r="F900">
        <v>0.59017310553880353</v>
      </c>
      <c r="G900">
        <v>0.980346211077607</v>
      </c>
      <c r="H900">
        <v>0.2</v>
      </c>
      <c r="I900">
        <v>59625157100</v>
      </c>
      <c r="J900">
        <v>22.9</v>
      </c>
      <c r="K900">
        <v>19</v>
      </c>
    </row>
    <row r="901" spans="1:11" x14ac:dyDescent="0.25">
      <c r="A901" t="s">
        <v>324</v>
      </c>
      <c r="B901" t="s">
        <v>169</v>
      </c>
      <c r="C901" t="s">
        <v>170</v>
      </c>
      <c r="D901" t="s">
        <v>32</v>
      </c>
      <c r="E901" t="s">
        <v>23</v>
      </c>
      <c r="F901">
        <v>0.58665667385153197</v>
      </c>
      <c r="G901">
        <v>0.8733133477030639</v>
      </c>
      <c r="H901">
        <v>0.3</v>
      </c>
      <c r="I901">
        <v>5182715800</v>
      </c>
      <c r="J901">
        <v>13.5</v>
      </c>
      <c r="K901">
        <v>20</v>
      </c>
    </row>
    <row r="902" spans="1:11" x14ac:dyDescent="0.25">
      <c r="A902" t="s">
        <v>327</v>
      </c>
      <c r="B902" t="s">
        <v>188</v>
      </c>
      <c r="C902" t="s">
        <v>189</v>
      </c>
      <c r="D902" t="s">
        <v>32</v>
      </c>
      <c r="E902" t="s">
        <v>29</v>
      </c>
      <c r="F902">
        <v>0.79391979586674621</v>
      </c>
      <c r="G902">
        <v>0.88783959173349247</v>
      </c>
      <c r="H902">
        <v>0.7</v>
      </c>
      <c r="I902">
        <v>5833858460</v>
      </c>
      <c r="J902">
        <v>12</v>
      </c>
      <c r="K902">
        <v>1</v>
      </c>
    </row>
    <row r="903" spans="1:11" x14ac:dyDescent="0.25">
      <c r="A903" t="s">
        <v>327</v>
      </c>
      <c r="B903" t="s">
        <v>261</v>
      </c>
      <c r="C903" t="s">
        <v>262</v>
      </c>
      <c r="D903" t="s">
        <v>32</v>
      </c>
      <c r="E903" t="s">
        <v>42</v>
      </c>
      <c r="F903">
        <v>0.77591895855322712</v>
      </c>
      <c r="G903">
        <v>0.95183791710645427</v>
      </c>
      <c r="H903">
        <v>0.6</v>
      </c>
      <c r="I903">
        <v>121056872800</v>
      </c>
      <c r="J903">
        <v>66.8</v>
      </c>
      <c r="K903">
        <v>2</v>
      </c>
    </row>
    <row r="904" spans="1:11" x14ac:dyDescent="0.25">
      <c r="A904" t="s">
        <v>327</v>
      </c>
      <c r="B904" t="s">
        <v>186</v>
      </c>
      <c r="C904" t="s">
        <v>187</v>
      </c>
      <c r="D904" t="s">
        <v>32</v>
      </c>
      <c r="E904" t="s">
        <v>74</v>
      </c>
      <c r="F904">
        <v>0.75918595385686538</v>
      </c>
      <c r="G904">
        <v>0.91837190771373078</v>
      </c>
      <c r="H904">
        <v>0.6</v>
      </c>
      <c r="I904">
        <v>12124418400</v>
      </c>
      <c r="J904">
        <v>11.5</v>
      </c>
      <c r="K904">
        <v>3</v>
      </c>
    </row>
    <row r="905" spans="1:11" x14ac:dyDescent="0.25">
      <c r="A905" t="s">
        <v>327</v>
      </c>
      <c r="B905" t="s">
        <v>229</v>
      </c>
      <c r="C905" t="s">
        <v>230</v>
      </c>
      <c r="D905" t="s">
        <v>18</v>
      </c>
      <c r="E905" t="s">
        <v>29</v>
      </c>
      <c r="F905">
        <v>0.73388199802668264</v>
      </c>
      <c r="G905">
        <v>0.91776399605336523</v>
      </c>
      <c r="H905">
        <v>0.55000000000000004</v>
      </c>
      <c r="I905">
        <v>23525006400</v>
      </c>
      <c r="J905">
        <v>20.8</v>
      </c>
      <c r="K905">
        <v>4</v>
      </c>
    </row>
    <row r="906" spans="1:11" x14ac:dyDescent="0.25">
      <c r="A906" t="s">
        <v>327</v>
      </c>
      <c r="B906" t="s">
        <v>283</v>
      </c>
      <c r="C906" t="s">
        <v>284</v>
      </c>
      <c r="D906" t="s">
        <v>18</v>
      </c>
      <c r="E906" t="s">
        <v>33</v>
      </c>
      <c r="F906">
        <v>0.65806933671085277</v>
      </c>
      <c r="G906">
        <v>0.96613867342170556</v>
      </c>
      <c r="H906">
        <v>0.35</v>
      </c>
      <c r="I906">
        <v>6317015200</v>
      </c>
      <c r="J906">
        <v>8.5</v>
      </c>
      <c r="K906">
        <v>5</v>
      </c>
    </row>
    <row r="907" spans="1:11" x14ac:dyDescent="0.25">
      <c r="A907" t="s">
        <v>327</v>
      </c>
      <c r="B907" t="s">
        <v>309</v>
      </c>
      <c r="C907" t="s">
        <v>310</v>
      </c>
      <c r="D907" t="s">
        <v>32</v>
      </c>
      <c r="E907" t="s">
        <v>33</v>
      </c>
      <c r="F907">
        <v>0.65656267920273392</v>
      </c>
      <c r="G907">
        <v>0.96312535840546776</v>
      </c>
      <c r="H907">
        <v>0.35</v>
      </c>
      <c r="I907">
        <v>162005590700</v>
      </c>
      <c r="J907">
        <v>12.3</v>
      </c>
      <c r="K907">
        <v>6</v>
      </c>
    </row>
    <row r="908" spans="1:11" x14ac:dyDescent="0.25">
      <c r="A908" t="s">
        <v>327</v>
      </c>
      <c r="B908" t="s">
        <v>206</v>
      </c>
      <c r="C908" t="s">
        <v>207</v>
      </c>
      <c r="D908" t="s">
        <v>32</v>
      </c>
      <c r="E908" t="s">
        <v>33</v>
      </c>
      <c r="F908">
        <v>0.63274084880048886</v>
      </c>
      <c r="G908">
        <v>0.91548169760097764</v>
      </c>
      <c r="H908">
        <v>0.35</v>
      </c>
      <c r="I908">
        <v>5122658500</v>
      </c>
      <c r="J908">
        <v>44.8</v>
      </c>
      <c r="K908">
        <v>7</v>
      </c>
    </row>
    <row r="909" spans="1:11" x14ac:dyDescent="0.25">
      <c r="A909" t="s">
        <v>327</v>
      </c>
      <c r="B909" t="s">
        <v>88</v>
      </c>
      <c r="C909" t="s">
        <v>89</v>
      </c>
      <c r="D909" t="s">
        <v>32</v>
      </c>
      <c r="E909" t="s">
        <v>33</v>
      </c>
      <c r="F909">
        <v>0.63222013490533546</v>
      </c>
      <c r="G909">
        <v>0.96444026981067099</v>
      </c>
      <c r="H909">
        <v>0.3</v>
      </c>
      <c r="I909">
        <v>52062715120</v>
      </c>
      <c r="J909">
        <v>12.35</v>
      </c>
      <c r="K909">
        <v>8</v>
      </c>
    </row>
    <row r="910" spans="1:11" x14ac:dyDescent="0.25">
      <c r="A910" t="s">
        <v>327</v>
      </c>
      <c r="B910" t="s">
        <v>179</v>
      </c>
      <c r="C910" t="s">
        <v>180</v>
      </c>
      <c r="D910" t="s">
        <v>32</v>
      </c>
      <c r="E910" t="s">
        <v>124</v>
      </c>
      <c r="F910">
        <v>0.62621766498850961</v>
      </c>
      <c r="G910">
        <v>0.9524353299770193</v>
      </c>
      <c r="H910">
        <v>0.3</v>
      </c>
      <c r="I910">
        <v>329858199500</v>
      </c>
      <c r="J910">
        <v>30</v>
      </c>
      <c r="K910">
        <v>9</v>
      </c>
    </row>
    <row r="911" spans="1:11" x14ac:dyDescent="0.25">
      <c r="A911" t="s">
        <v>327</v>
      </c>
      <c r="B911" t="s">
        <v>183</v>
      </c>
      <c r="C911" t="s">
        <v>184</v>
      </c>
      <c r="D911" t="s">
        <v>32</v>
      </c>
      <c r="E911" t="s">
        <v>33</v>
      </c>
      <c r="F911">
        <v>0.624587501118261</v>
      </c>
      <c r="G911">
        <v>0.94917500223652207</v>
      </c>
      <c r="H911">
        <v>0.3</v>
      </c>
      <c r="I911">
        <v>4638770440</v>
      </c>
      <c r="J911">
        <v>2.35</v>
      </c>
      <c r="K911">
        <v>10</v>
      </c>
    </row>
    <row r="912" spans="1:11" x14ac:dyDescent="0.25">
      <c r="A912" t="s">
        <v>327</v>
      </c>
      <c r="B912" t="s">
        <v>285</v>
      </c>
      <c r="C912" t="s">
        <v>286</v>
      </c>
      <c r="D912" t="s">
        <v>18</v>
      </c>
      <c r="E912" t="s">
        <v>26</v>
      </c>
      <c r="F912">
        <v>0.61908121077837164</v>
      </c>
      <c r="G912">
        <v>0.83816242155674336</v>
      </c>
      <c r="H912">
        <v>0.4</v>
      </c>
      <c r="I912">
        <v>36243057800</v>
      </c>
      <c r="J912">
        <v>71.400000000000006</v>
      </c>
      <c r="K912">
        <v>11</v>
      </c>
    </row>
    <row r="913" spans="1:11" x14ac:dyDescent="0.25">
      <c r="A913" t="s">
        <v>327</v>
      </c>
      <c r="B913" t="s">
        <v>82</v>
      </c>
      <c r="C913" t="s">
        <v>83</v>
      </c>
      <c r="D913" t="s">
        <v>32</v>
      </c>
      <c r="E913" t="s">
        <v>39</v>
      </c>
      <c r="F913">
        <v>0.60583281206306627</v>
      </c>
      <c r="G913">
        <v>0.86166562412613246</v>
      </c>
      <c r="H913">
        <v>0.35</v>
      </c>
      <c r="I913">
        <v>40920721000</v>
      </c>
      <c r="J913">
        <v>17.350000000000001</v>
      </c>
      <c r="K913">
        <v>12</v>
      </c>
    </row>
    <row r="914" spans="1:11" x14ac:dyDescent="0.25">
      <c r="A914" t="s">
        <v>327</v>
      </c>
      <c r="B914" t="s">
        <v>176</v>
      </c>
      <c r="C914" t="s">
        <v>177</v>
      </c>
      <c r="D914" t="s">
        <v>32</v>
      </c>
      <c r="E914" t="s">
        <v>33</v>
      </c>
      <c r="F914">
        <v>0.5984537528456807</v>
      </c>
      <c r="G914">
        <v>0.9469075056913614</v>
      </c>
      <c r="H914">
        <v>0.25</v>
      </c>
      <c r="I914">
        <v>3468502740</v>
      </c>
      <c r="J914">
        <v>9.0399999999999991</v>
      </c>
      <c r="K914">
        <v>13</v>
      </c>
    </row>
    <row r="915" spans="1:11" x14ac:dyDescent="0.25">
      <c r="A915" t="s">
        <v>327</v>
      </c>
      <c r="B915" t="s">
        <v>307</v>
      </c>
      <c r="C915" t="s">
        <v>308</v>
      </c>
      <c r="D915" t="s">
        <v>32</v>
      </c>
      <c r="E915" t="s">
        <v>42</v>
      </c>
      <c r="F915">
        <v>0.59077216080996331</v>
      </c>
      <c r="G915">
        <v>0.98154432161992666</v>
      </c>
      <c r="H915">
        <v>0.2</v>
      </c>
      <c r="I915">
        <v>60980782100</v>
      </c>
      <c r="J915">
        <v>23.1</v>
      </c>
      <c r="K915">
        <v>14</v>
      </c>
    </row>
    <row r="916" spans="1:11" x14ac:dyDescent="0.25">
      <c r="A916" t="s">
        <v>327</v>
      </c>
      <c r="B916" t="s">
        <v>24</v>
      </c>
      <c r="C916" t="s">
        <v>25</v>
      </c>
      <c r="D916" t="s">
        <v>18</v>
      </c>
      <c r="E916" t="s">
        <v>26</v>
      </c>
      <c r="F916">
        <v>0.58250566436486095</v>
      </c>
      <c r="G916">
        <v>0.9150113287297218</v>
      </c>
      <c r="H916">
        <v>0.25</v>
      </c>
      <c r="I916">
        <v>10110261400</v>
      </c>
      <c r="J916">
        <v>15.1</v>
      </c>
      <c r="K916">
        <v>15</v>
      </c>
    </row>
    <row r="917" spans="1:11" x14ac:dyDescent="0.25">
      <c r="A917" t="s">
        <v>327</v>
      </c>
      <c r="B917" t="s">
        <v>315</v>
      </c>
      <c r="C917" t="s">
        <v>316</v>
      </c>
      <c r="D917" t="s">
        <v>32</v>
      </c>
      <c r="E917" t="s">
        <v>317</v>
      </c>
      <c r="F917">
        <v>0.58209034001053794</v>
      </c>
      <c r="G917">
        <v>0.61418068002107595</v>
      </c>
      <c r="H917">
        <v>0.55000000000000004</v>
      </c>
      <c r="I917">
        <v>85624602400</v>
      </c>
      <c r="J917">
        <v>170.5</v>
      </c>
      <c r="K917">
        <v>16</v>
      </c>
    </row>
    <row r="918" spans="1:11" x14ac:dyDescent="0.25">
      <c r="A918" t="s">
        <v>327</v>
      </c>
      <c r="B918" t="s">
        <v>287</v>
      </c>
      <c r="C918" t="s">
        <v>288</v>
      </c>
      <c r="D918" t="s">
        <v>14</v>
      </c>
      <c r="E918" t="s">
        <v>59</v>
      </c>
      <c r="F918">
        <v>0.57118967561718725</v>
      </c>
      <c r="G918">
        <v>0.94237935123437444</v>
      </c>
      <c r="H918">
        <v>0.2</v>
      </c>
      <c r="I918">
        <v>47174161400</v>
      </c>
      <c r="J918">
        <v>22.5</v>
      </c>
      <c r="K918">
        <v>17</v>
      </c>
    </row>
    <row r="919" spans="1:11" x14ac:dyDescent="0.25">
      <c r="A919" t="s">
        <v>327</v>
      </c>
      <c r="B919" t="s">
        <v>209</v>
      </c>
      <c r="C919" t="s">
        <v>210</v>
      </c>
      <c r="D919" t="s">
        <v>18</v>
      </c>
      <c r="E919" t="s">
        <v>42</v>
      </c>
      <c r="F919">
        <v>0.56975298292654408</v>
      </c>
      <c r="G919">
        <v>0.98950596585308825</v>
      </c>
      <c r="H919">
        <v>0.15</v>
      </c>
      <c r="I919">
        <v>11788792600</v>
      </c>
      <c r="J919">
        <v>8.3000000000000007</v>
      </c>
      <c r="K919">
        <v>18</v>
      </c>
    </row>
    <row r="920" spans="1:11" x14ac:dyDescent="0.25">
      <c r="A920" t="s">
        <v>327</v>
      </c>
      <c r="B920" t="s">
        <v>237</v>
      </c>
      <c r="C920" t="s">
        <v>238</v>
      </c>
      <c r="D920" t="s">
        <v>32</v>
      </c>
      <c r="E920" t="s">
        <v>33</v>
      </c>
      <c r="F920">
        <v>0.56381296402876979</v>
      </c>
      <c r="G920">
        <v>0.92762592805753963</v>
      </c>
      <c r="H920">
        <v>0.2</v>
      </c>
      <c r="I920">
        <v>580768781600</v>
      </c>
      <c r="J920">
        <v>62.2</v>
      </c>
      <c r="K920">
        <v>19</v>
      </c>
    </row>
    <row r="921" spans="1:11" x14ac:dyDescent="0.25">
      <c r="A921" t="s">
        <v>327</v>
      </c>
      <c r="B921" t="s">
        <v>199</v>
      </c>
      <c r="C921" t="s">
        <v>200</v>
      </c>
      <c r="D921" t="s">
        <v>32</v>
      </c>
      <c r="E921" t="s">
        <v>26</v>
      </c>
      <c r="F921">
        <v>0.56287665260143582</v>
      </c>
      <c r="G921">
        <v>0.92575330520287158</v>
      </c>
      <c r="H921">
        <v>0.2</v>
      </c>
      <c r="I921">
        <v>5307717560</v>
      </c>
      <c r="J921">
        <v>14.3</v>
      </c>
      <c r="K921">
        <v>20</v>
      </c>
    </row>
    <row r="922" spans="1:11" x14ac:dyDescent="0.25">
      <c r="A922" t="s">
        <v>328</v>
      </c>
      <c r="B922" t="s">
        <v>188</v>
      </c>
      <c r="C922" t="s">
        <v>189</v>
      </c>
      <c r="D922" t="s">
        <v>32</v>
      </c>
      <c r="E922" t="s">
        <v>29</v>
      </c>
      <c r="F922">
        <v>0.76908242624895806</v>
      </c>
      <c r="G922">
        <v>0.8881648524979161</v>
      </c>
      <c r="H922">
        <v>0.65</v>
      </c>
      <c r="I922">
        <v>5822966480</v>
      </c>
      <c r="J922">
        <v>11.95</v>
      </c>
      <c r="K922">
        <v>1</v>
      </c>
    </row>
    <row r="923" spans="1:11" x14ac:dyDescent="0.25">
      <c r="A923" t="s">
        <v>328</v>
      </c>
      <c r="B923" t="s">
        <v>261</v>
      </c>
      <c r="C923" t="s">
        <v>262</v>
      </c>
      <c r="D923" t="s">
        <v>32</v>
      </c>
      <c r="E923" t="s">
        <v>42</v>
      </c>
      <c r="F923">
        <v>0.73144054703162908</v>
      </c>
      <c r="G923">
        <v>0.96288109406325817</v>
      </c>
      <c r="H923">
        <v>0.5</v>
      </c>
      <c r="I923">
        <v>120972870800</v>
      </c>
      <c r="J923">
        <v>68</v>
      </c>
      <c r="K923">
        <v>2</v>
      </c>
    </row>
    <row r="924" spans="1:11" x14ac:dyDescent="0.25">
      <c r="A924" t="s">
        <v>328</v>
      </c>
      <c r="B924" t="s">
        <v>88</v>
      </c>
      <c r="C924" t="s">
        <v>89</v>
      </c>
      <c r="D924" t="s">
        <v>32</v>
      </c>
      <c r="E924" t="s">
        <v>33</v>
      </c>
      <c r="F924">
        <v>0.71834928771327333</v>
      </c>
      <c r="G924">
        <v>0.98669857542654671</v>
      </c>
      <c r="H924">
        <v>0.45</v>
      </c>
      <c r="I924">
        <v>55433975620</v>
      </c>
      <c r="J924">
        <v>13.05</v>
      </c>
      <c r="K924">
        <v>3</v>
      </c>
    </row>
    <row r="925" spans="1:11" x14ac:dyDescent="0.25">
      <c r="A925" t="s">
        <v>328</v>
      </c>
      <c r="B925" t="s">
        <v>193</v>
      </c>
      <c r="C925" t="s">
        <v>194</v>
      </c>
      <c r="D925" t="s">
        <v>32</v>
      </c>
      <c r="E925" t="s">
        <v>33</v>
      </c>
      <c r="F925">
        <v>0.6969278781042787</v>
      </c>
      <c r="G925">
        <v>0.79385575620855731</v>
      </c>
      <c r="H925">
        <v>0.6</v>
      </c>
      <c r="I925">
        <v>16957990400</v>
      </c>
      <c r="J925">
        <v>3.35</v>
      </c>
      <c r="K925">
        <v>4</v>
      </c>
    </row>
    <row r="926" spans="1:11" x14ac:dyDescent="0.25">
      <c r="A926" t="s">
        <v>328</v>
      </c>
      <c r="B926" t="s">
        <v>186</v>
      </c>
      <c r="C926" t="s">
        <v>187</v>
      </c>
      <c r="D926" t="s">
        <v>32</v>
      </c>
      <c r="E926" t="s">
        <v>74</v>
      </c>
      <c r="F926">
        <v>0.66257736762703567</v>
      </c>
      <c r="G926">
        <v>0.87515473525407128</v>
      </c>
      <c r="H926">
        <v>0.45</v>
      </c>
      <c r="I926">
        <v>11946181200</v>
      </c>
      <c r="J926">
        <v>11.6</v>
      </c>
      <c r="K926">
        <v>5</v>
      </c>
    </row>
    <row r="927" spans="1:11" x14ac:dyDescent="0.25">
      <c r="A927" t="s">
        <v>328</v>
      </c>
      <c r="B927" t="s">
        <v>206</v>
      </c>
      <c r="C927" t="s">
        <v>207</v>
      </c>
      <c r="D927" t="s">
        <v>32</v>
      </c>
      <c r="E927" t="s">
        <v>33</v>
      </c>
      <c r="F927">
        <v>0.65894622189574381</v>
      </c>
      <c r="G927">
        <v>0.91789244379148749</v>
      </c>
      <c r="H927">
        <v>0.4</v>
      </c>
      <c r="I927">
        <v>5623532700</v>
      </c>
      <c r="J927">
        <v>45</v>
      </c>
      <c r="K927">
        <v>6</v>
      </c>
    </row>
    <row r="928" spans="1:11" x14ac:dyDescent="0.25">
      <c r="A928" t="s">
        <v>328</v>
      </c>
      <c r="B928" t="s">
        <v>283</v>
      </c>
      <c r="C928" t="s">
        <v>284</v>
      </c>
      <c r="D928" t="s">
        <v>18</v>
      </c>
      <c r="E928" t="s">
        <v>33</v>
      </c>
      <c r="F928">
        <v>0.6553958386838028</v>
      </c>
      <c r="G928">
        <v>0.96079167736760562</v>
      </c>
      <c r="H928">
        <v>0.35</v>
      </c>
      <c r="I928">
        <v>6467574800</v>
      </c>
      <c r="J928">
        <v>8.4</v>
      </c>
      <c r="K928">
        <v>7</v>
      </c>
    </row>
    <row r="929" spans="1:11" x14ac:dyDescent="0.25">
      <c r="A929" t="s">
        <v>328</v>
      </c>
      <c r="B929" t="s">
        <v>309</v>
      </c>
      <c r="C929" t="s">
        <v>310</v>
      </c>
      <c r="D929" t="s">
        <v>32</v>
      </c>
      <c r="E929" t="s">
        <v>33</v>
      </c>
      <c r="F929">
        <v>0.65036502618550251</v>
      </c>
      <c r="G929">
        <v>0.95073005237100494</v>
      </c>
      <c r="H929">
        <v>0.35</v>
      </c>
      <c r="I929">
        <v>163497902900</v>
      </c>
      <c r="J929">
        <v>12.3</v>
      </c>
      <c r="K929">
        <v>8</v>
      </c>
    </row>
    <row r="930" spans="1:11" x14ac:dyDescent="0.25">
      <c r="A930" t="s">
        <v>328</v>
      </c>
      <c r="B930" t="s">
        <v>179</v>
      </c>
      <c r="C930" t="s">
        <v>180</v>
      </c>
      <c r="D930" t="s">
        <v>32</v>
      </c>
      <c r="E930" t="s">
        <v>124</v>
      </c>
      <c r="F930">
        <v>0.62762733891442934</v>
      </c>
      <c r="G930">
        <v>0.95525467782885876</v>
      </c>
      <c r="H930">
        <v>0.3</v>
      </c>
      <c r="I930">
        <v>328710911700</v>
      </c>
      <c r="J930">
        <v>30.05</v>
      </c>
      <c r="K930">
        <v>9</v>
      </c>
    </row>
    <row r="931" spans="1:11" x14ac:dyDescent="0.25">
      <c r="A931" t="s">
        <v>328</v>
      </c>
      <c r="B931" t="s">
        <v>171</v>
      </c>
      <c r="C931" t="s">
        <v>172</v>
      </c>
      <c r="D931" t="s">
        <v>32</v>
      </c>
      <c r="E931" t="s">
        <v>33</v>
      </c>
      <c r="F931">
        <v>0.62244959447572312</v>
      </c>
      <c r="G931">
        <v>0.5448991889514464</v>
      </c>
      <c r="H931">
        <v>0.7</v>
      </c>
      <c r="I931">
        <v>12197293880</v>
      </c>
      <c r="J931">
        <v>6.64</v>
      </c>
      <c r="K931">
        <v>10</v>
      </c>
    </row>
    <row r="932" spans="1:11" x14ac:dyDescent="0.25">
      <c r="A932" t="s">
        <v>328</v>
      </c>
      <c r="B932" t="s">
        <v>94</v>
      </c>
      <c r="C932" t="s">
        <v>95</v>
      </c>
      <c r="D932" t="s">
        <v>32</v>
      </c>
      <c r="E932" t="s">
        <v>33</v>
      </c>
      <c r="F932">
        <v>0.62014339541628216</v>
      </c>
      <c r="G932">
        <v>0.74028679083256432</v>
      </c>
      <c r="H932">
        <v>0.5</v>
      </c>
      <c r="I932">
        <v>3873812620</v>
      </c>
      <c r="J932">
        <v>2.15</v>
      </c>
      <c r="K932">
        <v>11</v>
      </c>
    </row>
    <row r="933" spans="1:11" x14ac:dyDescent="0.25">
      <c r="A933" t="s">
        <v>328</v>
      </c>
      <c r="B933" t="s">
        <v>209</v>
      </c>
      <c r="C933" t="s">
        <v>210</v>
      </c>
      <c r="D933" t="s">
        <v>18</v>
      </c>
      <c r="E933" t="s">
        <v>42</v>
      </c>
      <c r="F933">
        <v>0.61639801934721095</v>
      </c>
      <c r="G933">
        <v>0.98279603869442178</v>
      </c>
      <c r="H933">
        <v>0.25</v>
      </c>
      <c r="I933">
        <v>12179482000</v>
      </c>
      <c r="J933">
        <v>8.1</v>
      </c>
      <c r="K933">
        <v>12</v>
      </c>
    </row>
    <row r="934" spans="1:11" x14ac:dyDescent="0.25">
      <c r="A934" t="s">
        <v>328</v>
      </c>
      <c r="B934" t="s">
        <v>263</v>
      </c>
      <c r="C934" t="s">
        <v>264</v>
      </c>
      <c r="D934" t="s">
        <v>32</v>
      </c>
      <c r="E934" t="s">
        <v>259</v>
      </c>
      <c r="F934">
        <v>0.59688515159835376</v>
      </c>
      <c r="G934">
        <v>0.89377030319670758</v>
      </c>
      <c r="H934">
        <v>0.3</v>
      </c>
      <c r="I934">
        <v>85358888400</v>
      </c>
      <c r="J934">
        <v>34.6</v>
      </c>
      <c r="K934">
        <v>13</v>
      </c>
    </row>
    <row r="935" spans="1:11" x14ac:dyDescent="0.25">
      <c r="A935" t="s">
        <v>328</v>
      </c>
      <c r="B935" t="s">
        <v>82</v>
      </c>
      <c r="C935" t="s">
        <v>83</v>
      </c>
      <c r="D935" t="s">
        <v>32</v>
      </c>
      <c r="E935" t="s">
        <v>39</v>
      </c>
      <c r="F935">
        <v>0.59165521913125452</v>
      </c>
      <c r="G935">
        <v>0.83331043826250906</v>
      </c>
      <c r="H935">
        <v>0.35</v>
      </c>
      <c r="I935">
        <v>40219337900</v>
      </c>
      <c r="J935">
        <v>17.3</v>
      </c>
      <c r="K935">
        <v>14</v>
      </c>
    </row>
    <row r="936" spans="1:11" x14ac:dyDescent="0.25">
      <c r="A936" t="s">
        <v>328</v>
      </c>
      <c r="B936" t="s">
        <v>307</v>
      </c>
      <c r="C936" t="s">
        <v>308</v>
      </c>
      <c r="D936" t="s">
        <v>32</v>
      </c>
      <c r="E936" t="s">
        <v>42</v>
      </c>
      <c r="F936">
        <v>0.58658354465321116</v>
      </c>
      <c r="G936">
        <v>0.97316708930642237</v>
      </c>
      <c r="H936">
        <v>0.2</v>
      </c>
      <c r="I936">
        <v>61729878800</v>
      </c>
      <c r="J936">
        <v>22.8</v>
      </c>
      <c r="K936">
        <v>15</v>
      </c>
    </row>
    <row r="937" spans="1:11" x14ac:dyDescent="0.25">
      <c r="A937" t="s">
        <v>328</v>
      </c>
      <c r="B937" t="s">
        <v>287</v>
      </c>
      <c r="C937" t="s">
        <v>288</v>
      </c>
      <c r="D937" t="s">
        <v>14</v>
      </c>
      <c r="E937" t="s">
        <v>59</v>
      </c>
      <c r="F937">
        <v>0.57602226916877375</v>
      </c>
      <c r="G937">
        <v>0.95204453833754743</v>
      </c>
      <c r="H937">
        <v>0.2</v>
      </c>
      <c r="I937">
        <v>46894460400</v>
      </c>
      <c r="J937">
        <v>23</v>
      </c>
      <c r="K937">
        <v>16</v>
      </c>
    </row>
    <row r="938" spans="1:11" x14ac:dyDescent="0.25">
      <c r="A938" t="s">
        <v>328</v>
      </c>
      <c r="B938" t="s">
        <v>152</v>
      </c>
      <c r="C938" t="s">
        <v>153</v>
      </c>
      <c r="D938" t="s">
        <v>32</v>
      </c>
      <c r="E938" t="s">
        <v>74</v>
      </c>
      <c r="F938">
        <v>0.57313290330305178</v>
      </c>
      <c r="G938">
        <v>0.6962658066061036</v>
      </c>
      <c r="H938">
        <v>0.45</v>
      </c>
      <c r="I938">
        <v>582100742800</v>
      </c>
      <c r="J938">
        <v>40</v>
      </c>
      <c r="K938">
        <v>17</v>
      </c>
    </row>
    <row r="939" spans="1:11" x14ac:dyDescent="0.25">
      <c r="A939" t="s">
        <v>328</v>
      </c>
      <c r="B939" t="s">
        <v>204</v>
      </c>
      <c r="C939" t="s">
        <v>205</v>
      </c>
      <c r="D939" t="s">
        <v>18</v>
      </c>
      <c r="E939" t="s">
        <v>29</v>
      </c>
      <c r="F939">
        <v>0.57279235210258839</v>
      </c>
      <c r="G939">
        <v>0.89558470420517688</v>
      </c>
      <c r="H939">
        <v>0.25</v>
      </c>
      <c r="I939">
        <v>3049468200</v>
      </c>
      <c r="J939">
        <v>7.8</v>
      </c>
      <c r="K939">
        <v>18</v>
      </c>
    </row>
    <row r="940" spans="1:11" x14ac:dyDescent="0.25">
      <c r="A940" t="s">
        <v>328</v>
      </c>
      <c r="B940" t="s">
        <v>329</v>
      </c>
      <c r="C940" t="s">
        <v>330</v>
      </c>
      <c r="D940" t="s">
        <v>18</v>
      </c>
      <c r="E940" t="s">
        <v>26</v>
      </c>
      <c r="F940">
        <v>0.56893427877162228</v>
      </c>
      <c r="G940">
        <v>0.4378685575432445</v>
      </c>
      <c r="H940">
        <v>0.7</v>
      </c>
      <c r="I940">
        <v>6864257200</v>
      </c>
      <c r="J940">
        <v>28.5</v>
      </c>
      <c r="K940">
        <v>19</v>
      </c>
    </row>
    <row r="941" spans="1:11" x14ac:dyDescent="0.25">
      <c r="A941" t="s">
        <v>328</v>
      </c>
      <c r="B941" t="s">
        <v>96</v>
      </c>
      <c r="C941" t="s">
        <v>97</v>
      </c>
      <c r="D941" t="s">
        <v>32</v>
      </c>
      <c r="E941" t="s">
        <v>23</v>
      </c>
      <c r="F941">
        <v>0.56695199388388073</v>
      </c>
      <c r="G941">
        <v>0.68390398776776151</v>
      </c>
      <c r="H941">
        <v>0.45</v>
      </c>
      <c r="I941">
        <v>5223684700</v>
      </c>
      <c r="J941">
        <v>5.56</v>
      </c>
      <c r="K941">
        <v>20</v>
      </c>
    </row>
    <row r="942" spans="1:11" x14ac:dyDescent="0.25">
      <c r="A942" t="s">
        <v>331</v>
      </c>
      <c r="B942" t="s">
        <v>188</v>
      </c>
      <c r="C942" t="s">
        <v>189</v>
      </c>
      <c r="D942" t="s">
        <v>32</v>
      </c>
      <c r="E942" t="s">
        <v>29</v>
      </c>
      <c r="F942">
        <v>0.79481925013041943</v>
      </c>
      <c r="G942">
        <v>0.88963850026083879</v>
      </c>
      <c r="H942">
        <v>0.7</v>
      </c>
      <c r="I942">
        <v>5860799200</v>
      </c>
      <c r="J942">
        <v>11.95</v>
      </c>
      <c r="K942">
        <v>1</v>
      </c>
    </row>
    <row r="943" spans="1:11" x14ac:dyDescent="0.25">
      <c r="A943" t="s">
        <v>331</v>
      </c>
      <c r="B943" t="s">
        <v>261</v>
      </c>
      <c r="C943" t="s">
        <v>262</v>
      </c>
      <c r="D943" t="s">
        <v>32</v>
      </c>
      <c r="E943" t="s">
        <v>42</v>
      </c>
      <c r="F943">
        <v>0.78025590600598782</v>
      </c>
      <c r="G943">
        <v>0.96051181201197566</v>
      </c>
      <c r="H943">
        <v>0.6</v>
      </c>
      <c r="I943">
        <v>119710736200</v>
      </c>
      <c r="J943">
        <v>68.2</v>
      </c>
      <c r="K943">
        <v>2</v>
      </c>
    </row>
    <row r="944" spans="1:11" x14ac:dyDescent="0.25">
      <c r="A944" t="s">
        <v>331</v>
      </c>
      <c r="B944" t="s">
        <v>88</v>
      </c>
      <c r="C944" t="s">
        <v>89</v>
      </c>
      <c r="D944" t="s">
        <v>32</v>
      </c>
      <c r="E944" t="s">
        <v>33</v>
      </c>
      <c r="F944">
        <v>0.76466051691044634</v>
      </c>
      <c r="G944">
        <v>0.97932103382089253</v>
      </c>
      <c r="H944">
        <v>0.55000000000000004</v>
      </c>
      <c r="I944">
        <v>57750308440</v>
      </c>
      <c r="J944">
        <v>13.05</v>
      </c>
      <c r="K944">
        <v>3</v>
      </c>
    </row>
    <row r="945" spans="1:11" x14ac:dyDescent="0.25">
      <c r="A945" t="s">
        <v>331</v>
      </c>
      <c r="B945" t="s">
        <v>229</v>
      </c>
      <c r="C945" t="s">
        <v>230</v>
      </c>
      <c r="D945" t="s">
        <v>18</v>
      </c>
      <c r="E945" t="s">
        <v>29</v>
      </c>
      <c r="F945">
        <v>0.72291684567944769</v>
      </c>
      <c r="G945">
        <v>0.94583369135889539</v>
      </c>
      <c r="H945">
        <v>0.5</v>
      </c>
      <c r="I945">
        <v>23698293800</v>
      </c>
      <c r="J945">
        <v>22</v>
      </c>
      <c r="K945">
        <v>4</v>
      </c>
    </row>
    <row r="946" spans="1:11" x14ac:dyDescent="0.25">
      <c r="A946" t="s">
        <v>331</v>
      </c>
      <c r="B946" t="s">
        <v>193</v>
      </c>
      <c r="C946" t="s">
        <v>194</v>
      </c>
      <c r="D946" t="s">
        <v>32</v>
      </c>
      <c r="E946" t="s">
        <v>33</v>
      </c>
      <c r="F946">
        <v>0.6812262105349387</v>
      </c>
      <c r="G946">
        <v>0.7124524210698775</v>
      </c>
      <c r="H946">
        <v>0.65</v>
      </c>
      <c r="I946">
        <v>17330305760</v>
      </c>
      <c r="J946">
        <v>3.3</v>
      </c>
      <c r="K946">
        <v>5</v>
      </c>
    </row>
    <row r="947" spans="1:11" x14ac:dyDescent="0.25">
      <c r="A947" t="s">
        <v>331</v>
      </c>
      <c r="B947" t="s">
        <v>179</v>
      </c>
      <c r="C947" t="s">
        <v>180</v>
      </c>
      <c r="D947" t="s">
        <v>32</v>
      </c>
      <c r="E947" t="s">
        <v>124</v>
      </c>
      <c r="F947">
        <v>0.62247177487985694</v>
      </c>
      <c r="G947">
        <v>0.94494354975971384</v>
      </c>
      <c r="H947">
        <v>0.3</v>
      </c>
      <c r="I947">
        <v>333939753500</v>
      </c>
      <c r="J947">
        <v>29.5</v>
      </c>
      <c r="K947">
        <v>6</v>
      </c>
    </row>
    <row r="948" spans="1:11" x14ac:dyDescent="0.25">
      <c r="A948" t="s">
        <v>331</v>
      </c>
      <c r="B948" t="s">
        <v>171</v>
      </c>
      <c r="C948" t="s">
        <v>172</v>
      </c>
      <c r="D948" t="s">
        <v>32</v>
      </c>
      <c r="E948" t="s">
        <v>33</v>
      </c>
      <c r="F948">
        <v>0.62125953717764681</v>
      </c>
      <c r="G948">
        <v>0.44251907435529347</v>
      </c>
      <c r="H948">
        <v>0.8</v>
      </c>
      <c r="I948">
        <v>12172871480</v>
      </c>
      <c r="J948">
        <v>6.56</v>
      </c>
      <c r="K948">
        <v>7</v>
      </c>
    </row>
    <row r="949" spans="1:11" x14ac:dyDescent="0.25">
      <c r="A949" t="s">
        <v>331</v>
      </c>
      <c r="B949" t="s">
        <v>287</v>
      </c>
      <c r="C949" t="s">
        <v>288</v>
      </c>
      <c r="D949" t="s">
        <v>14</v>
      </c>
      <c r="E949" t="s">
        <v>59</v>
      </c>
      <c r="F949">
        <v>0.61768868889037687</v>
      </c>
      <c r="G949">
        <v>0.93537737778075369</v>
      </c>
      <c r="H949">
        <v>0.3</v>
      </c>
      <c r="I949">
        <v>46208982000</v>
      </c>
      <c r="J949">
        <v>22.9</v>
      </c>
      <c r="K949">
        <v>8</v>
      </c>
    </row>
    <row r="950" spans="1:11" x14ac:dyDescent="0.25">
      <c r="A950" t="s">
        <v>331</v>
      </c>
      <c r="B950" t="s">
        <v>82</v>
      </c>
      <c r="C950" t="s">
        <v>83</v>
      </c>
      <c r="D950" t="s">
        <v>32</v>
      </c>
      <c r="E950" t="s">
        <v>39</v>
      </c>
      <c r="F950">
        <v>0.61154408796345727</v>
      </c>
      <c r="G950">
        <v>0.82308817592691441</v>
      </c>
      <c r="H950">
        <v>0.4</v>
      </c>
      <c r="I950">
        <v>40148655200</v>
      </c>
      <c r="J950">
        <v>17.350000000000001</v>
      </c>
      <c r="K950">
        <v>9</v>
      </c>
    </row>
    <row r="951" spans="1:11" x14ac:dyDescent="0.25">
      <c r="A951" t="s">
        <v>331</v>
      </c>
      <c r="B951" t="s">
        <v>283</v>
      </c>
      <c r="C951" t="s">
        <v>284</v>
      </c>
      <c r="D951" t="s">
        <v>18</v>
      </c>
      <c r="E951" t="s">
        <v>33</v>
      </c>
      <c r="F951">
        <v>0.60510135642758467</v>
      </c>
      <c r="G951">
        <v>0.96020271285516945</v>
      </c>
      <c r="H951">
        <v>0.25</v>
      </c>
      <c r="I951">
        <v>6656260800</v>
      </c>
      <c r="J951">
        <v>8.5</v>
      </c>
      <c r="K951">
        <v>10</v>
      </c>
    </row>
    <row r="952" spans="1:11" x14ac:dyDescent="0.25">
      <c r="A952" t="s">
        <v>331</v>
      </c>
      <c r="B952" t="s">
        <v>206</v>
      </c>
      <c r="C952" t="s">
        <v>207</v>
      </c>
      <c r="D952" t="s">
        <v>32</v>
      </c>
      <c r="E952" t="s">
        <v>33</v>
      </c>
      <c r="F952">
        <v>0.60046091984756811</v>
      </c>
      <c r="G952">
        <v>0.90092183969513628</v>
      </c>
      <c r="H952">
        <v>0.3</v>
      </c>
      <c r="I952">
        <v>5888330100</v>
      </c>
      <c r="J952">
        <v>44.95</v>
      </c>
      <c r="K952">
        <v>11</v>
      </c>
    </row>
    <row r="953" spans="1:11" x14ac:dyDescent="0.25">
      <c r="A953" t="s">
        <v>331</v>
      </c>
      <c r="B953" t="s">
        <v>266</v>
      </c>
      <c r="C953" t="s">
        <v>267</v>
      </c>
      <c r="D953" t="s">
        <v>32</v>
      </c>
      <c r="E953" t="s">
        <v>59</v>
      </c>
      <c r="F953">
        <v>0.59909208305250816</v>
      </c>
      <c r="G953">
        <v>0.89818416610501639</v>
      </c>
      <c r="H953">
        <v>0.3</v>
      </c>
      <c r="I953">
        <v>23434236100</v>
      </c>
      <c r="J953">
        <v>45.5</v>
      </c>
      <c r="K953">
        <v>12</v>
      </c>
    </row>
    <row r="954" spans="1:11" x14ac:dyDescent="0.25">
      <c r="A954" t="s">
        <v>331</v>
      </c>
      <c r="B954" t="s">
        <v>332</v>
      </c>
      <c r="C954" t="s">
        <v>333</v>
      </c>
      <c r="D954" t="s">
        <v>32</v>
      </c>
      <c r="E954" t="s">
        <v>317</v>
      </c>
      <c r="F954">
        <v>0.59698240171196237</v>
      </c>
      <c r="G954">
        <v>0.89396480342392481</v>
      </c>
      <c r="H954">
        <v>0.3</v>
      </c>
      <c r="I954">
        <v>478884343500</v>
      </c>
      <c r="J954">
        <v>63.5</v>
      </c>
      <c r="K954">
        <v>13</v>
      </c>
    </row>
    <row r="955" spans="1:11" x14ac:dyDescent="0.25">
      <c r="A955" t="s">
        <v>331</v>
      </c>
      <c r="B955" t="s">
        <v>263</v>
      </c>
      <c r="C955" t="s">
        <v>264</v>
      </c>
      <c r="D955" t="s">
        <v>32</v>
      </c>
      <c r="E955" t="s">
        <v>259</v>
      </c>
      <c r="F955">
        <v>0.57450665409046842</v>
      </c>
      <c r="G955">
        <v>0.89901330818093694</v>
      </c>
      <c r="H955">
        <v>0.25</v>
      </c>
      <c r="I955">
        <v>86311699900</v>
      </c>
      <c r="J955">
        <v>34.85</v>
      </c>
      <c r="K955">
        <v>14</v>
      </c>
    </row>
    <row r="956" spans="1:11" x14ac:dyDescent="0.25">
      <c r="A956" t="s">
        <v>331</v>
      </c>
      <c r="B956" t="s">
        <v>309</v>
      </c>
      <c r="C956" t="s">
        <v>310</v>
      </c>
      <c r="D956" t="s">
        <v>32</v>
      </c>
      <c r="E956" t="s">
        <v>33</v>
      </c>
      <c r="F956">
        <v>0.5738153695665249</v>
      </c>
      <c r="G956">
        <v>0.94763073913304985</v>
      </c>
      <c r="H956">
        <v>0.2</v>
      </c>
      <c r="I956">
        <v>169076112300</v>
      </c>
      <c r="J956">
        <v>12.05</v>
      </c>
      <c r="K956">
        <v>15</v>
      </c>
    </row>
    <row r="957" spans="1:11" x14ac:dyDescent="0.25">
      <c r="A957" t="s">
        <v>331</v>
      </c>
      <c r="B957" t="s">
        <v>307</v>
      </c>
      <c r="C957" t="s">
        <v>308</v>
      </c>
      <c r="D957" t="s">
        <v>32</v>
      </c>
      <c r="E957" t="s">
        <v>42</v>
      </c>
      <c r="F957">
        <v>0.56692892004911222</v>
      </c>
      <c r="G957">
        <v>0.98385784009822441</v>
      </c>
      <c r="H957">
        <v>0.15</v>
      </c>
      <c r="I957">
        <v>63291444700</v>
      </c>
      <c r="J957">
        <v>23.65</v>
      </c>
      <c r="K957">
        <v>16</v>
      </c>
    </row>
    <row r="958" spans="1:11" x14ac:dyDescent="0.25">
      <c r="A958" t="s">
        <v>331</v>
      </c>
      <c r="B958" t="s">
        <v>84</v>
      </c>
      <c r="C958" t="s">
        <v>85</v>
      </c>
      <c r="D958" t="s">
        <v>14</v>
      </c>
      <c r="E958" t="s">
        <v>42</v>
      </c>
      <c r="F958">
        <v>0.5610046415806984</v>
      </c>
      <c r="G958">
        <v>0.8720092831613967</v>
      </c>
      <c r="H958">
        <v>0.25</v>
      </c>
      <c r="I958">
        <v>6677143400</v>
      </c>
      <c r="J958">
        <v>145</v>
      </c>
      <c r="K958">
        <v>17</v>
      </c>
    </row>
    <row r="959" spans="1:11" x14ac:dyDescent="0.25">
      <c r="A959" t="s">
        <v>331</v>
      </c>
      <c r="B959" t="s">
        <v>181</v>
      </c>
      <c r="C959" t="s">
        <v>182</v>
      </c>
      <c r="D959" t="s">
        <v>32</v>
      </c>
      <c r="E959" t="s">
        <v>26</v>
      </c>
      <c r="F959">
        <v>0.55120490312983483</v>
      </c>
      <c r="G959">
        <v>0.75240980625966969</v>
      </c>
      <c r="H959">
        <v>0.35</v>
      </c>
      <c r="I959">
        <v>10810607000</v>
      </c>
      <c r="J959">
        <v>13.35</v>
      </c>
      <c r="K959">
        <v>18</v>
      </c>
    </row>
    <row r="960" spans="1:11" x14ac:dyDescent="0.25">
      <c r="A960" t="s">
        <v>331</v>
      </c>
      <c r="B960" t="s">
        <v>199</v>
      </c>
      <c r="C960" t="s">
        <v>200</v>
      </c>
      <c r="D960" t="s">
        <v>32</v>
      </c>
      <c r="E960" t="s">
        <v>26</v>
      </c>
      <c r="F960">
        <v>0.5510999661799415</v>
      </c>
      <c r="G960">
        <v>0.80219993235988296</v>
      </c>
      <c r="H960">
        <v>0.3</v>
      </c>
      <c r="I960">
        <v>5359658040</v>
      </c>
      <c r="J960">
        <v>13.95</v>
      </c>
      <c r="K960">
        <v>19</v>
      </c>
    </row>
    <row r="961" spans="1:11" x14ac:dyDescent="0.25">
      <c r="A961" t="s">
        <v>331</v>
      </c>
      <c r="B961" t="s">
        <v>152</v>
      </c>
      <c r="C961" t="s">
        <v>153</v>
      </c>
      <c r="D961" t="s">
        <v>32</v>
      </c>
      <c r="E961" t="s">
        <v>74</v>
      </c>
      <c r="F961">
        <v>0.55108857339392248</v>
      </c>
      <c r="G961">
        <v>0.652177146787845</v>
      </c>
      <c r="H961">
        <v>0.45</v>
      </c>
      <c r="I961">
        <v>581149794700</v>
      </c>
      <c r="J961">
        <v>40.1</v>
      </c>
      <c r="K961">
        <v>20</v>
      </c>
    </row>
    <row r="962" spans="1:11" x14ac:dyDescent="0.25">
      <c r="A962" t="s">
        <v>334</v>
      </c>
      <c r="B962" t="s">
        <v>188</v>
      </c>
      <c r="C962" t="s">
        <v>189</v>
      </c>
      <c r="D962" t="s">
        <v>32</v>
      </c>
      <c r="E962" t="s">
        <v>29</v>
      </c>
      <c r="F962">
        <v>0.77644700959034529</v>
      </c>
      <c r="G962">
        <v>0.85289401918069074</v>
      </c>
      <c r="H962">
        <v>0.7</v>
      </c>
      <c r="I962">
        <v>5879956020</v>
      </c>
      <c r="J962">
        <v>11.95</v>
      </c>
      <c r="K962">
        <v>1</v>
      </c>
    </row>
    <row r="963" spans="1:11" x14ac:dyDescent="0.25">
      <c r="A963" t="s">
        <v>334</v>
      </c>
      <c r="B963" t="s">
        <v>229</v>
      </c>
      <c r="C963" t="s">
        <v>230</v>
      </c>
      <c r="D963" t="s">
        <v>18</v>
      </c>
      <c r="E963" t="s">
        <v>29</v>
      </c>
      <c r="F963">
        <v>0.72710544889001427</v>
      </c>
      <c r="G963">
        <v>0.95421089778002854</v>
      </c>
      <c r="H963">
        <v>0.5</v>
      </c>
      <c r="I963">
        <v>24005538600</v>
      </c>
      <c r="J963">
        <v>22.3</v>
      </c>
      <c r="K963">
        <v>2</v>
      </c>
    </row>
    <row r="964" spans="1:11" x14ac:dyDescent="0.25">
      <c r="A964" t="s">
        <v>334</v>
      </c>
      <c r="B964" t="s">
        <v>287</v>
      </c>
      <c r="C964" t="s">
        <v>288</v>
      </c>
      <c r="D964" t="s">
        <v>14</v>
      </c>
      <c r="E964" t="s">
        <v>59</v>
      </c>
      <c r="F964">
        <v>0.72499154418259726</v>
      </c>
      <c r="G964">
        <v>0.89998308836519447</v>
      </c>
      <c r="H964">
        <v>0.55000000000000004</v>
      </c>
      <c r="I964">
        <v>46733694000</v>
      </c>
      <c r="J964">
        <v>22.6</v>
      </c>
      <c r="K964">
        <v>3</v>
      </c>
    </row>
    <row r="965" spans="1:11" x14ac:dyDescent="0.25">
      <c r="A965" t="s">
        <v>334</v>
      </c>
      <c r="B965" t="s">
        <v>179</v>
      </c>
      <c r="C965" t="s">
        <v>180</v>
      </c>
      <c r="D965" t="s">
        <v>32</v>
      </c>
      <c r="E965" t="s">
        <v>124</v>
      </c>
      <c r="F965">
        <v>0.71997847980103935</v>
      </c>
      <c r="G965">
        <v>0.88995695960207877</v>
      </c>
      <c r="H965">
        <v>0.55000000000000004</v>
      </c>
      <c r="I965">
        <v>331904119800</v>
      </c>
      <c r="J965">
        <v>29</v>
      </c>
      <c r="K965">
        <v>4</v>
      </c>
    </row>
    <row r="966" spans="1:11" x14ac:dyDescent="0.25">
      <c r="A966" t="s">
        <v>334</v>
      </c>
      <c r="B966" t="s">
        <v>261</v>
      </c>
      <c r="C966" t="s">
        <v>262</v>
      </c>
      <c r="D966" t="s">
        <v>32</v>
      </c>
      <c r="E966" t="s">
        <v>42</v>
      </c>
      <c r="F966">
        <v>0.68827595839200995</v>
      </c>
      <c r="G966">
        <v>0.92655191678401982</v>
      </c>
      <c r="H966">
        <v>0.45</v>
      </c>
      <c r="I966">
        <v>120263431000</v>
      </c>
      <c r="J966">
        <v>66.599999999999994</v>
      </c>
      <c r="K966">
        <v>5</v>
      </c>
    </row>
    <row r="967" spans="1:11" x14ac:dyDescent="0.25">
      <c r="A967" t="s">
        <v>334</v>
      </c>
      <c r="B967" t="s">
        <v>283</v>
      </c>
      <c r="C967" t="s">
        <v>284</v>
      </c>
      <c r="D967" t="s">
        <v>18</v>
      </c>
      <c r="E967" t="s">
        <v>33</v>
      </c>
      <c r="F967">
        <v>0.66049315553712651</v>
      </c>
      <c r="G967">
        <v>0.97098631107425315</v>
      </c>
      <c r="H967">
        <v>0.35</v>
      </c>
      <c r="I967">
        <v>6934719400</v>
      </c>
      <c r="J967">
        <v>8.6999999999999993</v>
      </c>
      <c r="K967">
        <v>6</v>
      </c>
    </row>
    <row r="968" spans="1:11" x14ac:dyDescent="0.25">
      <c r="A968" t="s">
        <v>334</v>
      </c>
      <c r="B968" t="s">
        <v>88</v>
      </c>
      <c r="C968" t="s">
        <v>89</v>
      </c>
      <c r="D968" t="s">
        <v>32</v>
      </c>
      <c r="E968" t="s">
        <v>33</v>
      </c>
      <c r="F968">
        <v>0.6594438200087045</v>
      </c>
      <c r="G968">
        <v>0.96888764001740901</v>
      </c>
      <c r="H968">
        <v>0.35</v>
      </c>
      <c r="I968">
        <v>58841845660</v>
      </c>
      <c r="J968">
        <v>13.25</v>
      </c>
      <c r="K968">
        <v>7</v>
      </c>
    </row>
    <row r="969" spans="1:11" x14ac:dyDescent="0.25">
      <c r="A969" t="s">
        <v>334</v>
      </c>
      <c r="B969" t="s">
        <v>335</v>
      </c>
      <c r="C969" t="s">
        <v>336</v>
      </c>
      <c r="D969" t="s">
        <v>18</v>
      </c>
      <c r="E969" t="s">
        <v>33</v>
      </c>
      <c r="F969">
        <v>0.65240728396134939</v>
      </c>
      <c r="G969">
        <v>0.85481456792269872</v>
      </c>
      <c r="H969">
        <v>0.45</v>
      </c>
      <c r="I969">
        <v>2732804200</v>
      </c>
      <c r="J969">
        <v>7.2</v>
      </c>
      <c r="K969">
        <v>8</v>
      </c>
    </row>
    <row r="970" spans="1:11" x14ac:dyDescent="0.25">
      <c r="A970" t="s">
        <v>334</v>
      </c>
      <c r="B970" t="s">
        <v>176</v>
      </c>
      <c r="C970" t="s">
        <v>177</v>
      </c>
      <c r="D970" t="s">
        <v>32</v>
      </c>
      <c r="E970" t="s">
        <v>33</v>
      </c>
      <c r="F970">
        <v>0.63081828762041503</v>
      </c>
      <c r="G970">
        <v>0.96163657524083002</v>
      </c>
      <c r="H970">
        <v>0.3</v>
      </c>
      <c r="I970">
        <v>3687485620</v>
      </c>
      <c r="J970">
        <v>9.5399999999999991</v>
      </c>
      <c r="K970">
        <v>9</v>
      </c>
    </row>
    <row r="971" spans="1:11" x14ac:dyDescent="0.25">
      <c r="A971" t="s">
        <v>334</v>
      </c>
      <c r="B971" t="s">
        <v>24</v>
      </c>
      <c r="C971" t="s">
        <v>25</v>
      </c>
      <c r="D971" t="s">
        <v>18</v>
      </c>
      <c r="E971" t="s">
        <v>26</v>
      </c>
      <c r="F971">
        <v>0.6185896859405432</v>
      </c>
      <c r="G971">
        <v>0.93717937188108635</v>
      </c>
      <c r="H971">
        <v>0.3</v>
      </c>
      <c r="I971">
        <v>10349963600</v>
      </c>
      <c r="J971">
        <v>15.6</v>
      </c>
      <c r="K971">
        <v>10</v>
      </c>
    </row>
    <row r="972" spans="1:11" x14ac:dyDescent="0.25">
      <c r="A972" t="s">
        <v>334</v>
      </c>
      <c r="B972" t="s">
        <v>307</v>
      </c>
      <c r="C972" t="s">
        <v>308</v>
      </c>
      <c r="D972" t="s">
        <v>32</v>
      </c>
      <c r="E972" t="s">
        <v>42</v>
      </c>
      <c r="F972">
        <v>0.60563888952113065</v>
      </c>
      <c r="G972">
        <v>0.96127777904226119</v>
      </c>
      <c r="H972">
        <v>0.25</v>
      </c>
      <c r="I972">
        <v>66572700400</v>
      </c>
      <c r="J972">
        <v>22</v>
      </c>
      <c r="K972">
        <v>11</v>
      </c>
    </row>
    <row r="973" spans="1:11" x14ac:dyDescent="0.25">
      <c r="A973" t="s">
        <v>334</v>
      </c>
      <c r="B973" t="s">
        <v>47</v>
      </c>
      <c r="C973" t="s">
        <v>48</v>
      </c>
      <c r="D973" t="s">
        <v>14</v>
      </c>
      <c r="E973" t="s">
        <v>29</v>
      </c>
      <c r="F973">
        <v>0.60258002115835341</v>
      </c>
      <c r="G973">
        <v>0.60516004231670695</v>
      </c>
      <c r="H973">
        <v>0.6</v>
      </c>
      <c r="I973">
        <v>4650887400</v>
      </c>
      <c r="J973">
        <v>8</v>
      </c>
      <c r="K973">
        <v>12</v>
      </c>
    </row>
    <row r="974" spans="1:11" x14ac:dyDescent="0.25">
      <c r="A974" t="s">
        <v>334</v>
      </c>
      <c r="B974" t="s">
        <v>92</v>
      </c>
      <c r="C974" t="s">
        <v>93</v>
      </c>
      <c r="D974" t="s">
        <v>14</v>
      </c>
      <c r="E974" t="s">
        <v>59</v>
      </c>
      <c r="F974">
        <v>0.58678477632900727</v>
      </c>
      <c r="G974">
        <v>0.37356955265801439</v>
      </c>
      <c r="H974">
        <v>0.8</v>
      </c>
      <c r="I974">
        <v>19929368600</v>
      </c>
      <c r="J974">
        <v>12</v>
      </c>
      <c r="K974">
        <v>13</v>
      </c>
    </row>
    <row r="975" spans="1:11" x14ac:dyDescent="0.25">
      <c r="A975" t="s">
        <v>334</v>
      </c>
      <c r="B975" t="s">
        <v>82</v>
      </c>
      <c r="C975" t="s">
        <v>83</v>
      </c>
      <c r="D975" t="s">
        <v>32</v>
      </c>
      <c r="E975" t="s">
        <v>39</v>
      </c>
      <c r="F975">
        <v>0.57625880238383975</v>
      </c>
      <c r="G975">
        <v>0.85251760476767946</v>
      </c>
      <c r="H975">
        <v>0.3</v>
      </c>
      <c r="I975">
        <v>40220865800</v>
      </c>
      <c r="J975">
        <v>17.399999999999999</v>
      </c>
      <c r="K975">
        <v>14</v>
      </c>
    </row>
    <row r="976" spans="1:11" x14ac:dyDescent="0.25">
      <c r="A976" t="s">
        <v>334</v>
      </c>
      <c r="B976" t="s">
        <v>96</v>
      </c>
      <c r="C976" t="s">
        <v>97</v>
      </c>
      <c r="D976" t="s">
        <v>32</v>
      </c>
      <c r="E976" t="s">
        <v>23</v>
      </c>
      <c r="F976">
        <v>0.57165667185420121</v>
      </c>
      <c r="G976">
        <v>0.69331334370840236</v>
      </c>
      <c r="H976">
        <v>0.45</v>
      </c>
      <c r="I976">
        <v>4700552380</v>
      </c>
      <c r="J976">
        <v>5.59</v>
      </c>
      <c r="K976">
        <v>15</v>
      </c>
    </row>
    <row r="977" spans="1:11" x14ac:dyDescent="0.25">
      <c r="A977" t="s">
        <v>334</v>
      </c>
      <c r="B977" t="s">
        <v>195</v>
      </c>
      <c r="C977" t="s">
        <v>196</v>
      </c>
      <c r="D977" t="s">
        <v>32</v>
      </c>
      <c r="E977" t="s">
        <v>197</v>
      </c>
      <c r="F977">
        <v>0.57120745009699347</v>
      </c>
      <c r="G977">
        <v>0.74241490019398704</v>
      </c>
      <c r="H977">
        <v>0.4</v>
      </c>
      <c r="I977">
        <v>9325072100</v>
      </c>
      <c r="J977">
        <v>21.8</v>
      </c>
      <c r="K977">
        <v>16</v>
      </c>
    </row>
    <row r="978" spans="1:11" x14ac:dyDescent="0.25">
      <c r="A978" t="s">
        <v>334</v>
      </c>
      <c r="B978" t="s">
        <v>171</v>
      </c>
      <c r="C978" t="s">
        <v>172</v>
      </c>
      <c r="D978" t="s">
        <v>32</v>
      </c>
      <c r="E978" t="s">
        <v>33</v>
      </c>
      <c r="F978">
        <v>0.5680787472817177</v>
      </c>
      <c r="G978">
        <v>0.48615749456343532</v>
      </c>
      <c r="H978">
        <v>0.65</v>
      </c>
      <c r="I978">
        <v>12034766600</v>
      </c>
      <c r="J978">
        <v>6.62</v>
      </c>
      <c r="K978">
        <v>17</v>
      </c>
    </row>
    <row r="979" spans="1:11" x14ac:dyDescent="0.25">
      <c r="A979" t="s">
        <v>334</v>
      </c>
      <c r="B979" t="s">
        <v>309</v>
      </c>
      <c r="C979" t="s">
        <v>310</v>
      </c>
      <c r="D979" t="s">
        <v>32</v>
      </c>
      <c r="E979" t="s">
        <v>33</v>
      </c>
      <c r="F979">
        <v>0.56506568297903315</v>
      </c>
      <c r="G979">
        <v>0.93013136595806623</v>
      </c>
      <c r="H979">
        <v>0.2</v>
      </c>
      <c r="I979">
        <v>170484522900</v>
      </c>
      <c r="J979">
        <v>12.25</v>
      </c>
      <c r="K979">
        <v>18</v>
      </c>
    </row>
    <row r="980" spans="1:11" x14ac:dyDescent="0.25">
      <c r="A980" t="s">
        <v>334</v>
      </c>
      <c r="B980" t="s">
        <v>84</v>
      </c>
      <c r="C980" t="s">
        <v>85</v>
      </c>
      <c r="D980" t="s">
        <v>14</v>
      </c>
      <c r="E980" t="s">
        <v>42</v>
      </c>
      <c r="F980">
        <v>0.54289097192518976</v>
      </c>
      <c r="G980">
        <v>0.78578194385037947</v>
      </c>
      <c r="H980">
        <v>0.3</v>
      </c>
      <c r="I980">
        <v>6855611600</v>
      </c>
      <c r="J980">
        <v>142.9</v>
      </c>
      <c r="K980">
        <v>19</v>
      </c>
    </row>
    <row r="981" spans="1:11" x14ac:dyDescent="0.25">
      <c r="A981" t="s">
        <v>334</v>
      </c>
      <c r="B981" t="s">
        <v>337</v>
      </c>
      <c r="C981" t="s">
        <v>338</v>
      </c>
      <c r="D981" t="s">
        <v>18</v>
      </c>
      <c r="E981" t="s">
        <v>33</v>
      </c>
      <c r="F981">
        <v>0.54165192540667928</v>
      </c>
      <c r="G981">
        <v>0.78330385081335863</v>
      </c>
      <c r="H981">
        <v>0.3</v>
      </c>
      <c r="I981">
        <v>3720725600</v>
      </c>
      <c r="J981">
        <v>5.2</v>
      </c>
      <c r="K981">
        <v>20</v>
      </c>
    </row>
    <row r="982" spans="1:11" x14ac:dyDescent="0.25">
      <c r="A982" t="s">
        <v>339</v>
      </c>
      <c r="B982" t="s">
        <v>283</v>
      </c>
      <c r="C982" t="s">
        <v>284</v>
      </c>
      <c r="D982" t="s">
        <v>18</v>
      </c>
      <c r="E982" t="s">
        <v>33</v>
      </c>
      <c r="F982">
        <v>0.81886157642418622</v>
      </c>
      <c r="G982">
        <v>0.98772315284837231</v>
      </c>
      <c r="H982">
        <v>0.65</v>
      </c>
      <c r="I982">
        <v>7537107800</v>
      </c>
      <c r="J982">
        <v>9.1999999999999993</v>
      </c>
      <c r="K982">
        <v>1</v>
      </c>
    </row>
    <row r="983" spans="1:11" x14ac:dyDescent="0.25">
      <c r="A983" t="s">
        <v>339</v>
      </c>
      <c r="B983" t="s">
        <v>188</v>
      </c>
      <c r="C983" t="s">
        <v>189</v>
      </c>
      <c r="D983" t="s">
        <v>32</v>
      </c>
      <c r="E983" t="s">
        <v>29</v>
      </c>
      <c r="F983">
        <v>0.79324091979365607</v>
      </c>
      <c r="G983">
        <v>0.83648183958731215</v>
      </c>
      <c r="H983">
        <v>0.75</v>
      </c>
      <c r="I983">
        <v>5880123620</v>
      </c>
      <c r="J983">
        <v>11.95</v>
      </c>
      <c r="K983">
        <v>2</v>
      </c>
    </row>
    <row r="984" spans="1:11" x14ac:dyDescent="0.25">
      <c r="A984" t="s">
        <v>339</v>
      </c>
      <c r="B984" t="s">
        <v>229</v>
      </c>
      <c r="C984" t="s">
        <v>230</v>
      </c>
      <c r="D984" t="s">
        <v>18</v>
      </c>
      <c r="E984" t="s">
        <v>29</v>
      </c>
      <c r="F984">
        <v>0.72173854672627658</v>
      </c>
      <c r="G984">
        <v>0.94347709345255315</v>
      </c>
      <c r="H984">
        <v>0.5</v>
      </c>
      <c r="I984">
        <v>24568444600</v>
      </c>
      <c r="J984">
        <v>21.9</v>
      </c>
      <c r="K984">
        <v>3</v>
      </c>
    </row>
    <row r="985" spans="1:11" x14ac:dyDescent="0.25">
      <c r="A985" t="s">
        <v>339</v>
      </c>
      <c r="B985" t="s">
        <v>88</v>
      </c>
      <c r="C985" t="s">
        <v>89</v>
      </c>
      <c r="D985" t="s">
        <v>32</v>
      </c>
      <c r="E985" t="s">
        <v>33</v>
      </c>
      <c r="F985">
        <v>0.7095248928205321</v>
      </c>
      <c r="G985">
        <v>0.96904978564106414</v>
      </c>
      <c r="H985">
        <v>0.45</v>
      </c>
      <c r="I985">
        <v>61449086620</v>
      </c>
      <c r="J985">
        <v>13.2</v>
      </c>
      <c r="K985">
        <v>4</v>
      </c>
    </row>
    <row r="986" spans="1:11" x14ac:dyDescent="0.25">
      <c r="A986" t="s">
        <v>339</v>
      </c>
      <c r="B986" t="s">
        <v>335</v>
      </c>
      <c r="C986" t="s">
        <v>336</v>
      </c>
      <c r="D986" t="s">
        <v>18</v>
      </c>
      <c r="E986" t="s">
        <v>33</v>
      </c>
      <c r="F986">
        <v>0.70036871481709762</v>
      </c>
      <c r="G986">
        <v>0.95073742963419527</v>
      </c>
      <c r="H986">
        <v>0.45</v>
      </c>
      <c r="I986">
        <v>2942295800</v>
      </c>
      <c r="J986">
        <v>7.9</v>
      </c>
      <c r="K986">
        <v>5</v>
      </c>
    </row>
    <row r="987" spans="1:11" x14ac:dyDescent="0.25">
      <c r="A987" t="s">
        <v>339</v>
      </c>
      <c r="B987" t="s">
        <v>84</v>
      </c>
      <c r="C987" t="s">
        <v>85</v>
      </c>
      <c r="D987" t="s">
        <v>14</v>
      </c>
      <c r="E987" t="s">
        <v>42</v>
      </c>
      <c r="F987">
        <v>0.68251649371727829</v>
      </c>
      <c r="G987">
        <v>0.66503298743455652</v>
      </c>
      <c r="H987">
        <v>0.7</v>
      </c>
      <c r="I987">
        <v>6836903800</v>
      </c>
      <c r="J987">
        <v>142.4</v>
      </c>
      <c r="K987">
        <v>6</v>
      </c>
    </row>
    <row r="988" spans="1:11" x14ac:dyDescent="0.25">
      <c r="A988" t="s">
        <v>339</v>
      </c>
      <c r="B988" t="s">
        <v>340</v>
      </c>
      <c r="C988" t="s">
        <v>341</v>
      </c>
      <c r="D988" t="s">
        <v>14</v>
      </c>
      <c r="E988" t="s">
        <v>74</v>
      </c>
      <c r="F988">
        <v>0.66422018963644347</v>
      </c>
      <c r="G988">
        <v>0.97844037927288696</v>
      </c>
      <c r="H988">
        <v>0.35</v>
      </c>
      <c r="I988">
        <v>2039204600</v>
      </c>
      <c r="J988">
        <v>36.9</v>
      </c>
      <c r="K988">
        <v>7</v>
      </c>
    </row>
    <row r="989" spans="1:11" x14ac:dyDescent="0.25">
      <c r="A989" t="s">
        <v>339</v>
      </c>
      <c r="B989" t="s">
        <v>290</v>
      </c>
      <c r="C989" t="s">
        <v>291</v>
      </c>
      <c r="D989" t="s">
        <v>14</v>
      </c>
      <c r="E989" t="s">
        <v>292</v>
      </c>
      <c r="F989">
        <v>0.64741295649221065</v>
      </c>
      <c r="G989">
        <v>0.94482591298442142</v>
      </c>
      <c r="H989">
        <v>0.35</v>
      </c>
      <c r="I989">
        <v>4659630600</v>
      </c>
      <c r="J989">
        <v>229</v>
      </c>
      <c r="K989">
        <v>8</v>
      </c>
    </row>
    <row r="990" spans="1:11" x14ac:dyDescent="0.25">
      <c r="A990" t="s">
        <v>339</v>
      </c>
      <c r="B990" t="s">
        <v>287</v>
      </c>
      <c r="C990" t="s">
        <v>288</v>
      </c>
      <c r="D990" t="s">
        <v>14</v>
      </c>
      <c r="E990" t="s">
        <v>59</v>
      </c>
      <c r="F990">
        <v>0.62949066912940976</v>
      </c>
      <c r="G990">
        <v>0.95898133825881948</v>
      </c>
      <c r="H990">
        <v>0.3</v>
      </c>
      <c r="I990">
        <v>47969109600</v>
      </c>
      <c r="J990">
        <v>23.6</v>
      </c>
      <c r="K990">
        <v>9</v>
      </c>
    </row>
    <row r="991" spans="1:11" x14ac:dyDescent="0.25">
      <c r="A991" t="s">
        <v>339</v>
      </c>
      <c r="B991" t="s">
        <v>342</v>
      </c>
      <c r="C991" t="s">
        <v>343</v>
      </c>
      <c r="D991" t="s">
        <v>32</v>
      </c>
      <c r="E991" t="s">
        <v>292</v>
      </c>
      <c r="F991">
        <v>0.62387450912736875</v>
      </c>
      <c r="G991">
        <v>0.84774901825473747</v>
      </c>
      <c r="H991">
        <v>0.4</v>
      </c>
      <c r="I991">
        <v>14945350400</v>
      </c>
      <c r="J991">
        <v>36.4</v>
      </c>
      <c r="K991">
        <v>10</v>
      </c>
    </row>
    <row r="992" spans="1:11" x14ac:dyDescent="0.25">
      <c r="A992" t="s">
        <v>339</v>
      </c>
      <c r="B992" t="s">
        <v>199</v>
      </c>
      <c r="C992" t="s">
        <v>200</v>
      </c>
      <c r="D992" t="s">
        <v>32</v>
      </c>
      <c r="E992" t="s">
        <v>26</v>
      </c>
      <c r="F992">
        <v>0.61709187635673857</v>
      </c>
      <c r="G992">
        <v>0.83418375271347722</v>
      </c>
      <c r="H992">
        <v>0.4</v>
      </c>
      <c r="I992">
        <v>5410003840</v>
      </c>
      <c r="J992">
        <v>14.4</v>
      </c>
      <c r="K992">
        <v>11</v>
      </c>
    </row>
    <row r="993" spans="1:11" x14ac:dyDescent="0.25">
      <c r="A993" t="s">
        <v>339</v>
      </c>
      <c r="B993" t="s">
        <v>173</v>
      </c>
      <c r="C993" t="s">
        <v>174</v>
      </c>
      <c r="D993" t="s">
        <v>32</v>
      </c>
      <c r="E993" t="s">
        <v>74</v>
      </c>
      <c r="F993">
        <v>0.61171817507419013</v>
      </c>
      <c r="G993">
        <v>0.92343635014838021</v>
      </c>
      <c r="H993">
        <v>0.3</v>
      </c>
      <c r="I993">
        <v>820034736880</v>
      </c>
      <c r="J993">
        <v>13.7</v>
      </c>
      <c r="K993">
        <v>12</v>
      </c>
    </row>
    <row r="994" spans="1:11" x14ac:dyDescent="0.25">
      <c r="A994" t="s">
        <v>339</v>
      </c>
      <c r="B994" t="s">
        <v>206</v>
      </c>
      <c r="C994" t="s">
        <v>207</v>
      </c>
      <c r="D994" t="s">
        <v>32</v>
      </c>
      <c r="E994" t="s">
        <v>33</v>
      </c>
      <c r="F994">
        <v>0.61072711917760114</v>
      </c>
      <c r="G994">
        <v>0.87145423835520219</v>
      </c>
      <c r="H994">
        <v>0.35</v>
      </c>
      <c r="I994">
        <v>6474924900</v>
      </c>
      <c r="J994">
        <v>44.5</v>
      </c>
      <c r="K994">
        <v>13</v>
      </c>
    </row>
    <row r="995" spans="1:11" x14ac:dyDescent="0.25">
      <c r="A995" t="s">
        <v>339</v>
      </c>
      <c r="B995" t="s">
        <v>307</v>
      </c>
      <c r="C995" t="s">
        <v>308</v>
      </c>
      <c r="D995" t="s">
        <v>32</v>
      </c>
      <c r="E995" t="s">
        <v>42</v>
      </c>
      <c r="F995">
        <v>0.59971789928613639</v>
      </c>
      <c r="G995">
        <v>0.94943579857227278</v>
      </c>
      <c r="H995">
        <v>0.25</v>
      </c>
      <c r="I995">
        <v>68208399100</v>
      </c>
      <c r="J995">
        <v>22.2</v>
      </c>
      <c r="K995">
        <v>14</v>
      </c>
    </row>
    <row r="996" spans="1:11" x14ac:dyDescent="0.25">
      <c r="A996" t="s">
        <v>339</v>
      </c>
      <c r="B996" t="s">
        <v>24</v>
      </c>
      <c r="C996" t="s">
        <v>25</v>
      </c>
      <c r="D996" t="s">
        <v>18</v>
      </c>
      <c r="E996" t="s">
        <v>26</v>
      </c>
      <c r="F996">
        <v>0.59753683123038359</v>
      </c>
      <c r="G996">
        <v>0.89507366246076714</v>
      </c>
      <c r="H996">
        <v>0.3</v>
      </c>
      <c r="I996">
        <v>10379147400</v>
      </c>
      <c r="J996">
        <v>15.5</v>
      </c>
      <c r="K996">
        <v>15</v>
      </c>
    </row>
    <row r="997" spans="1:11" x14ac:dyDescent="0.25">
      <c r="A997" t="s">
        <v>339</v>
      </c>
      <c r="B997" t="s">
        <v>263</v>
      </c>
      <c r="C997" t="s">
        <v>264</v>
      </c>
      <c r="D997" t="s">
        <v>32</v>
      </c>
      <c r="E997" t="s">
        <v>259</v>
      </c>
      <c r="F997">
        <v>0.59386398785720274</v>
      </c>
      <c r="G997">
        <v>0.78772797571440534</v>
      </c>
      <c r="H997">
        <v>0.4</v>
      </c>
      <c r="I997">
        <v>88097852400</v>
      </c>
      <c r="J997">
        <v>34.549999999999997</v>
      </c>
      <c r="K997">
        <v>16</v>
      </c>
    </row>
    <row r="998" spans="1:11" x14ac:dyDescent="0.25">
      <c r="A998" t="s">
        <v>339</v>
      </c>
      <c r="B998" t="s">
        <v>113</v>
      </c>
      <c r="C998" t="s">
        <v>114</v>
      </c>
      <c r="D998" t="s">
        <v>32</v>
      </c>
      <c r="E998" t="s">
        <v>74</v>
      </c>
      <c r="F998">
        <v>0.58306272792263569</v>
      </c>
      <c r="G998">
        <v>0.81612545584527141</v>
      </c>
      <c r="H998">
        <v>0.35</v>
      </c>
      <c r="I998">
        <v>120032410400</v>
      </c>
      <c r="J998">
        <v>37.049999999999997</v>
      </c>
      <c r="K998">
        <v>17</v>
      </c>
    </row>
    <row r="999" spans="1:11" x14ac:dyDescent="0.25">
      <c r="A999" t="s">
        <v>339</v>
      </c>
      <c r="B999" t="s">
        <v>82</v>
      </c>
      <c r="C999" t="s">
        <v>83</v>
      </c>
      <c r="D999" t="s">
        <v>32</v>
      </c>
      <c r="E999" t="s">
        <v>39</v>
      </c>
      <c r="F999">
        <v>0.57110299197332681</v>
      </c>
      <c r="G999">
        <v>0.84220598394665358</v>
      </c>
      <c r="H999">
        <v>0.3</v>
      </c>
      <c r="I999">
        <v>40165158500</v>
      </c>
      <c r="J999">
        <v>17.5</v>
      </c>
      <c r="K999">
        <v>18</v>
      </c>
    </row>
    <row r="1000" spans="1:11" x14ac:dyDescent="0.25">
      <c r="A1000" t="s">
        <v>339</v>
      </c>
      <c r="B1000" t="s">
        <v>47</v>
      </c>
      <c r="C1000" t="s">
        <v>48</v>
      </c>
      <c r="D1000" t="s">
        <v>14</v>
      </c>
      <c r="E1000" t="s">
        <v>29</v>
      </c>
      <c r="F1000">
        <v>0.56478496508118792</v>
      </c>
      <c r="G1000">
        <v>0.87956993016237583</v>
      </c>
      <c r="H1000">
        <v>0.25</v>
      </c>
      <c r="I1000">
        <v>5054118400</v>
      </c>
      <c r="J1000">
        <v>8.6999999999999993</v>
      </c>
      <c r="K1000">
        <v>19</v>
      </c>
    </row>
    <row r="1001" spans="1:11" x14ac:dyDescent="0.25">
      <c r="A1001" t="s">
        <v>339</v>
      </c>
      <c r="B1001" t="s">
        <v>179</v>
      </c>
      <c r="C1001" t="s">
        <v>180</v>
      </c>
      <c r="D1001" t="s">
        <v>32</v>
      </c>
      <c r="E1001" t="s">
        <v>124</v>
      </c>
      <c r="F1001">
        <v>0.5645013947532419</v>
      </c>
      <c r="G1001">
        <v>0.82900278950648376</v>
      </c>
      <c r="H1001">
        <v>0.3</v>
      </c>
      <c r="I1001">
        <v>334018103900</v>
      </c>
      <c r="J1001">
        <v>28.3</v>
      </c>
      <c r="K1001">
        <v>20</v>
      </c>
    </row>
    <row r="1002" spans="1:11" x14ac:dyDescent="0.25">
      <c r="A1002" t="s">
        <v>344</v>
      </c>
      <c r="B1002" t="s">
        <v>188</v>
      </c>
      <c r="C1002" t="s">
        <v>189</v>
      </c>
      <c r="D1002" t="s">
        <v>32</v>
      </c>
      <c r="E1002" t="s">
        <v>29</v>
      </c>
      <c r="F1002">
        <v>0.90489529478208919</v>
      </c>
      <c r="G1002">
        <v>0.90979058956417846</v>
      </c>
      <c r="H1002">
        <v>0.9</v>
      </c>
      <c r="I1002">
        <v>6403332220</v>
      </c>
      <c r="J1002">
        <v>12.1</v>
      </c>
      <c r="K1002">
        <v>1</v>
      </c>
    </row>
    <row r="1003" spans="1:11" x14ac:dyDescent="0.25">
      <c r="A1003" t="s">
        <v>344</v>
      </c>
      <c r="B1003" t="s">
        <v>179</v>
      </c>
      <c r="C1003" t="s">
        <v>180</v>
      </c>
      <c r="D1003" t="s">
        <v>32</v>
      </c>
      <c r="E1003" t="s">
        <v>124</v>
      </c>
      <c r="F1003">
        <v>0.73925673554803228</v>
      </c>
      <c r="G1003">
        <v>0.87851347109606459</v>
      </c>
      <c r="H1003">
        <v>0.6</v>
      </c>
      <c r="I1003">
        <v>332222994400</v>
      </c>
      <c r="J1003">
        <v>29.35</v>
      </c>
      <c r="K1003">
        <v>2</v>
      </c>
    </row>
    <row r="1004" spans="1:11" x14ac:dyDescent="0.25">
      <c r="A1004" t="s">
        <v>344</v>
      </c>
      <c r="B1004" t="s">
        <v>335</v>
      </c>
      <c r="C1004" t="s">
        <v>336</v>
      </c>
      <c r="D1004" t="s">
        <v>18</v>
      </c>
      <c r="E1004" t="s">
        <v>33</v>
      </c>
      <c r="F1004">
        <v>0.72470463233371252</v>
      </c>
      <c r="G1004">
        <v>0.94940926466742515</v>
      </c>
      <c r="H1004">
        <v>0.5</v>
      </c>
      <c r="I1004">
        <v>3063470600</v>
      </c>
      <c r="J1004">
        <v>7.9</v>
      </c>
      <c r="K1004">
        <v>3</v>
      </c>
    </row>
    <row r="1005" spans="1:11" x14ac:dyDescent="0.25">
      <c r="A1005" t="s">
        <v>344</v>
      </c>
      <c r="B1005" t="s">
        <v>229</v>
      </c>
      <c r="C1005" t="s">
        <v>230</v>
      </c>
      <c r="D1005" t="s">
        <v>18</v>
      </c>
      <c r="E1005" t="s">
        <v>29</v>
      </c>
      <c r="F1005">
        <v>0.69665599884609841</v>
      </c>
      <c r="G1005">
        <v>0.94331199769219676</v>
      </c>
      <c r="H1005">
        <v>0.45</v>
      </c>
      <c r="I1005">
        <v>25070331400</v>
      </c>
      <c r="J1005">
        <v>22</v>
      </c>
      <c r="K1005">
        <v>4</v>
      </c>
    </row>
    <row r="1006" spans="1:11" x14ac:dyDescent="0.25">
      <c r="A1006" t="s">
        <v>344</v>
      </c>
      <c r="B1006" t="s">
        <v>263</v>
      </c>
      <c r="C1006" t="s">
        <v>264</v>
      </c>
      <c r="D1006" t="s">
        <v>32</v>
      </c>
      <c r="E1006" t="s">
        <v>259</v>
      </c>
      <c r="F1006">
        <v>0.69533170298862834</v>
      </c>
      <c r="G1006">
        <v>0.74066340597725677</v>
      </c>
      <c r="H1006">
        <v>0.65</v>
      </c>
      <c r="I1006">
        <v>89130855200</v>
      </c>
      <c r="J1006">
        <v>34</v>
      </c>
      <c r="K1006">
        <v>5</v>
      </c>
    </row>
    <row r="1007" spans="1:11" x14ac:dyDescent="0.25">
      <c r="A1007" t="s">
        <v>344</v>
      </c>
      <c r="B1007" t="s">
        <v>283</v>
      </c>
      <c r="C1007" t="s">
        <v>284</v>
      </c>
      <c r="D1007" t="s">
        <v>18</v>
      </c>
      <c r="E1007" t="s">
        <v>33</v>
      </c>
      <c r="F1007">
        <v>0.68150235081756916</v>
      </c>
      <c r="G1007">
        <v>0.96300470163513829</v>
      </c>
      <c r="H1007">
        <v>0.4</v>
      </c>
      <c r="I1007">
        <v>7673757800</v>
      </c>
      <c r="J1007">
        <v>9</v>
      </c>
      <c r="K1007">
        <v>6</v>
      </c>
    </row>
    <row r="1008" spans="1:11" x14ac:dyDescent="0.25">
      <c r="A1008" t="s">
        <v>344</v>
      </c>
      <c r="B1008" t="s">
        <v>340</v>
      </c>
      <c r="C1008" t="s">
        <v>341</v>
      </c>
      <c r="D1008" t="s">
        <v>14</v>
      </c>
      <c r="E1008" t="s">
        <v>74</v>
      </c>
      <c r="F1008">
        <v>0.67464013877091666</v>
      </c>
      <c r="G1008">
        <v>0.9492802775418332</v>
      </c>
      <c r="H1008">
        <v>0.4</v>
      </c>
      <c r="I1008">
        <v>2035399400</v>
      </c>
      <c r="J1008">
        <v>36.9</v>
      </c>
      <c r="K1008">
        <v>7</v>
      </c>
    </row>
    <row r="1009" spans="1:11" x14ac:dyDescent="0.25">
      <c r="A1009" t="s">
        <v>344</v>
      </c>
      <c r="B1009" t="s">
        <v>290</v>
      </c>
      <c r="C1009" t="s">
        <v>291</v>
      </c>
      <c r="D1009" t="s">
        <v>14</v>
      </c>
      <c r="E1009" t="s">
        <v>292</v>
      </c>
      <c r="F1009">
        <v>0.66875352191631954</v>
      </c>
      <c r="G1009">
        <v>0.93750704383263905</v>
      </c>
      <c r="H1009">
        <v>0.4</v>
      </c>
      <c r="I1009">
        <v>4785896600</v>
      </c>
      <c r="J1009">
        <v>226.9</v>
      </c>
      <c r="K1009">
        <v>8</v>
      </c>
    </row>
    <row r="1010" spans="1:11" x14ac:dyDescent="0.25">
      <c r="A1010" t="s">
        <v>344</v>
      </c>
      <c r="B1010" t="s">
        <v>88</v>
      </c>
      <c r="C1010" t="s">
        <v>89</v>
      </c>
      <c r="D1010" t="s">
        <v>32</v>
      </c>
      <c r="E1010" t="s">
        <v>33</v>
      </c>
      <c r="F1010">
        <v>0.65760122561584777</v>
      </c>
      <c r="G1010">
        <v>0.96520245123169557</v>
      </c>
      <c r="H1010">
        <v>0.35</v>
      </c>
      <c r="I1010">
        <v>63357583420</v>
      </c>
      <c r="J1010">
        <v>13.2</v>
      </c>
      <c r="K1010">
        <v>9</v>
      </c>
    </row>
    <row r="1011" spans="1:11" x14ac:dyDescent="0.25">
      <c r="A1011" t="s">
        <v>344</v>
      </c>
      <c r="B1011" t="s">
        <v>345</v>
      </c>
      <c r="C1011" t="s">
        <v>346</v>
      </c>
      <c r="D1011" t="s">
        <v>32</v>
      </c>
      <c r="E1011" t="s">
        <v>23</v>
      </c>
      <c r="F1011">
        <v>0.65221786439721541</v>
      </c>
      <c r="G1011">
        <v>0.70443572879443095</v>
      </c>
      <c r="H1011">
        <v>0.6</v>
      </c>
      <c r="I1011">
        <v>119034044100</v>
      </c>
      <c r="J1011">
        <v>16.45</v>
      </c>
      <c r="K1011">
        <v>10</v>
      </c>
    </row>
    <row r="1012" spans="1:11" x14ac:dyDescent="0.25">
      <c r="A1012" t="s">
        <v>344</v>
      </c>
      <c r="B1012" t="s">
        <v>287</v>
      </c>
      <c r="C1012" t="s">
        <v>288</v>
      </c>
      <c r="D1012" t="s">
        <v>14</v>
      </c>
      <c r="E1012" t="s">
        <v>59</v>
      </c>
      <c r="F1012">
        <v>0.64843481341525899</v>
      </c>
      <c r="G1012">
        <v>0.94686962683051801</v>
      </c>
      <c r="H1012">
        <v>0.35</v>
      </c>
      <c r="I1012">
        <v>48169501800</v>
      </c>
      <c r="J1012">
        <v>23.7</v>
      </c>
      <c r="K1012">
        <v>11</v>
      </c>
    </row>
    <row r="1013" spans="1:11" x14ac:dyDescent="0.25">
      <c r="A1013" t="s">
        <v>344</v>
      </c>
      <c r="B1013" t="s">
        <v>113</v>
      </c>
      <c r="C1013" t="s">
        <v>114</v>
      </c>
      <c r="D1013" t="s">
        <v>32</v>
      </c>
      <c r="E1013" t="s">
        <v>74</v>
      </c>
      <c r="F1013">
        <v>0.62736114672501564</v>
      </c>
      <c r="G1013">
        <v>0.70472229345003123</v>
      </c>
      <c r="H1013">
        <v>0.55000000000000004</v>
      </c>
      <c r="I1013">
        <v>120648757200</v>
      </c>
      <c r="J1013">
        <v>36.5</v>
      </c>
      <c r="K1013">
        <v>12</v>
      </c>
    </row>
    <row r="1014" spans="1:11" x14ac:dyDescent="0.25">
      <c r="A1014" t="s">
        <v>344</v>
      </c>
      <c r="B1014" t="s">
        <v>206</v>
      </c>
      <c r="C1014" t="s">
        <v>207</v>
      </c>
      <c r="D1014" t="s">
        <v>32</v>
      </c>
      <c r="E1014" t="s">
        <v>33</v>
      </c>
      <c r="F1014">
        <v>0.62143872308661718</v>
      </c>
      <c r="G1014">
        <v>0.89287744617323428</v>
      </c>
      <c r="H1014">
        <v>0.35</v>
      </c>
      <c r="I1014">
        <v>7067948900</v>
      </c>
      <c r="J1014">
        <v>45.2</v>
      </c>
      <c r="K1014">
        <v>13</v>
      </c>
    </row>
    <row r="1015" spans="1:11" x14ac:dyDescent="0.25">
      <c r="A1015" t="s">
        <v>344</v>
      </c>
      <c r="B1015" t="s">
        <v>171</v>
      </c>
      <c r="C1015" t="s">
        <v>172</v>
      </c>
      <c r="D1015" t="s">
        <v>32</v>
      </c>
      <c r="E1015" t="s">
        <v>33</v>
      </c>
      <c r="F1015">
        <v>0.60973064723320081</v>
      </c>
      <c r="G1015">
        <v>0.66946129446640157</v>
      </c>
      <c r="H1015">
        <v>0.55000000000000004</v>
      </c>
      <c r="I1015">
        <v>12098560080</v>
      </c>
      <c r="J1015">
        <v>6.91</v>
      </c>
      <c r="K1015">
        <v>14</v>
      </c>
    </row>
    <row r="1016" spans="1:11" x14ac:dyDescent="0.25">
      <c r="A1016" t="s">
        <v>344</v>
      </c>
      <c r="B1016" t="s">
        <v>82</v>
      </c>
      <c r="C1016" t="s">
        <v>83</v>
      </c>
      <c r="D1016" t="s">
        <v>32</v>
      </c>
      <c r="E1016" t="s">
        <v>39</v>
      </c>
      <c r="F1016">
        <v>0.60699561585916506</v>
      </c>
      <c r="G1016">
        <v>0.8139912317183301</v>
      </c>
      <c r="H1016">
        <v>0.4</v>
      </c>
      <c r="I1016">
        <v>40170688500</v>
      </c>
      <c r="J1016">
        <v>17.5</v>
      </c>
      <c r="K1016">
        <v>15</v>
      </c>
    </row>
    <row r="1017" spans="1:11" x14ac:dyDescent="0.25">
      <c r="A1017" t="s">
        <v>344</v>
      </c>
      <c r="B1017" t="s">
        <v>307</v>
      </c>
      <c r="C1017" t="s">
        <v>308</v>
      </c>
      <c r="D1017" t="s">
        <v>32</v>
      </c>
      <c r="E1017" t="s">
        <v>42</v>
      </c>
      <c r="F1017">
        <v>0.60204828815992562</v>
      </c>
      <c r="G1017">
        <v>0.90409657631985119</v>
      </c>
      <c r="H1017">
        <v>0.3</v>
      </c>
      <c r="I1017">
        <v>69826051100</v>
      </c>
      <c r="J1017">
        <v>21.5</v>
      </c>
      <c r="K1017">
        <v>16</v>
      </c>
    </row>
    <row r="1018" spans="1:11" x14ac:dyDescent="0.25">
      <c r="A1018" t="s">
        <v>344</v>
      </c>
      <c r="B1018" t="s">
        <v>24</v>
      </c>
      <c r="C1018" t="s">
        <v>25</v>
      </c>
      <c r="D1018" t="s">
        <v>18</v>
      </c>
      <c r="E1018" t="s">
        <v>26</v>
      </c>
      <c r="F1018">
        <v>0.59823659334638413</v>
      </c>
      <c r="G1018">
        <v>0.89647318669276832</v>
      </c>
      <c r="H1018">
        <v>0.3</v>
      </c>
      <c r="I1018">
        <v>10252472600</v>
      </c>
      <c r="J1018">
        <v>15.2</v>
      </c>
      <c r="K1018">
        <v>17</v>
      </c>
    </row>
    <row r="1019" spans="1:11" x14ac:dyDescent="0.25">
      <c r="A1019" t="s">
        <v>344</v>
      </c>
      <c r="B1019" t="s">
        <v>47</v>
      </c>
      <c r="C1019" t="s">
        <v>48</v>
      </c>
      <c r="D1019" t="s">
        <v>14</v>
      </c>
      <c r="E1019" t="s">
        <v>29</v>
      </c>
      <c r="F1019">
        <v>0.5965057454298327</v>
      </c>
      <c r="G1019">
        <v>0.89301149085966547</v>
      </c>
      <c r="H1019">
        <v>0.3</v>
      </c>
      <c r="I1019">
        <v>5091917800</v>
      </c>
      <c r="J1019">
        <v>8.8000000000000007</v>
      </c>
      <c r="K1019">
        <v>18</v>
      </c>
    </row>
    <row r="1020" spans="1:11" x14ac:dyDescent="0.25">
      <c r="A1020" t="s">
        <v>344</v>
      </c>
      <c r="B1020" t="s">
        <v>84</v>
      </c>
      <c r="C1020" t="s">
        <v>85</v>
      </c>
      <c r="D1020" t="s">
        <v>14</v>
      </c>
      <c r="E1020" t="s">
        <v>42</v>
      </c>
      <c r="F1020">
        <v>0.58989669814106416</v>
      </c>
      <c r="G1020">
        <v>0.57979339628212834</v>
      </c>
      <c r="H1020">
        <v>0.6</v>
      </c>
      <c r="I1020">
        <v>6716498800</v>
      </c>
      <c r="J1020">
        <v>140.5</v>
      </c>
      <c r="K1020">
        <v>19</v>
      </c>
    </row>
    <row r="1021" spans="1:11" x14ac:dyDescent="0.25">
      <c r="A1021" t="s">
        <v>344</v>
      </c>
      <c r="B1021" t="s">
        <v>261</v>
      </c>
      <c r="C1021" t="s">
        <v>262</v>
      </c>
      <c r="D1021" t="s">
        <v>32</v>
      </c>
      <c r="E1021" t="s">
        <v>42</v>
      </c>
      <c r="F1021">
        <v>0.58949133280274846</v>
      </c>
      <c r="G1021">
        <v>0.82898266560549683</v>
      </c>
      <c r="H1021">
        <v>0.35</v>
      </c>
      <c r="I1021">
        <v>116113800200</v>
      </c>
      <c r="J1021">
        <v>66.099999999999994</v>
      </c>
      <c r="K1021">
        <v>20</v>
      </c>
    </row>
    <row r="1022" spans="1:11" x14ac:dyDescent="0.25">
      <c r="A1022" t="s">
        <v>347</v>
      </c>
      <c r="B1022" t="s">
        <v>188</v>
      </c>
      <c r="C1022" t="s">
        <v>189</v>
      </c>
      <c r="D1022" t="s">
        <v>32</v>
      </c>
      <c r="E1022" t="s">
        <v>29</v>
      </c>
      <c r="F1022">
        <v>0.80846444239796822</v>
      </c>
      <c r="G1022">
        <v>0.81692888479593639</v>
      </c>
      <c r="H1022">
        <v>0.8</v>
      </c>
      <c r="I1022">
        <v>6539945220</v>
      </c>
      <c r="J1022">
        <v>11.9</v>
      </c>
      <c r="K1022">
        <v>1</v>
      </c>
    </row>
    <row r="1023" spans="1:11" x14ac:dyDescent="0.25">
      <c r="A1023" t="s">
        <v>347</v>
      </c>
      <c r="B1023" t="s">
        <v>179</v>
      </c>
      <c r="C1023" t="s">
        <v>180</v>
      </c>
      <c r="D1023" t="s">
        <v>32</v>
      </c>
      <c r="E1023" t="s">
        <v>124</v>
      </c>
      <c r="F1023">
        <v>0.79818722017448818</v>
      </c>
      <c r="G1023">
        <v>0.89637444034897629</v>
      </c>
      <c r="H1023">
        <v>0.7</v>
      </c>
      <c r="I1023">
        <v>327800448700</v>
      </c>
      <c r="J1023">
        <v>29.65</v>
      </c>
      <c r="K1023">
        <v>2</v>
      </c>
    </row>
    <row r="1024" spans="1:11" x14ac:dyDescent="0.25">
      <c r="A1024" t="s">
        <v>347</v>
      </c>
      <c r="B1024" t="s">
        <v>340</v>
      </c>
      <c r="C1024" t="s">
        <v>341</v>
      </c>
      <c r="D1024" t="s">
        <v>14</v>
      </c>
      <c r="E1024" t="s">
        <v>74</v>
      </c>
      <c r="F1024">
        <v>0.72770565597159242</v>
      </c>
      <c r="G1024">
        <v>0.95541131194318496</v>
      </c>
      <c r="H1024">
        <v>0.5</v>
      </c>
      <c r="I1024">
        <v>2065448200</v>
      </c>
      <c r="J1024">
        <v>37.200000000000003</v>
      </c>
      <c r="K1024">
        <v>3</v>
      </c>
    </row>
    <row r="1025" spans="1:11" x14ac:dyDescent="0.25">
      <c r="A1025" t="s">
        <v>347</v>
      </c>
      <c r="B1025" t="s">
        <v>223</v>
      </c>
      <c r="C1025" t="s">
        <v>224</v>
      </c>
      <c r="D1025" t="s">
        <v>32</v>
      </c>
      <c r="E1025" t="s">
        <v>26</v>
      </c>
      <c r="F1025">
        <v>0.72428859718219352</v>
      </c>
      <c r="G1025">
        <v>0.84857719436438706</v>
      </c>
      <c r="H1025">
        <v>0.6</v>
      </c>
      <c r="I1025">
        <v>41946585800</v>
      </c>
      <c r="J1025">
        <v>55.8</v>
      </c>
      <c r="K1025">
        <v>4</v>
      </c>
    </row>
    <row r="1026" spans="1:11" x14ac:dyDescent="0.25">
      <c r="A1026" t="s">
        <v>347</v>
      </c>
      <c r="B1026" t="s">
        <v>290</v>
      </c>
      <c r="C1026" t="s">
        <v>291</v>
      </c>
      <c r="D1026" t="s">
        <v>14</v>
      </c>
      <c r="E1026" t="s">
        <v>292</v>
      </c>
      <c r="F1026">
        <v>0.6914420662461116</v>
      </c>
      <c r="G1026">
        <v>0.93288413249222313</v>
      </c>
      <c r="H1026">
        <v>0.45</v>
      </c>
      <c r="I1026">
        <v>4822356200</v>
      </c>
      <c r="J1026">
        <v>230</v>
      </c>
      <c r="K1026">
        <v>5</v>
      </c>
    </row>
    <row r="1027" spans="1:11" x14ac:dyDescent="0.25">
      <c r="A1027" t="s">
        <v>347</v>
      </c>
      <c r="B1027" t="s">
        <v>307</v>
      </c>
      <c r="C1027" t="s">
        <v>308</v>
      </c>
      <c r="D1027" t="s">
        <v>32</v>
      </c>
      <c r="E1027" t="s">
        <v>42</v>
      </c>
      <c r="F1027">
        <v>0.67195293587248817</v>
      </c>
      <c r="G1027">
        <v>0.89390587174497638</v>
      </c>
      <c r="H1027">
        <v>0.45</v>
      </c>
      <c r="I1027">
        <v>70983385100</v>
      </c>
      <c r="J1027">
        <v>21.5</v>
      </c>
      <c r="K1027">
        <v>6</v>
      </c>
    </row>
    <row r="1028" spans="1:11" x14ac:dyDescent="0.25">
      <c r="A1028" t="s">
        <v>347</v>
      </c>
      <c r="B1028" t="s">
        <v>82</v>
      </c>
      <c r="C1028" t="s">
        <v>83</v>
      </c>
      <c r="D1028" t="s">
        <v>32</v>
      </c>
      <c r="E1028" t="s">
        <v>39</v>
      </c>
      <c r="F1028">
        <v>0.65320627508476714</v>
      </c>
      <c r="G1028">
        <v>0.80641255016953428</v>
      </c>
      <c r="H1028">
        <v>0.5</v>
      </c>
      <c r="I1028">
        <v>40168652900</v>
      </c>
      <c r="J1028">
        <v>17.5</v>
      </c>
      <c r="K1028">
        <v>7</v>
      </c>
    </row>
    <row r="1029" spans="1:11" x14ac:dyDescent="0.25">
      <c r="A1029" t="s">
        <v>347</v>
      </c>
      <c r="B1029" t="s">
        <v>206</v>
      </c>
      <c r="C1029" t="s">
        <v>207</v>
      </c>
      <c r="D1029" t="s">
        <v>32</v>
      </c>
      <c r="E1029" t="s">
        <v>33</v>
      </c>
      <c r="F1029">
        <v>0.63826128008899596</v>
      </c>
      <c r="G1029">
        <v>0.92652256017799195</v>
      </c>
      <c r="H1029">
        <v>0.35</v>
      </c>
      <c r="I1029">
        <v>8156560700</v>
      </c>
      <c r="J1029">
        <v>46.05</v>
      </c>
      <c r="K1029">
        <v>8</v>
      </c>
    </row>
    <row r="1030" spans="1:11" x14ac:dyDescent="0.25">
      <c r="A1030" t="s">
        <v>347</v>
      </c>
      <c r="B1030" t="s">
        <v>211</v>
      </c>
      <c r="C1030" t="s">
        <v>212</v>
      </c>
      <c r="D1030" t="s">
        <v>32</v>
      </c>
      <c r="E1030" t="s">
        <v>33</v>
      </c>
      <c r="F1030">
        <v>0.62426254488756605</v>
      </c>
      <c r="G1030">
        <v>0.94852508977513217</v>
      </c>
      <c r="H1030">
        <v>0.3</v>
      </c>
      <c r="I1030">
        <v>7110996880</v>
      </c>
      <c r="J1030">
        <v>12.25</v>
      </c>
      <c r="K1030">
        <v>9</v>
      </c>
    </row>
    <row r="1031" spans="1:11" x14ac:dyDescent="0.25">
      <c r="A1031" t="s">
        <v>347</v>
      </c>
      <c r="B1031" t="s">
        <v>335</v>
      </c>
      <c r="C1031" t="s">
        <v>336</v>
      </c>
      <c r="D1031" t="s">
        <v>18</v>
      </c>
      <c r="E1031" t="s">
        <v>33</v>
      </c>
      <c r="F1031">
        <v>0.6228480849697281</v>
      </c>
      <c r="G1031">
        <v>0.89569616993945622</v>
      </c>
      <c r="H1031">
        <v>0.35</v>
      </c>
      <c r="I1031">
        <v>3160899000</v>
      </c>
      <c r="J1031">
        <v>7.4</v>
      </c>
      <c r="K1031">
        <v>10</v>
      </c>
    </row>
    <row r="1032" spans="1:11" x14ac:dyDescent="0.25">
      <c r="A1032" t="s">
        <v>347</v>
      </c>
      <c r="B1032" t="s">
        <v>287</v>
      </c>
      <c r="C1032" t="s">
        <v>288</v>
      </c>
      <c r="D1032" t="s">
        <v>14</v>
      </c>
      <c r="E1032" t="s">
        <v>59</v>
      </c>
      <c r="F1032">
        <v>0.62247474301019423</v>
      </c>
      <c r="G1032">
        <v>0.94494948602038853</v>
      </c>
      <c r="H1032">
        <v>0.3</v>
      </c>
      <c r="I1032">
        <v>48136317400</v>
      </c>
      <c r="J1032">
        <v>23.9</v>
      </c>
      <c r="K1032">
        <v>11</v>
      </c>
    </row>
    <row r="1033" spans="1:11" x14ac:dyDescent="0.25">
      <c r="A1033" t="s">
        <v>347</v>
      </c>
      <c r="B1033" t="s">
        <v>229</v>
      </c>
      <c r="C1033" t="s">
        <v>230</v>
      </c>
      <c r="D1033" t="s">
        <v>18</v>
      </c>
      <c r="E1033" t="s">
        <v>29</v>
      </c>
      <c r="F1033">
        <v>0.6137430549411762</v>
      </c>
      <c r="G1033">
        <v>0.97748610988235229</v>
      </c>
      <c r="H1033">
        <v>0.25</v>
      </c>
      <c r="I1033">
        <v>25729754200</v>
      </c>
      <c r="J1033">
        <v>23.4</v>
      </c>
      <c r="K1033">
        <v>12</v>
      </c>
    </row>
    <row r="1034" spans="1:11" x14ac:dyDescent="0.25">
      <c r="A1034" t="s">
        <v>347</v>
      </c>
      <c r="B1034" t="s">
        <v>47</v>
      </c>
      <c r="C1034" t="s">
        <v>48</v>
      </c>
      <c r="D1034" t="s">
        <v>14</v>
      </c>
      <c r="E1034" t="s">
        <v>29</v>
      </c>
      <c r="F1034">
        <v>0.60555499493390119</v>
      </c>
      <c r="G1034">
        <v>0.96110998986780238</v>
      </c>
      <c r="H1034">
        <v>0.25</v>
      </c>
      <c r="I1034">
        <v>5772734000</v>
      </c>
      <c r="J1034">
        <v>9.4</v>
      </c>
      <c r="K1034">
        <v>13</v>
      </c>
    </row>
    <row r="1035" spans="1:11" x14ac:dyDescent="0.25">
      <c r="A1035" t="s">
        <v>347</v>
      </c>
      <c r="B1035" t="s">
        <v>88</v>
      </c>
      <c r="C1035" t="s">
        <v>89</v>
      </c>
      <c r="D1035" t="s">
        <v>32</v>
      </c>
      <c r="E1035" t="s">
        <v>33</v>
      </c>
      <c r="F1035">
        <v>0.6016503140382643</v>
      </c>
      <c r="G1035">
        <v>0.95330062807652849</v>
      </c>
      <c r="H1035">
        <v>0.25</v>
      </c>
      <c r="I1035">
        <v>65484990260</v>
      </c>
      <c r="J1035">
        <v>13</v>
      </c>
      <c r="K1035">
        <v>14</v>
      </c>
    </row>
    <row r="1036" spans="1:11" x14ac:dyDescent="0.25">
      <c r="A1036" t="s">
        <v>347</v>
      </c>
      <c r="B1036" t="s">
        <v>283</v>
      </c>
      <c r="C1036" t="s">
        <v>284</v>
      </c>
      <c r="D1036" t="s">
        <v>18</v>
      </c>
      <c r="E1036" t="s">
        <v>33</v>
      </c>
      <c r="F1036">
        <v>0.5977782664749427</v>
      </c>
      <c r="G1036">
        <v>0.94555653294988551</v>
      </c>
      <c r="H1036">
        <v>0.25</v>
      </c>
      <c r="I1036">
        <v>7765272800</v>
      </c>
      <c r="J1036">
        <v>8.8000000000000007</v>
      </c>
      <c r="K1036">
        <v>15</v>
      </c>
    </row>
    <row r="1037" spans="1:11" x14ac:dyDescent="0.25">
      <c r="A1037" t="s">
        <v>347</v>
      </c>
      <c r="B1037" t="s">
        <v>263</v>
      </c>
      <c r="C1037" t="s">
        <v>264</v>
      </c>
      <c r="D1037" t="s">
        <v>32</v>
      </c>
      <c r="E1037" t="s">
        <v>259</v>
      </c>
      <c r="F1037">
        <v>0.59098487973991343</v>
      </c>
      <c r="G1037">
        <v>0.78196975947982683</v>
      </c>
      <c r="H1037">
        <v>0.4</v>
      </c>
      <c r="I1037">
        <v>90449096800</v>
      </c>
      <c r="J1037">
        <v>34</v>
      </c>
      <c r="K1037">
        <v>16</v>
      </c>
    </row>
    <row r="1038" spans="1:11" x14ac:dyDescent="0.25">
      <c r="A1038" t="s">
        <v>347</v>
      </c>
      <c r="B1038" t="s">
        <v>247</v>
      </c>
      <c r="C1038" t="s">
        <v>248</v>
      </c>
      <c r="D1038" t="s">
        <v>32</v>
      </c>
      <c r="E1038" t="s">
        <v>59</v>
      </c>
      <c r="F1038">
        <v>0.5892965397517318</v>
      </c>
      <c r="G1038">
        <v>0.72859307950346364</v>
      </c>
      <c r="H1038">
        <v>0.45</v>
      </c>
      <c r="I1038">
        <v>37153005000</v>
      </c>
      <c r="J1038">
        <v>141</v>
      </c>
      <c r="K1038">
        <v>17</v>
      </c>
    </row>
    <row r="1039" spans="1:11" x14ac:dyDescent="0.25">
      <c r="A1039" t="s">
        <v>347</v>
      </c>
      <c r="B1039" t="s">
        <v>171</v>
      </c>
      <c r="C1039" t="s">
        <v>172</v>
      </c>
      <c r="D1039" t="s">
        <v>32</v>
      </c>
      <c r="E1039" t="s">
        <v>33</v>
      </c>
      <c r="F1039">
        <v>0.58312971714301942</v>
      </c>
      <c r="G1039">
        <v>0.56625943428603887</v>
      </c>
      <c r="H1039">
        <v>0.6</v>
      </c>
      <c r="I1039">
        <v>12047241840</v>
      </c>
      <c r="J1039">
        <v>6.8</v>
      </c>
      <c r="K1039">
        <v>18</v>
      </c>
    </row>
    <row r="1040" spans="1:11" x14ac:dyDescent="0.25">
      <c r="A1040" t="s">
        <v>347</v>
      </c>
      <c r="B1040" t="s">
        <v>345</v>
      </c>
      <c r="C1040" t="s">
        <v>346</v>
      </c>
      <c r="D1040" t="s">
        <v>32</v>
      </c>
      <c r="E1040" t="s">
        <v>23</v>
      </c>
      <c r="F1040">
        <v>0.58175872598285272</v>
      </c>
      <c r="G1040">
        <v>0.56351745196570535</v>
      </c>
      <c r="H1040">
        <v>0.6</v>
      </c>
      <c r="I1040">
        <v>118900332000</v>
      </c>
      <c r="J1040">
        <v>16.25</v>
      </c>
      <c r="K1040">
        <v>19</v>
      </c>
    </row>
    <row r="1041" spans="1:11" x14ac:dyDescent="0.25">
      <c r="A1041" t="s">
        <v>347</v>
      </c>
      <c r="B1041" t="s">
        <v>348</v>
      </c>
      <c r="C1041" t="s">
        <v>349</v>
      </c>
      <c r="D1041" t="s">
        <v>32</v>
      </c>
      <c r="E1041" t="s">
        <v>26</v>
      </c>
      <c r="F1041">
        <v>0.57864659750348268</v>
      </c>
      <c r="G1041">
        <v>0.80729319500696528</v>
      </c>
      <c r="H1041">
        <v>0.35</v>
      </c>
      <c r="I1041">
        <v>134208975200</v>
      </c>
      <c r="J1041">
        <v>14.2</v>
      </c>
      <c r="K1041">
        <v>20</v>
      </c>
    </row>
    <row r="1042" spans="1:11" x14ac:dyDescent="0.25">
      <c r="A1042" t="s">
        <v>350</v>
      </c>
      <c r="B1042" t="s">
        <v>179</v>
      </c>
      <c r="C1042" t="s">
        <v>180</v>
      </c>
      <c r="D1042" t="s">
        <v>32</v>
      </c>
      <c r="E1042" t="s">
        <v>124</v>
      </c>
      <c r="F1042">
        <v>0.77398493627570275</v>
      </c>
      <c r="G1042">
        <v>0.89796987255140537</v>
      </c>
      <c r="H1042">
        <v>0.65</v>
      </c>
      <c r="I1042">
        <v>327618869500</v>
      </c>
      <c r="J1042">
        <v>30.4</v>
      </c>
      <c r="K1042">
        <v>1</v>
      </c>
    </row>
    <row r="1043" spans="1:11" x14ac:dyDescent="0.25">
      <c r="A1043" t="s">
        <v>350</v>
      </c>
      <c r="B1043" t="s">
        <v>340</v>
      </c>
      <c r="C1043" t="s">
        <v>341</v>
      </c>
      <c r="D1043" t="s">
        <v>14</v>
      </c>
      <c r="E1043" t="s">
        <v>74</v>
      </c>
      <c r="F1043">
        <v>0.77217625716427973</v>
      </c>
      <c r="G1043">
        <v>0.94435251432855949</v>
      </c>
      <c r="H1043">
        <v>0.6</v>
      </c>
      <c r="I1043">
        <v>2070588200</v>
      </c>
      <c r="J1043">
        <v>37.4</v>
      </c>
      <c r="K1043">
        <v>2</v>
      </c>
    </row>
    <row r="1044" spans="1:11" x14ac:dyDescent="0.25">
      <c r="A1044" t="s">
        <v>350</v>
      </c>
      <c r="B1044" t="s">
        <v>261</v>
      </c>
      <c r="C1044" t="s">
        <v>262</v>
      </c>
      <c r="D1044" t="s">
        <v>32</v>
      </c>
      <c r="E1044" t="s">
        <v>42</v>
      </c>
      <c r="F1044">
        <v>0.74182639326948929</v>
      </c>
      <c r="G1044">
        <v>0.93365278653897843</v>
      </c>
      <c r="H1044">
        <v>0.55000000000000004</v>
      </c>
      <c r="I1044">
        <v>114422901000</v>
      </c>
      <c r="J1044">
        <v>70.5</v>
      </c>
      <c r="K1044">
        <v>3</v>
      </c>
    </row>
    <row r="1045" spans="1:11" x14ac:dyDescent="0.25">
      <c r="A1045" t="s">
        <v>350</v>
      </c>
      <c r="B1045" t="s">
        <v>82</v>
      </c>
      <c r="C1045" t="s">
        <v>83</v>
      </c>
      <c r="D1045" t="s">
        <v>32</v>
      </c>
      <c r="E1045" t="s">
        <v>39</v>
      </c>
      <c r="F1045">
        <v>0.72369483742653951</v>
      </c>
      <c r="G1045">
        <v>0.84738967485307914</v>
      </c>
      <c r="H1045">
        <v>0.6</v>
      </c>
      <c r="I1045">
        <v>39116473500</v>
      </c>
      <c r="J1045">
        <v>17.5</v>
      </c>
      <c r="K1045">
        <v>4</v>
      </c>
    </row>
    <row r="1046" spans="1:11" x14ac:dyDescent="0.25">
      <c r="A1046" t="s">
        <v>350</v>
      </c>
      <c r="B1046" t="s">
        <v>188</v>
      </c>
      <c r="C1046" t="s">
        <v>189</v>
      </c>
      <c r="D1046" t="s">
        <v>32</v>
      </c>
      <c r="E1046" t="s">
        <v>29</v>
      </c>
      <c r="F1046">
        <v>0.67576334311563235</v>
      </c>
      <c r="G1046">
        <v>0.85152668623126471</v>
      </c>
      <c r="H1046">
        <v>0.5</v>
      </c>
      <c r="I1046">
        <v>6932492260</v>
      </c>
      <c r="J1046">
        <v>11.8</v>
      </c>
      <c r="K1046">
        <v>5</v>
      </c>
    </row>
    <row r="1047" spans="1:11" x14ac:dyDescent="0.25">
      <c r="A1047" t="s">
        <v>350</v>
      </c>
      <c r="B1047" t="s">
        <v>223</v>
      </c>
      <c r="C1047" t="s">
        <v>224</v>
      </c>
      <c r="D1047" t="s">
        <v>32</v>
      </c>
      <c r="E1047" t="s">
        <v>26</v>
      </c>
      <c r="F1047">
        <v>0.66939548521527614</v>
      </c>
      <c r="G1047">
        <v>0.78879097043055235</v>
      </c>
      <c r="H1047">
        <v>0.55000000000000004</v>
      </c>
      <c r="I1047">
        <v>42091104000</v>
      </c>
      <c r="J1047">
        <v>56</v>
      </c>
      <c r="K1047">
        <v>6</v>
      </c>
    </row>
    <row r="1048" spans="1:11" x14ac:dyDescent="0.25">
      <c r="A1048" t="s">
        <v>350</v>
      </c>
      <c r="B1048" t="s">
        <v>47</v>
      </c>
      <c r="C1048" t="s">
        <v>48</v>
      </c>
      <c r="D1048" t="s">
        <v>14</v>
      </c>
      <c r="E1048" t="s">
        <v>29</v>
      </c>
      <c r="F1048">
        <v>0.66379311739990743</v>
      </c>
      <c r="G1048">
        <v>0.92758623479981472</v>
      </c>
      <c r="H1048">
        <v>0.4</v>
      </c>
      <c r="I1048">
        <v>5809729200</v>
      </c>
      <c r="J1048">
        <v>9.1999999999999993</v>
      </c>
      <c r="K1048">
        <v>7</v>
      </c>
    </row>
    <row r="1049" spans="1:11" x14ac:dyDescent="0.25">
      <c r="A1049" t="s">
        <v>350</v>
      </c>
      <c r="B1049" t="s">
        <v>287</v>
      </c>
      <c r="C1049" t="s">
        <v>288</v>
      </c>
      <c r="D1049" t="s">
        <v>14</v>
      </c>
      <c r="E1049" t="s">
        <v>59</v>
      </c>
      <c r="F1049">
        <v>0.65765113777123907</v>
      </c>
      <c r="G1049">
        <v>0.91530227554247823</v>
      </c>
      <c r="H1049">
        <v>0.4</v>
      </c>
      <c r="I1049">
        <v>48082162800</v>
      </c>
      <c r="J1049">
        <v>23.9</v>
      </c>
      <c r="K1049">
        <v>8</v>
      </c>
    </row>
    <row r="1050" spans="1:11" x14ac:dyDescent="0.25">
      <c r="A1050" t="s">
        <v>350</v>
      </c>
      <c r="B1050" t="s">
        <v>307</v>
      </c>
      <c r="C1050" t="s">
        <v>308</v>
      </c>
      <c r="D1050" t="s">
        <v>32</v>
      </c>
      <c r="E1050" t="s">
        <v>42</v>
      </c>
      <c r="F1050">
        <v>0.65647147898855263</v>
      </c>
      <c r="G1050">
        <v>0.96294295797710527</v>
      </c>
      <c r="H1050">
        <v>0.35</v>
      </c>
      <c r="I1050">
        <v>75131113500</v>
      </c>
      <c r="J1050">
        <v>22.6</v>
      </c>
      <c r="K1050">
        <v>9</v>
      </c>
    </row>
    <row r="1051" spans="1:11" x14ac:dyDescent="0.25">
      <c r="A1051" t="s">
        <v>350</v>
      </c>
      <c r="B1051" t="s">
        <v>290</v>
      </c>
      <c r="C1051" t="s">
        <v>291</v>
      </c>
      <c r="D1051" t="s">
        <v>14</v>
      </c>
      <c r="E1051" t="s">
        <v>292</v>
      </c>
      <c r="F1051">
        <v>0.65469726146263851</v>
      </c>
      <c r="G1051">
        <v>0.95939452292527716</v>
      </c>
      <c r="H1051">
        <v>0.35</v>
      </c>
      <c r="I1051">
        <v>4978257800</v>
      </c>
      <c r="J1051">
        <v>235.9</v>
      </c>
      <c r="K1051">
        <v>10</v>
      </c>
    </row>
    <row r="1052" spans="1:11" x14ac:dyDescent="0.25">
      <c r="A1052" t="s">
        <v>350</v>
      </c>
      <c r="B1052" t="s">
        <v>154</v>
      </c>
      <c r="C1052" t="s">
        <v>155</v>
      </c>
      <c r="D1052" t="s">
        <v>32</v>
      </c>
      <c r="E1052" t="s">
        <v>39</v>
      </c>
      <c r="F1052">
        <v>0.61481450976986118</v>
      </c>
      <c r="G1052">
        <v>0.87962901953972239</v>
      </c>
      <c r="H1052">
        <v>0.35</v>
      </c>
      <c r="I1052">
        <v>129942533800</v>
      </c>
      <c r="J1052">
        <v>35.85</v>
      </c>
      <c r="K1052">
        <v>11</v>
      </c>
    </row>
    <row r="1053" spans="1:11" x14ac:dyDescent="0.25">
      <c r="A1053" t="s">
        <v>350</v>
      </c>
      <c r="B1053" t="s">
        <v>348</v>
      </c>
      <c r="C1053" t="s">
        <v>349</v>
      </c>
      <c r="D1053" t="s">
        <v>32</v>
      </c>
      <c r="E1053" t="s">
        <v>26</v>
      </c>
      <c r="F1053">
        <v>0.60440355924738354</v>
      </c>
      <c r="G1053">
        <v>0.80880711849476716</v>
      </c>
      <c r="H1053">
        <v>0.4</v>
      </c>
      <c r="I1053">
        <v>139486961600</v>
      </c>
      <c r="J1053">
        <v>14.25</v>
      </c>
      <c r="K1053">
        <v>12</v>
      </c>
    </row>
    <row r="1054" spans="1:11" x14ac:dyDescent="0.25">
      <c r="A1054" t="s">
        <v>350</v>
      </c>
      <c r="B1054" t="s">
        <v>351</v>
      </c>
      <c r="C1054" t="s">
        <v>352</v>
      </c>
      <c r="D1054" t="s">
        <v>32</v>
      </c>
      <c r="E1054" t="s">
        <v>353</v>
      </c>
      <c r="F1054">
        <v>0.60193015505771441</v>
      </c>
      <c r="G1054">
        <v>0.8038603101154288</v>
      </c>
      <c r="H1054">
        <v>0.4</v>
      </c>
      <c r="I1054">
        <v>10707531380</v>
      </c>
      <c r="J1054">
        <v>24.52</v>
      </c>
      <c r="K1054">
        <v>13</v>
      </c>
    </row>
    <row r="1055" spans="1:11" x14ac:dyDescent="0.25">
      <c r="A1055" t="s">
        <v>350</v>
      </c>
      <c r="B1055" t="s">
        <v>354</v>
      </c>
      <c r="C1055" t="s">
        <v>355</v>
      </c>
      <c r="D1055" t="s">
        <v>32</v>
      </c>
      <c r="E1055" t="s">
        <v>42</v>
      </c>
      <c r="F1055">
        <v>0.59995574395437912</v>
      </c>
      <c r="G1055">
        <v>0.49991148790875828</v>
      </c>
      <c r="H1055">
        <v>0.7</v>
      </c>
      <c r="I1055">
        <v>5224335260</v>
      </c>
      <c r="J1055">
        <v>2.37</v>
      </c>
      <c r="K1055">
        <v>14</v>
      </c>
    </row>
    <row r="1056" spans="1:11" x14ac:dyDescent="0.25">
      <c r="A1056" t="s">
        <v>350</v>
      </c>
      <c r="B1056" t="s">
        <v>206</v>
      </c>
      <c r="C1056" t="s">
        <v>207</v>
      </c>
      <c r="D1056" t="s">
        <v>32</v>
      </c>
      <c r="E1056" t="s">
        <v>33</v>
      </c>
      <c r="F1056">
        <v>0.5994508834954716</v>
      </c>
      <c r="G1056">
        <v>0.89890176699094326</v>
      </c>
      <c r="H1056">
        <v>0.3</v>
      </c>
      <c r="I1056">
        <v>8731830900</v>
      </c>
      <c r="J1056">
        <v>45.4</v>
      </c>
      <c r="K1056">
        <v>15</v>
      </c>
    </row>
    <row r="1057" spans="1:11" x14ac:dyDescent="0.25">
      <c r="A1057" t="s">
        <v>350</v>
      </c>
      <c r="B1057" t="s">
        <v>229</v>
      </c>
      <c r="C1057" t="s">
        <v>230</v>
      </c>
      <c r="D1057" t="s">
        <v>18</v>
      </c>
      <c r="E1057" t="s">
        <v>29</v>
      </c>
      <c r="F1057">
        <v>0.59189407120182114</v>
      </c>
      <c r="G1057">
        <v>0.98378814240364221</v>
      </c>
      <c r="H1057">
        <v>0.2</v>
      </c>
      <c r="I1057">
        <v>26671903000</v>
      </c>
      <c r="J1057">
        <v>23.7</v>
      </c>
      <c r="K1057">
        <v>16</v>
      </c>
    </row>
    <row r="1058" spans="1:11" x14ac:dyDescent="0.25">
      <c r="A1058" t="s">
        <v>350</v>
      </c>
      <c r="B1058" t="s">
        <v>342</v>
      </c>
      <c r="C1058" t="s">
        <v>343</v>
      </c>
      <c r="D1058" t="s">
        <v>32</v>
      </c>
      <c r="E1058" t="s">
        <v>292</v>
      </c>
      <c r="F1058">
        <v>0.58774445970936484</v>
      </c>
      <c r="G1058">
        <v>0.87548891941872975</v>
      </c>
      <c r="H1058">
        <v>0.3</v>
      </c>
      <c r="I1058">
        <v>16454837800</v>
      </c>
      <c r="J1058">
        <v>38</v>
      </c>
      <c r="K1058">
        <v>17</v>
      </c>
    </row>
    <row r="1059" spans="1:11" x14ac:dyDescent="0.25">
      <c r="A1059" t="s">
        <v>350</v>
      </c>
      <c r="B1059" t="s">
        <v>110</v>
      </c>
      <c r="C1059" t="s">
        <v>111</v>
      </c>
      <c r="D1059" t="s">
        <v>32</v>
      </c>
      <c r="E1059" t="s">
        <v>112</v>
      </c>
      <c r="F1059">
        <v>0.57813698344937414</v>
      </c>
      <c r="G1059">
        <v>0.9062739668987484</v>
      </c>
      <c r="H1059">
        <v>0.25</v>
      </c>
      <c r="I1059">
        <v>3779764400</v>
      </c>
      <c r="J1059">
        <v>5.29</v>
      </c>
      <c r="K1059">
        <v>18</v>
      </c>
    </row>
    <row r="1060" spans="1:11" x14ac:dyDescent="0.25">
      <c r="A1060" t="s">
        <v>350</v>
      </c>
      <c r="B1060" t="s">
        <v>158</v>
      </c>
      <c r="C1060" t="s">
        <v>159</v>
      </c>
      <c r="D1060" t="s">
        <v>32</v>
      </c>
      <c r="E1060" t="s">
        <v>160</v>
      </c>
      <c r="F1060">
        <v>0.57648819505427129</v>
      </c>
      <c r="G1060">
        <v>0.8029763901085426</v>
      </c>
      <c r="H1060">
        <v>0.35</v>
      </c>
      <c r="I1060">
        <v>27569819700</v>
      </c>
      <c r="J1060">
        <v>15.65</v>
      </c>
      <c r="K1060">
        <v>19</v>
      </c>
    </row>
    <row r="1061" spans="1:11" x14ac:dyDescent="0.25">
      <c r="A1061" t="s">
        <v>350</v>
      </c>
      <c r="B1061" t="s">
        <v>122</v>
      </c>
      <c r="C1061" t="s">
        <v>123</v>
      </c>
      <c r="D1061" t="s">
        <v>32</v>
      </c>
      <c r="E1061" t="s">
        <v>124</v>
      </c>
      <c r="F1061">
        <v>0.5758940040801106</v>
      </c>
      <c r="G1061">
        <v>0.95178800816022113</v>
      </c>
      <c r="H1061">
        <v>0.2</v>
      </c>
      <c r="I1061">
        <v>91263199600</v>
      </c>
      <c r="J1061">
        <v>98.9</v>
      </c>
      <c r="K1061">
        <v>20</v>
      </c>
    </row>
    <row r="1062" spans="1:11" x14ac:dyDescent="0.25">
      <c r="A1062" t="s">
        <v>356</v>
      </c>
      <c r="B1062" t="s">
        <v>340</v>
      </c>
      <c r="C1062" t="s">
        <v>341</v>
      </c>
      <c r="D1062" t="s">
        <v>14</v>
      </c>
      <c r="E1062" t="s">
        <v>74</v>
      </c>
      <c r="F1062">
        <v>0.77460591708842119</v>
      </c>
      <c r="G1062">
        <v>0.89921183417684225</v>
      </c>
      <c r="H1062">
        <v>0.65</v>
      </c>
      <c r="I1062">
        <v>2076536400</v>
      </c>
      <c r="J1062">
        <v>37.1</v>
      </c>
      <c r="K1062">
        <v>1</v>
      </c>
    </row>
    <row r="1063" spans="1:11" x14ac:dyDescent="0.25">
      <c r="A1063" t="s">
        <v>356</v>
      </c>
      <c r="B1063" t="s">
        <v>307</v>
      </c>
      <c r="C1063" t="s">
        <v>308</v>
      </c>
      <c r="D1063" t="s">
        <v>32</v>
      </c>
      <c r="E1063" t="s">
        <v>42</v>
      </c>
      <c r="F1063">
        <v>0.75144659358781263</v>
      </c>
      <c r="G1063">
        <v>0.95289318717562521</v>
      </c>
      <c r="H1063">
        <v>0.55000000000000004</v>
      </c>
      <c r="I1063">
        <v>78506925100</v>
      </c>
      <c r="J1063">
        <v>23</v>
      </c>
      <c r="K1063">
        <v>2</v>
      </c>
    </row>
    <row r="1064" spans="1:11" x14ac:dyDescent="0.25">
      <c r="A1064" t="s">
        <v>356</v>
      </c>
      <c r="B1064" t="s">
        <v>261</v>
      </c>
      <c r="C1064" t="s">
        <v>262</v>
      </c>
      <c r="D1064" t="s">
        <v>32</v>
      </c>
      <c r="E1064" t="s">
        <v>42</v>
      </c>
      <c r="F1064">
        <v>0.71484333228874775</v>
      </c>
      <c r="G1064">
        <v>0.97968666457749554</v>
      </c>
      <c r="H1064">
        <v>0.45</v>
      </c>
      <c r="I1064">
        <v>115779391200</v>
      </c>
      <c r="J1064">
        <v>75.400000000000006</v>
      </c>
      <c r="K1064">
        <v>3</v>
      </c>
    </row>
    <row r="1065" spans="1:11" x14ac:dyDescent="0.25">
      <c r="A1065" t="s">
        <v>356</v>
      </c>
      <c r="B1065" t="s">
        <v>110</v>
      </c>
      <c r="C1065" t="s">
        <v>111</v>
      </c>
      <c r="D1065" t="s">
        <v>32</v>
      </c>
      <c r="E1065" t="s">
        <v>112</v>
      </c>
      <c r="F1065">
        <v>0.71380610548068768</v>
      </c>
      <c r="G1065">
        <v>0.87761221096137532</v>
      </c>
      <c r="H1065">
        <v>0.55000000000000004</v>
      </c>
      <c r="I1065">
        <v>3400343240</v>
      </c>
      <c r="J1065">
        <v>5.31</v>
      </c>
      <c r="K1065">
        <v>4</v>
      </c>
    </row>
    <row r="1066" spans="1:11" x14ac:dyDescent="0.25">
      <c r="A1066" t="s">
        <v>356</v>
      </c>
      <c r="B1066" t="s">
        <v>348</v>
      </c>
      <c r="C1066" t="s">
        <v>349</v>
      </c>
      <c r="D1066" t="s">
        <v>32</v>
      </c>
      <c r="E1066" t="s">
        <v>26</v>
      </c>
      <c r="F1066">
        <v>0.68468054279413137</v>
      </c>
      <c r="G1066">
        <v>0.91936108558826268</v>
      </c>
      <c r="H1066">
        <v>0.45</v>
      </c>
      <c r="I1066">
        <v>148583182800</v>
      </c>
      <c r="J1066">
        <v>15.2</v>
      </c>
      <c r="K1066">
        <v>5</v>
      </c>
    </row>
    <row r="1067" spans="1:11" x14ac:dyDescent="0.25">
      <c r="A1067" t="s">
        <v>356</v>
      </c>
      <c r="B1067" t="s">
        <v>188</v>
      </c>
      <c r="C1067" t="s">
        <v>189</v>
      </c>
      <c r="D1067" t="s">
        <v>32</v>
      </c>
      <c r="E1067" t="s">
        <v>29</v>
      </c>
      <c r="F1067">
        <v>0.67287518435908167</v>
      </c>
      <c r="G1067">
        <v>0.79575036871816329</v>
      </c>
      <c r="H1067">
        <v>0.55000000000000004</v>
      </c>
      <c r="I1067">
        <v>7047648020</v>
      </c>
      <c r="J1067">
        <v>12.05</v>
      </c>
      <c r="K1067">
        <v>6</v>
      </c>
    </row>
    <row r="1068" spans="1:11" x14ac:dyDescent="0.25">
      <c r="A1068" t="s">
        <v>356</v>
      </c>
      <c r="B1068" t="s">
        <v>287</v>
      </c>
      <c r="C1068" t="s">
        <v>288</v>
      </c>
      <c r="D1068" t="s">
        <v>14</v>
      </c>
      <c r="E1068" t="s">
        <v>59</v>
      </c>
      <c r="F1068">
        <v>0.67205578677509381</v>
      </c>
      <c r="G1068">
        <v>0.89411157355018767</v>
      </c>
      <c r="H1068">
        <v>0.45</v>
      </c>
      <c r="I1068">
        <v>48684068200</v>
      </c>
      <c r="J1068">
        <v>23.3</v>
      </c>
      <c r="K1068">
        <v>7</v>
      </c>
    </row>
    <row r="1069" spans="1:11" x14ac:dyDescent="0.25">
      <c r="A1069" t="s">
        <v>356</v>
      </c>
      <c r="B1069" t="s">
        <v>351</v>
      </c>
      <c r="C1069" t="s">
        <v>352</v>
      </c>
      <c r="D1069" t="s">
        <v>32</v>
      </c>
      <c r="E1069" t="s">
        <v>353</v>
      </c>
      <c r="F1069">
        <v>0.66654580890353921</v>
      </c>
      <c r="G1069">
        <v>0.73309161780707854</v>
      </c>
      <c r="H1069">
        <v>0.6</v>
      </c>
      <c r="I1069">
        <v>10741745720</v>
      </c>
      <c r="J1069">
        <v>24.75</v>
      </c>
      <c r="K1069">
        <v>8</v>
      </c>
    </row>
    <row r="1070" spans="1:11" x14ac:dyDescent="0.25">
      <c r="A1070" t="s">
        <v>356</v>
      </c>
      <c r="B1070" t="s">
        <v>179</v>
      </c>
      <c r="C1070" t="s">
        <v>180</v>
      </c>
      <c r="D1070" t="s">
        <v>32</v>
      </c>
      <c r="E1070" t="s">
        <v>124</v>
      </c>
      <c r="F1070">
        <v>0.63034135075298237</v>
      </c>
      <c r="G1070">
        <v>0.96068270150596469</v>
      </c>
      <c r="H1070">
        <v>0.3</v>
      </c>
      <c r="I1070">
        <v>335913886100</v>
      </c>
      <c r="J1070">
        <v>32.5</v>
      </c>
      <c r="K1070">
        <v>9</v>
      </c>
    </row>
    <row r="1071" spans="1:11" x14ac:dyDescent="0.25">
      <c r="A1071" t="s">
        <v>356</v>
      </c>
      <c r="B1071" t="s">
        <v>237</v>
      </c>
      <c r="C1071" t="s">
        <v>238</v>
      </c>
      <c r="D1071" t="s">
        <v>32</v>
      </c>
      <c r="E1071" t="s">
        <v>33</v>
      </c>
      <c r="F1071">
        <v>0.62978230266312551</v>
      </c>
      <c r="G1071">
        <v>0.9595646053262511</v>
      </c>
      <c r="H1071">
        <v>0.3</v>
      </c>
      <c r="I1071">
        <v>630406791900</v>
      </c>
      <c r="J1071">
        <v>67.3</v>
      </c>
      <c r="K1071">
        <v>10</v>
      </c>
    </row>
    <row r="1072" spans="1:11" x14ac:dyDescent="0.25">
      <c r="A1072" t="s">
        <v>356</v>
      </c>
      <c r="B1072" t="s">
        <v>158</v>
      </c>
      <c r="C1072" t="s">
        <v>159</v>
      </c>
      <c r="D1072" t="s">
        <v>32</v>
      </c>
      <c r="E1072" t="s">
        <v>160</v>
      </c>
      <c r="F1072">
        <v>0.60704302572286906</v>
      </c>
      <c r="G1072">
        <v>0.91408605144573818</v>
      </c>
      <c r="H1072">
        <v>0.3</v>
      </c>
      <c r="I1072">
        <v>28858498800</v>
      </c>
      <c r="J1072">
        <v>16.3</v>
      </c>
      <c r="K1072">
        <v>11</v>
      </c>
    </row>
    <row r="1073" spans="1:11" x14ac:dyDescent="0.25">
      <c r="A1073" t="s">
        <v>356</v>
      </c>
      <c r="B1073" t="s">
        <v>47</v>
      </c>
      <c r="C1073" t="s">
        <v>48</v>
      </c>
      <c r="D1073" t="s">
        <v>14</v>
      </c>
      <c r="E1073" t="s">
        <v>29</v>
      </c>
      <c r="F1073">
        <v>0.60482523016160539</v>
      </c>
      <c r="G1073">
        <v>0.8596504603232108</v>
      </c>
      <c r="H1073">
        <v>0.35</v>
      </c>
      <c r="I1073">
        <v>5521042000</v>
      </c>
      <c r="J1073">
        <v>9</v>
      </c>
      <c r="K1073">
        <v>12</v>
      </c>
    </row>
    <row r="1074" spans="1:11" x14ac:dyDescent="0.25">
      <c r="A1074" t="s">
        <v>356</v>
      </c>
      <c r="B1074" t="s">
        <v>82</v>
      </c>
      <c r="C1074" t="s">
        <v>83</v>
      </c>
      <c r="D1074" t="s">
        <v>32</v>
      </c>
      <c r="E1074" t="s">
        <v>39</v>
      </c>
      <c r="F1074">
        <v>0.60255829108101244</v>
      </c>
      <c r="G1074">
        <v>0.85511658216202491</v>
      </c>
      <c r="H1074">
        <v>0.35</v>
      </c>
      <c r="I1074">
        <v>38832663900</v>
      </c>
      <c r="J1074">
        <v>18</v>
      </c>
      <c r="K1074">
        <v>13</v>
      </c>
    </row>
    <row r="1075" spans="1:11" x14ac:dyDescent="0.25">
      <c r="A1075" t="s">
        <v>356</v>
      </c>
      <c r="B1075" t="s">
        <v>263</v>
      </c>
      <c r="C1075" t="s">
        <v>264</v>
      </c>
      <c r="D1075" t="s">
        <v>32</v>
      </c>
      <c r="E1075" t="s">
        <v>259</v>
      </c>
      <c r="F1075">
        <v>0.59962551251723495</v>
      </c>
      <c r="G1075">
        <v>0.9492510250344699</v>
      </c>
      <c r="H1075">
        <v>0.25</v>
      </c>
      <c r="I1075">
        <v>94848912100</v>
      </c>
      <c r="J1075">
        <v>36.450000000000003</v>
      </c>
      <c r="K1075">
        <v>14</v>
      </c>
    </row>
    <row r="1076" spans="1:11" x14ac:dyDescent="0.25">
      <c r="A1076" t="s">
        <v>356</v>
      </c>
      <c r="B1076" t="s">
        <v>342</v>
      </c>
      <c r="C1076" t="s">
        <v>343</v>
      </c>
      <c r="D1076" t="s">
        <v>32</v>
      </c>
      <c r="E1076" t="s">
        <v>292</v>
      </c>
      <c r="F1076">
        <v>0.59619193618754451</v>
      </c>
      <c r="G1076">
        <v>0.84238387237508894</v>
      </c>
      <c r="H1076">
        <v>0.35</v>
      </c>
      <c r="I1076">
        <v>16854703100</v>
      </c>
      <c r="J1076">
        <v>37.9</v>
      </c>
      <c r="K1076">
        <v>15</v>
      </c>
    </row>
    <row r="1077" spans="1:11" x14ac:dyDescent="0.25">
      <c r="A1077" t="s">
        <v>356</v>
      </c>
      <c r="B1077" t="s">
        <v>290</v>
      </c>
      <c r="C1077" t="s">
        <v>291</v>
      </c>
      <c r="D1077" t="s">
        <v>14</v>
      </c>
      <c r="E1077" t="s">
        <v>292</v>
      </c>
      <c r="F1077">
        <v>0.58431338349684148</v>
      </c>
      <c r="G1077">
        <v>0.91862676699368295</v>
      </c>
      <c r="H1077">
        <v>0.25</v>
      </c>
      <c r="I1077">
        <v>5056793200</v>
      </c>
      <c r="J1077">
        <v>231.9</v>
      </c>
      <c r="K1077">
        <v>16</v>
      </c>
    </row>
    <row r="1078" spans="1:11" x14ac:dyDescent="0.25">
      <c r="A1078" t="s">
        <v>356</v>
      </c>
      <c r="B1078" t="s">
        <v>223</v>
      </c>
      <c r="C1078" t="s">
        <v>224</v>
      </c>
      <c r="D1078" t="s">
        <v>32</v>
      </c>
      <c r="E1078" t="s">
        <v>26</v>
      </c>
      <c r="F1078">
        <v>0.58341219195448923</v>
      </c>
      <c r="G1078">
        <v>0.91682438390897858</v>
      </c>
      <c r="H1078">
        <v>0.25</v>
      </c>
      <c r="I1078">
        <v>43767526100</v>
      </c>
      <c r="J1078">
        <v>58</v>
      </c>
      <c r="K1078">
        <v>17</v>
      </c>
    </row>
    <row r="1079" spans="1:11" x14ac:dyDescent="0.25">
      <c r="A1079" t="s">
        <v>356</v>
      </c>
      <c r="B1079" t="s">
        <v>325</v>
      </c>
      <c r="C1079" t="s">
        <v>326</v>
      </c>
      <c r="D1079" t="s">
        <v>32</v>
      </c>
      <c r="E1079" t="s">
        <v>36</v>
      </c>
      <c r="F1079">
        <v>0.57549819020559201</v>
      </c>
      <c r="G1079">
        <v>0.75099638041118399</v>
      </c>
      <c r="H1079">
        <v>0.4</v>
      </c>
      <c r="I1079">
        <v>2992057200</v>
      </c>
      <c r="J1079">
        <v>106.7</v>
      </c>
      <c r="K1079">
        <v>18</v>
      </c>
    </row>
    <row r="1080" spans="1:11" x14ac:dyDescent="0.25">
      <c r="A1080" t="s">
        <v>356</v>
      </c>
      <c r="B1080" t="s">
        <v>176</v>
      </c>
      <c r="C1080" t="s">
        <v>177</v>
      </c>
      <c r="D1080" t="s">
        <v>32</v>
      </c>
      <c r="E1080" t="s">
        <v>33</v>
      </c>
      <c r="F1080">
        <v>0.56992572361004024</v>
      </c>
      <c r="G1080">
        <v>0.88985144722008047</v>
      </c>
      <c r="H1080">
        <v>0.25</v>
      </c>
      <c r="I1080">
        <v>4040719780</v>
      </c>
      <c r="J1080">
        <v>9.25</v>
      </c>
      <c r="K1080">
        <v>19</v>
      </c>
    </row>
    <row r="1081" spans="1:11" x14ac:dyDescent="0.25">
      <c r="A1081" t="s">
        <v>356</v>
      </c>
      <c r="B1081" t="s">
        <v>211</v>
      </c>
      <c r="C1081" t="s">
        <v>212</v>
      </c>
      <c r="D1081" t="s">
        <v>32</v>
      </c>
      <c r="E1081" t="s">
        <v>33</v>
      </c>
      <c r="F1081">
        <v>0.56715789655461535</v>
      </c>
      <c r="G1081">
        <v>0.88431579310923059</v>
      </c>
      <c r="H1081">
        <v>0.25</v>
      </c>
      <c r="I1081">
        <v>7265806480</v>
      </c>
      <c r="J1081">
        <v>12.2</v>
      </c>
      <c r="K1081">
        <v>20</v>
      </c>
    </row>
    <row r="1082" spans="1:11" x14ac:dyDescent="0.25">
      <c r="A1082" t="s">
        <v>357</v>
      </c>
      <c r="B1082" t="s">
        <v>263</v>
      </c>
      <c r="C1082" t="s">
        <v>264</v>
      </c>
      <c r="D1082" t="s">
        <v>32</v>
      </c>
      <c r="E1082" t="s">
        <v>259</v>
      </c>
      <c r="F1082">
        <v>0.8126149736756787</v>
      </c>
      <c r="G1082">
        <v>0.97522994735135748</v>
      </c>
      <c r="H1082">
        <v>0.65</v>
      </c>
      <c r="I1082">
        <v>98300466000</v>
      </c>
      <c r="J1082">
        <v>38.65</v>
      </c>
      <c r="K1082">
        <v>1</v>
      </c>
    </row>
    <row r="1083" spans="1:11" x14ac:dyDescent="0.25">
      <c r="A1083" t="s">
        <v>357</v>
      </c>
      <c r="B1083" t="s">
        <v>340</v>
      </c>
      <c r="C1083" t="s">
        <v>341</v>
      </c>
      <c r="D1083" t="s">
        <v>14</v>
      </c>
      <c r="E1083" t="s">
        <v>74</v>
      </c>
      <c r="F1083">
        <v>0.78859405081982503</v>
      </c>
      <c r="G1083">
        <v>0.92718810163964993</v>
      </c>
      <c r="H1083">
        <v>0.65</v>
      </c>
      <c r="I1083">
        <v>2081951400</v>
      </c>
      <c r="J1083">
        <v>38.9</v>
      </c>
      <c r="K1083">
        <v>2</v>
      </c>
    </row>
    <row r="1084" spans="1:11" x14ac:dyDescent="0.25">
      <c r="A1084" t="s">
        <v>357</v>
      </c>
      <c r="B1084" t="s">
        <v>261</v>
      </c>
      <c r="C1084" t="s">
        <v>262</v>
      </c>
      <c r="D1084" t="s">
        <v>32</v>
      </c>
      <c r="E1084" t="s">
        <v>42</v>
      </c>
      <c r="F1084">
        <v>0.73188311324027788</v>
      </c>
      <c r="G1084">
        <v>0.96376622648055588</v>
      </c>
      <c r="H1084">
        <v>0.5</v>
      </c>
      <c r="I1084">
        <v>115830120800</v>
      </c>
      <c r="J1084">
        <v>76.099999999999994</v>
      </c>
      <c r="K1084">
        <v>3</v>
      </c>
    </row>
    <row r="1085" spans="1:11" x14ac:dyDescent="0.25">
      <c r="A1085" t="s">
        <v>357</v>
      </c>
      <c r="B1085" t="s">
        <v>348</v>
      </c>
      <c r="C1085" t="s">
        <v>349</v>
      </c>
      <c r="D1085" t="s">
        <v>32</v>
      </c>
      <c r="E1085" t="s">
        <v>26</v>
      </c>
      <c r="F1085">
        <v>0.71946613565315098</v>
      </c>
      <c r="G1085">
        <v>0.93893227130630197</v>
      </c>
      <c r="H1085">
        <v>0.5</v>
      </c>
      <c r="I1085">
        <v>156613181000</v>
      </c>
      <c r="J1085">
        <v>15.4</v>
      </c>
      <c r="K1085">
        <v>4</v>
      </c>
    </row>
    <row r="1086" spans="1:11" x14ac:dyDescent="0.25">
      <c r="A1086" t="s">
        <v>357</v>
      </c>
      <c r="B1086" t="s">
        <v>211</v>
      </c>
      <c r="C1086" t="s">
        <v>212</v>
      </c>
      <c r="D1086" t="s">
        <v>32</v>
      </c>
      <c r="E1086" t="s">
        <v>33</v>
      </c>
      <c r="F1086">
        <v>0.66249777755415096</v>
      </c>
      <c r="G1086">
        <v>0.97499555510830205</v>
      </c>
      <c r="H1086">
        <v>0.35</v>
      </c>
      <c r="I1086">
        <v>7861562280</v>
      </c>
      <c r="J1086">
        <v>13</v>
      </c>
      <c r="K1086">
        <v>5</v>
      </c>
    </row>
    <row r="1087" spans="1:11" x14ac:dyDescent="0.25">
      <c r="A1087" t="s">
        <v>357</v>
      </c>
      <c r="B1087" t="s">
        <v>342</v>
      </c>
      <c r="C1087" t="s">
        <v>343</v>
      </c>
      <c r="D1087" t="s">
        <v>32</v>
      </c>
      <c r="E1087" t="s">
        <v>292</v>
      </c>
      <c r="F1087">
        <v>0.66240400106675534</v>
      </c>
      <c r="G1087">
        <v>0.87480800213351062</v>
      </c>
      <c r="H1087">
        <v>0.45</v>
      </c>
      <c r="I1087">
        <v>17395545300</v>
      </c>
      <c r="J1087">
        <v>38.450000000000003</v>
      </c>
      <c r="K1087">
        <v>6</v>
      </c>
    </row>
    <row r="1088" spans="1:11" x14ac:dyDescent="0.25">
      <c r="A1088" t="s">
        <v>357</v>
      </c>
      <c r="B1088" t="s">
        <v>179</v>
      </c>
      <c r="C1088" t="s">
        <v>180</v>
      </c>
      <c r="D1088" t="s">
        <v>32</v>
      </c>
      <c r="E1088" t="s">
        <v>124</v>
      </c>
      <c r="F1088">
        <v>0.64757591812198656</v>
      </c>
      <c r="G1088">
        <v>0.94515183624397314</v>
      </c>
      <c r="H1088">
        <v>0.35</v>
      </c>
      <c r="I1088">
        <v>356738873300</v>
      </c>
      <c r="J1088">
        <v>32</v>
      </c>
      <c r="K1088">
        <v>7</v>
      </c>
    </row>
    <row r="1089" spans="1:11" x14ac:dyDescent="0.25">
      <c r="A1089" t="s">
        <v>357</v>
      </c>
      <c r="B1089" t="s">
        <v>287</v>
      </c>
      <c r="C1089" t="s">
        <v>288</v>
      </c>
      <c r="D1089" t="s">
        <v>14</v>
      </c>
      <c r="E1089" t="s">
        <v>59</v>
      </c>
      <c r="F1089">
        <v>0.64301101237116665</v>
      </c>
      <c r="G1089">
        <v>0.83602202474233334</v>
      </c>
      <c r="H1089">
        <v>0.45</v>
      </c>
      <c r="I1089">
        <v>49182855400</v>
      </c>
      <c r="J1089">
        <v>23.4</v>
      </c>
      <c r="K1089">
        <v>8</v>
      </c>
    </row>
    <row r="1090" spans="1:11" x14ac:dyDescent="0.25">
      <c r="A1090" t="s">
        <v>357</v>
      </c>
      <c r="B1090" t="s">
        <v>278</v>
      </c>
      <c r="C1090" t="s">
        <v>279</v>
      </c>
      <c r="D1090" t="s">
        <v>32</v>
      </c>
      <c r="E1090" t="s">
        <v>23</v>
      </c>
      <c r="F1090">
        <v>0.64194254915141502</v>
      </c>
      <c r="G1090">
        <v>0.93388509830282995</v>
      </c>
      <c r="H1090">
        <v>0.35</v>
      </c>
      <c r="I1090">
        <v>7972636680</v>
      </c>
      <c r="J1090">
        <v>11.1</v>
      </c>
      <c r="K1090">
        <v>9</v>
      </c>
    </row>
    <row r="1091" spans="1:11" x14ac:dyDescent="0.25">
      <c r="A1091" t="s">
        <v>357</v>
      </c>
      <c r="B1091" t="s">
        <v>110</v>
      </c>
      <c r="C1091" t="s">
        <v>111</v>
      </c>
      <c r="D1091" t="s">
        <v>32</v>
      </c>
      <c r="E1091" t="s">
        <v>112</v>
      </c>
      <c r="F1091">
        <v>0.63160654247243431</v>
      </c>
      <c r="G1091">
        <v>0.86321308494486859</v>
      </c>
      <c r="H1091">
        <v>0.4</v>
      </c>
      <c r="I1091">
        <v>3093434260</v>
      </c>
      <c r="J1091">
        <v>5.18</v>
      </c>
      <c r="K1091">
        <v>10</v>
      </c>
    </row>
    <row r="1092" spans="1:11" x14ac:dyDescent="0.25">
      <c r="A1092" t="s">
        <v>357</v>
      </c>
      <c r="B1092" t="s">
        <v>335</v>
      </c>
      <c r="C1092" t="s">
        <v>336</v>
      </c>
      <c r="D1092" t="s">
        <v>18</v>
      </c>
      <c r="E1092" t="s">
        <v>33</v>
      </c>
      <c r="F1092">
        <v>0.62351519111926068</v>
      </c>
      <c r="G1092">
        <v>0.69703038223852132</v>
      </c>
      <c r="H1092">
        <v>0.55000000000000004</v>
      </c>
      <c r="I1092">
        <v>3561125600</v>
      </c>
      <c r="J1092">
        <v>6.9</v>
      </c>
      <c r="K1092">
        <v>11</v>
      </c>
    </row>
    <row r="1093" spans="1:11" x14ac:dyDescent="0.25">
      <c r="A1093" t="s">
        <v>357</v>
      </c>
      <c r="B1093" t="s">
        <v>237</v>
      </c>
      <c r="C1093" t="s">
        <v>238</v>
      </c>
      <c r="D1093" t="s">
        <v>32</v>
      </c>
      <c r="E1093" t="s">
        <v>33</v>
      </c>
      <c r="F1093">
        <v>0.62290776978053541</v>
      </c>
      <c r="G1093">
        <v>0.94581553956107078</v>
      </c>
      <c r="H1093">
        <v>0.3</v>
      </c>
      <c r="I1093">
        <v>628322898000</v>
      </c>
      <c r="J1093">
        <v>68.099999999999994</v>
      </c>
      <c r="K1093">
        <v>12</v>
      </c>
    </row>
    <row r="1094" spans="1:11" x14ac:dyDescent="0.25">
      <c r="A1094" t="s">
        <v>357</v>
      </c>
      <c r="B1094" t="s">
        <v>188</v>
      </c>
      <c r="C1094" t="s">
        <v>189</v>
      </c>
      <c r="D1094" t="s">
        <v>32</v>
      </c>
      <c r="E1094" t="s">
        <v>29</v>
      </c>
      <c r="F1094">
        <v>0.62055824942511673</v>
      </c>
      <c r="G1094">
        <v>0.7911164988502335</v>
      </c>
      <c r="H1094">
        <v>0.45</v>
      </c>
      <c r="I1094">
        <v>7109626760</v>
      </c>
      <c r="J1094">
        <v>12</v>
      </c>
      <c r="K1094">
        <v>13</v>
      </c>
    </row>
    <row r="1095" spans="1:11" x14ac:dyDescent="0.25">
      <c r="A1095" t="s">
        <v>357</v>
      </c>
      <c r="B1095" t="s">
        <v>162</v>
      </c>
      <c r="C1095" t="s">
        <v>163</v>
      </c>
      <c r="D1095" t="s">
        <v>32</v>
      </c>
      <c r="E1095" t="s">
        <v>29</v>
      </c>
      <c r="F1095">
        <v>0.62033920267090903</v>
      </c>
      <c r="G1095">
        <v>0.74067840534181806</v>
      </c>
      <c r="H1095">
        <v>0.5</v>
      </c>
      <c r="I1095">
        <v>555116147800</v>
      </c>
      <c r="J1095">
        <v>13.55</v>
      </c>
      <c r="K1095">
        <v>14</v>
      </c>
    </row>
    <row r="1096" spans="1:11" x14ac:dyDescent="0.25">
      <c r="A1096" t="s">
        <v>357</v>
      </c>
      <c r="B1096" t="s">
        <v>82</v>
      </c>
      <c r="C1096" t="s">
        <v>83</v>
      </c>
      <c r="D1096" t="s">
        <v>32</v>
      </c>
      <c r="E1096" t="s">
        <v>39</v>
      </c>
      <c r="F1096">
        <v>0.62018692756091975</v>
      </c>
      <c r="G1096">
        <v>0.79037385512183955</v>
      </c>
      <c r="H1096">
        <v>0.45</v>
      </c>
      <c r="I1096">
        <v>38567239600</v>
      </c>
      <c r="J1096">
        <v>17.850000000000001</v>
      </c>
      <c r="K1096">
        <v>15</v>
      </c>
    </row>
    <row r="1097" spans="1:11" x14ac:dyDescent="0.25">
      <c r="A1097" t="s">
        <v>357</v>
      </c>
      <c r="B1097" t="s">
        <v>351</v>
      </c>
      <c r="C1097" t="s">
        <v>352</v>
      </c>
      <c r="D1097" t="s">
        <v>32</v>
      </c>
      <c r="E1097" t="s">
        <v>353</v>
      </c>
      <c r="F1097">
        <v>0.59692924964752181</v>
      </c>
      <c r="G1097">
        <v>0.79385849929504371</v>
      </c>
      <c r="H1097">
        <v>0.4</v>
      </c>
      <c r="I1097">
        <v>10610692600</v>
      </c>
      <c r="J1097">
        <v>24.68</v>
      </c>
      <c r="K1097">
        <v>16</v>
      </c>
    </row>
    <row r="1098" spans="1:11" x14ac:dyDescent="0.25">
      <c r="A1098" t="s">
        <v>357</v>
      </c>
      <c r="B1098" t="s">
        <v>47</v>
      </c>
      <c r="C1098" t="s">
        <v>48</v>
      </c>
      <c r="D1098" t="s">
        <v>14</v>
      </c>
      <c r="E1098" t="s">
        <v>29</v>
      </c>
      <c r="F1098">
        <v>0.59056857211406355</v>
      </c>
      <c r="G1098">
        <v>0.88113714422812706</v>
      </c>
      <c r="H1098">
        <v>0.3</v>
      </c>
      <c r="I1098">
        <v>5295859600</v>
      </c>
      <c r="J1098">
        <v>9</v>
      </c>
      <c r="K1098">
        <v>17</v>
      </c>
    </row>
    <row r="1099" spans="1:11" x14ac:dyDescent="0.25">
      <c r="A1099" t="s">
        <v>357</v>
      </c>
      <c r="B1099" t="s">
        <v>307</v>
      </c>
      <c r="C1099" t="s">
        <v>308</v>
      </c>
      <c r="D1099" t="s">
        <v>32</v>
      </c>
      <c r="E1099" t="s">
        <v>42</v>
      </c>
      <c r="F1099">
        <v>0.57146028461110587</v>
      </c>
      <c r="G1099">
        <v>0.89292056922221186</v>
      </c>
      <c r="H1099">
        <v>0.25</v>
      </c>
      <c r="I1099">
        <v>83017113000</v>
      </c>
      <c r="J1099">
        <v>21.95</v>
      </c>
      <c r="K1099">
        <v>18</v>
      </c>
    </row>
    <row r="1100" spans="1:11" x14ac:dyDescent="0.25">
      <c r="A1100" t="s">
        <v>357</v>
      </c>
      <c r="B1100" t="s">
        <v>266</v>
      </c>
      <c r="C1100" t="s">
        <v>267</v>
      </c>
      <c r="D1100" t="s">
        <v>32</v>
      </c>
      <c r="E1100" t="s">
        <v>59</v>
      </c>
      <c r="F1100">
        <v>0.55887549438088979</v>
      </c>
      <c r="G1100">
        <v>0.8677509887617797</v>
      </c>
      <c r="H1100">
        <v>0.25</v>
      </c>
      <c r="I1100">
        <v>27399447400</v>
      </c>
      <c r="J1100">
        <v>46.6</v>
      </c>
      <c r="K1100">
        <v>19</v>
      </c>
    </row>
    <row r="1101" spans="1:11" x14ac:dyDescent="0.25">
      <c r="A1101" t="s">
        <v>357</v>
      </c>
      <c r="B1101" t="s">
        <v>223</v>
      </c>
      <c r="C1101" t="s">
        <v>224</v>
      </c>
      <c r="D1101" t="s">
        <v>32</v>
      </c>
      <c r="E1101" t="s">
        <v>26</v>
      </c>
      <c r="F1101">
        <v>0.55761712035075994</v>
      </c>
      <c r="G1101">
        <v>0.96523424070151997</v>
      </c>
      <c r="H1101">
        <v>0.15</v>
      </c>
      <c r="I1101">
        <v>45725308900</v>
      </c>
      <c r="J1101">
        <v>61</v>
      </c>
      <c r="K1101">
        <v>20</v>
      </c>
    </row>
    <row r="1102" spans="1:11" x14ac:dyDescent="0.25">
      <c r="A1102" t="s">
        <v>358</v>
      </c>
      <c r="B1102" t="s">
        <v>340</v>
      </c>
      <c r="C1102" t="s">
        <v>341</v>
      </c>
      <c r="D1102" t="s">
        <v>14</v>
      </c>
      <c r="E1102" t="s">
        <v>74</v>
      </c>
      <c r="F1102">
        <v>0.78578276051239881</v>
      </c>
      <c r="G1102">
        <v>0.92156552102479761</v>
      </c>
      <c r="H1102">
        <v>0.65</v>
      </c>
      <c r="I1102">
        <v>2080945000</v>
      </c>
      <c r="J1102">
        <v>39</v>
      </c>
      <c r="K1102">
        <v>1</v>
      </c>
    </row>
    <row r="1103" spans="1:11" x14ac:dyDescent="0.25">
      <c r="A1103" t="s">
        <v>358</v>
      </c>
      <c r="B1103" t="s">
        <v>261</v>
      </c>
      <c r="C1103" t="s">
        <v>262</v>
      </c>
      <c r="D1103" t="s">
        <v>32</v>
      </c>
      <c r="E1103" t="s">
        <v>42</v>
      </c>
      <c r="F1103">
        <v>0.78354420970036753</v>
      </c>
      <c r="G1103">
        <v>0.96708841940073498</v>
      </c>
      <c r="H1103">
        <v>0.6</v>
      </c>
      <c r="I1103">
        <v>116148736400</v>
      </c>
      <c r="J1103">
        <v>79</v>
      </c>
      <c r="K1103">
        <v>2</v>
      </c>
    </row>
    <row r="1104" spans="1:11" x14ac:dyDescent="0.25">
      <c r="A1104" t="s">
        <v>358</v>
      </c>
      <c r="B1104" t="s">
        <v>348</v>
      </c>
      <c r="C1104" t="s">
        <v>349</v>
      </c>
      <c r="D1104" t="s">
        <v>32</v>
      </c>
      <c r="E1104" t="s">
        <v>26</v>
      </c>
      <c r="F1104">
        <v>0.75537920483856058</v>
      </c>
      <c r="G1104">
        <v>0.91075840967712107</v>
      </c>
      <c r="H1104">
        <v>0.6</v>
      </c>
      <c r="I1104">
        <v>159184097300</v>
      </c>
      <c r="J1104">
        <v>15.15</v>
      </c>
      <c r="K1104">
        <v>3</v>
      </c>
    </row>
    <row r="1105" spans="1:11" x14ac:dyDescent="0.25">
      <c r="A1105" t="s">
        <v>358</v>
      </c>
      <c r="B1105" t="s">
        <v>110</v>
      </c>
      <c r="C1105" t="s">
        <v>111</v>
      </c>
      <c r="D1105" t="s">
        <v>32</v>
      </c>
      <c r="E1105" t="s">
        <v>112</v>
      </c>
      <c r="F1105">
        <v>0.73931271626226613</v>
      </c>
      <c r="G1105">
        <v>0.8786254325245324</v>
      </c>
      <c r="H1105">
        <v>0.6</v>
      </c>
      <c r="I1105">
        <v>3036667540</v>
      </c>
      <c r="J1105">
        <v>5.25</v>
      </c>
      <c r="K1105">
        <v>4</v>
      </c>
    </row>
    <row r="1106" spans="1:11" x14ac:dyDescent="0.25">
      <c r="A1106" t="s">
        <v>358</v>
      </c>
      <c r="B1106" t="s">
        <v>88</v>
      </c>
      <c r="C1106" t="s">
        <v>89</v>
      </c>
      <c r="D1106" t="s">
        <v>32</v>
      </c>
      <c r="E1106" t="s">
        <v>33</v>
      </c>
      <c r="F1106">
        <v>0.68231161944908902</v>
      </c>
      <c r="G1106">
        <v>0.96462323889817791</v>
      </c>
      <c r="H1106">
        <v>0.4</v>
      </c>
      <c r="I1106">
        <v>73627865440</v>
      </c>
      <c r="J1106">
        <v>13.9</v>
      </c>
      <c r="K1106">
        <v>5</v>
      </c>
    </row>
    <row r="1107" spans="1:11" x14ac:dyDescent="0.25">
      <c r="A1107" t="s">
        <v>358</v>
      </c>
      <c r="B1107" t="s">
        <v>179</v>
      </c>
      <c r="C1107" t="s">
        <v>180</v>
      </c>
      <c r="D1107" t="s">
        <v>32</v>
      </c>
      <c r="E1107" t="s">
        <v>124</v>
      </c>
      <c r="F1107">
        <v>0.68169515976197181</v>
      </c>
      <c r="G1107">
        <v>0.96339031952394372</v>
      </c>
      <c r="H1107">
        <v>0.4</v>
      </c>
      <c r="I1107">
        <v>363139438800</v>
      </c>
      <c r="J1107">
        <v>33.700000000000003</v>
      </c>
      <c r="K1107">
        <v>6</v>
      </c>
    </row>
    <row r="1108" spans="1:11" x14ac:dyDescent="0.25">
      <c r="A1108" t="s">
        <v>358</v>
      </c>
      <c r="B1108" t="s">
        <v>263</v>
      </c>
      <c r="C1108" t="s">
        <v>264</v>
      </c>
      <c r="D1108" t="s">
        <v>32</v>
      </c>
      <c r="E1108" t="s">
        <v>259</v>
      </c>
      <c r="F1108">
        <v>0.6706239355470629</v>
      </c>
      <c r="G1108">
        <v>0.94124787109412567</v>
      </c>
      <c r="H1108">
        <v>0.4</v>
      </c>
      <c r="I1108">
        <v>99420804400</v>
      </c>
      <c r="J1108">
        <v>38.5</v>
      </c>
      <c r="K1108">
        <v>7</v>
      </c>
    </row>
    <row r="1109" spans="1:11" x14ac:dyDescent="0.25">
      <c r="A1109" t="s">
        <v>358</v>
      </c>
      <c r="B1109" t="s">
        <v>287</v>
      </c>
      <c r="C1109" t="s">
        <v>288</v>
      </c>
      <c r="D1109" t="s">
        <v>14</v>
      </c>
      <c r="E1109" t="s">
        <v>59</v>
      </c>
      <c r="F1109">
        <v>0.66181022649167887</v>
      </c>
      <c r="G1109">
        <v>0.92362045298335771</v>
      </c>
      <c r="H1109">
        <v>0.4</v>
      </c>
      <c r="I1109">
        <v>50571421000</v>
      </c>
      <c r="J1109">
        <v>24.3</v>
      </c>
      <c r="K1109">
        <v>8</v>
      </c>
    </row>
    <row r="1110" spans="1:11" x14ac:dyDescent="0.25">
      <c r="A1110" t="s">
        <v>358</v>
      </c>
      <c r="B1110" t="s">
        <v>211</v>
      </c>
      <c r="C1110" t="s">
        <v>212</v>
      </c>
      <c r="D1110" t="s">
        <v>32</v>
      </c>
      <c r="E1110" t="s">
        <v>33</v>
      </c>
      <c r="F1110">
        <v>0.6512184701520578</v>
      </c>
      <c r="G1110">
        <v>0.95243694030411552</v>
      </c>
      <c r="H1110">
        <v>0.35</v>
      </c>
      <c r="I1110">
        <v>7518108280</v>
      </c>
      <c r="J1110">
        <v>13</v>
      </c>
      <c r="K1110">
        <v>9</v>
      </c>
    </row>
    <row r="1111" spans="1:11" x14ac:dyDescent="0.25">
      <c r="A1111" t="s">
        <v>358</v>
      </c>
      <c r="B1111" t="s">
        <v>307</v>
      </c>
      <c r="C1111" t="s">
        <v>308</v>
      </c>
      <c r="D1111" t="s">
        <v>32</v>
      </c>
      <c r="E1111" t="s">
        <v>42</v>
      </c>
      <c r="F1111">
        <v>0.64240439048655607</v>
      </c>
      <c r="G1111">
        <v>0.83480878097311206</v>
      </c>
      <c r="H1111">
        <v>0.45</v>
      </c>
      <c r="I1111">
        <v>84951517800</v>
      </c>
      <c r="J1111">
        <v>22</v>
      </c>
      <c r="K1111">
        <v>10</v>
      </c>
    </row>
    <row r="1112" spans="1:11" x14ac:dyDescent="0.25">
      <c r="A1112" t="s">
        <v>358</v>
      </c>
      <c r="B1112" t="s">
        <v>237</v>
      </c>
      <c r="C1112" t="s">
        <v>238</v>
      </c>
      <c r="D1112" t="s">
        <v>32</v>
      </c>
      <c r="E1112" t="s">
        <v>33</v>
      </c>
      <c r="F1112">
        <v>0.6388592559287456</v>
      </c>
      <c r="G1112">
        <v>0.9277185118574911</v>
      </c>
      <c r="H1112">
        <v>0.35</v>
      </c>
      <c r="I1112">
        <v>627444896400</v>
      </c>
      <c r="J1112">
        <v>68.8</v>
      </c>
      <c r="K1112">
        <v>11</v>
      </c>
    </row>
    <row r="1113" spans="1:11" x14ac:dyDescent="0.25">
      <c r="A1113" t="s">
        <v>358</v>
      </c>
      <c r="B1113" t="s">
        <v>335</v>
      </c>
      <c r="C1113" t="s">
        <v>336</v>
      </c>
      <c r="D1113" t="s">
        <v>18</v>
      </c>
      <c r="E1113" t="s">
        <v>33</v>
      </c>
      <c r="F1113">
        <v>0.59564971155642521</v>
      </c>
      <c r="G1113">
        <v>0.64129942311285026</v>
      </c>
      <c r="H1113">
        <v>0.55000000000000004</v>
      </c>
      <c r="I1113">
        <v>3623272600</v>
      </c>
      <c r="J1113">
        <v>6.7</v>
      </c>
      <c r="K1113">
        <v>12</v>
      </c>
    </row>
    <row r="1114" spans="1:11" x14ac:dyDescent="0.25">
      <c r="A1114" t="s">
        <v>358</v>
      </c>
      <c r="B1114" t="s">
        <v>342</v>
      </c>
      <c r="C1114" t="s">
        <v>343</v>
      </c>
      <c r="D1114" t="s">
        <v>32</v>
      </c>
      <c r="E1114" t="s">
        <v>292</v>
      </c>
      <c r="F1114">
        <v>0.57987791404592615</v>
      </c>
      <c r="G1114">
        <v>0.85975582809185236</v>
      </c>
      <c r="H1114">
        <v>0.3</v>
      </c>
      <c r="I1114">
        <v>17634201500</v>
      </c>
      <c r="J1114">
        <v>38.950000000000003</v>
      </c>
      <c r="K1114">
        <v>13</v>
      </c>
    </row>
    <row r="1115" spans="1:11" x14ac:dyDescent="0.25">
      <c r="A1115" t="s">
        <v>358</v>
      </c>
      <c r="B1115" t="s">
        <v>24</v>
      </c>
      <c r="C1115" t="s">
        <v>25</v>
      </c>
      <c r="D1115" t="s">
        <v>18</v>
      </c>
      <c r="E1115" t="s">
        <v>26</v>
      </c>
      <c r="F1115">
        <v>0.57534466791778893</v>
      </c>
      <c r="G1115">
        <v>0.90068933583557775</v>
      </c>
      <c r="H1115">
        <v>0.25</v>
      </c>
      <c r="I1115">
        <v>10311577000</v>
      </c>
      <c r="J1115">
        <v>15.5</v>
      </c>
      <c r="K1115">
        <v>14</v>
      </c>
    </row>
    <row r="1116" spans="1:11" x14ac:dyDescent="0.25">
      <c r="A1116" t="s">
        <v>358</v>
      </c>
      <c r="B1116" t="s">
        <v>82</v>
      </c>
      <c r="C1116" t="s">
        <v>83</v>
      </c>
      <c r="D1116" t="s">
        <v>32</v>
      </c>
      <c r="E1116" t="s">
        <v>39</v>
      </c>
      <c r="F1116">
        <v>0.57229372329840122</v>
      </c>
      <c r="G1116">
        <v>0.79458744659680247</v>
      </c>
      <c r="H1116">
        <v>0.35</v>
      </c>
      <c r="I1116">
        <v>37881993900</v>
      </c>
      <c r="J1116">
        <v>17.95</v>
      </c>
      <c r="K1116">
        <v>15</v>
      </c>
    </row>
    <row r="1117" spans="1:11" x14ac:dyDescent="0.25">
      <c r="A1117" t="s">
        <v>358</v>
      </c>
      <c r="B1117" t="s">
        <v>75</v>
      </c>
      <c r="C1117" t="s">
        <v>76</v>
      </c>
      <c r="D1117" t="s">
        <v>18</v>
      </c>
      <c r="E1117" t="s">
        <v>33</v>
      </c>
      <c r="F1117">
        <v>0.56431518355311261</v>
      </c>
      <c r="G1117">
        <v>0.62863036710622511</v>
      </c>
      <c r="H1117">
        <v>0.5</v>
      </c>
      <c r="I1117">
        <v>6823215600</v>
      </c>
      <c r="J1117">
        <v>5.0999999999999996</v>
      </c>
      <c r="K1117">
        <v>16</v>
      </c>
    </row>
    <row r="1118" spans="1:11" x14ac:dyDescent="0.25">
      <c r="A1118" t="s">
        <v>358</v>
      </c>
      <c r="B1118" t="s">
        <v>345</v>
      </c>
      <c r="C1118" t="s">
        <v>346</v>
      </c>
      <c r="D1118" t="s">
        <v>32</v>
      </c>
      <c r="E1118" t="s">
        <v>23</v>
      </c>
      <c r="F1118">
        <v>0.5626729335533005</v>
      </c>
      <c r="G1118">
        <v>0.52534586710660092</v>
      </c>
      <c r="H1118">
        <v>0.6</v>
      </c>
      <c r="I1118">
        <v>117124825600</v>
      </c>
      <c r="J1118">
        <v>16.25</v>
      </c>
      <c r="K1118">
        <v>17</v>
      </c>
    </row>
    <row r="1119" spans="1:11" x14ac:dyDescent="0.25">
      <c r="A1119" t="s">
        <v>358</v>
      </c>
      <c r="B1119" t="s">
        <v>171</v>
      </c>
      <c r="C1119" t="s">
        <v>172</v>
      </c>
      <c r="D1119" t="s">
        <v>32</v>
      </c>
      <c r="E1119" t="s">
        <v>33</v>
      </c>
      <c r="F1119">
        <v>0.54687013775475679</v>
      </c>
      <c r="G1119">
        <v>0.49374027550951349</v>
      </c>
      <c r="H1119">
        <v>0.6</v>
      </c>
      <c r="I1119">
        <v>11912254420</v>
      </c>
      <c r="J1119">
        <v>6.7</v>
      </c>
      <c r="K1119">
        <v>18</v>
      </c>
    </row>
    <row r="1120" spans="1:11" x14ac:dyDescent="0.25">
      <c r="A1120" t="s">
        <v>358</v>
      </c>
      <c r="B1120" t="s">
        <v>229</v>
      </c>
      <c r="C1120" t="s">
        <v>230</v>
      </c>
      <c r="D1120" t="s">
        <v>18</v>
      </c>
      <c r="E1120" t="s">
        <v>29</v>
      </c>
      <c r="F1120">
        <v>0.54334101962913373</v>
      </c>
      <c r="G1120">
        <v>0.98668203925826747</v>
      </c>
      <c r="H1120">
        <v>0.1</v>
      </c>
      <c r="I1120">
        <v>29611647800</v>
      </c>
      <c r="J1120">
        <v>25.5</v>
      </c>
      <c r="K1120">
        <v>19</v>
      </c>
    </row>
    <row r="1121" spans="1:11" x14ac:dyDescent="0.25">
      <c r="A1121" t="s">
        <v>358</v>
      </c>
      <c r="B1121" t="s">
        <v>186</v>
      </c>
      <c r="C1121" t="s">
        <v>187</v>
      </c>
      <c r="D1121" t="s">
        <v>32</v>
      </c>
      <c r="E1121" t="s">
        <v>74</v>
      </c>
      <c r="F1121">
        <v>0.53484826265796082</v>
      </c>
      <c r="G1121">
        <v>0.96969652531592154</v>
      </c>
      <c r="H1121">
        <v>0.1</v>
      </c>
      <c r="I1121">
        <v>14244494200</v>
      </c>
      <c r="J1121">
        <v>13.5</v>
      </c>
      <c r="K1121">
        <v>20</v>
      </c>
    </row>
    <row r="1122" spans="1:11" x14ac:dyDescent="0.25">
      <c r="A1122" t="s">
        <v>359</v>
      </c>
      <c r="B1122" t="s">
        <v>261</v>
      </c>
      <c r="C1122" t="s">
        <v>262</v>
      </c>
      <c r="D1122" t="s">
        <v>32</v>
      </c>
      <c r="E1122" t="s">
        <v>42</v>
      </c>
      <c r="F1122">
        <v>0.78213464187269244</v>
      </c>
      <c r="G1122">
        <v>0.96426928374538479</v>
      </c>
      <c r="H1122">
        <v>0.6</v>
      </c>
      <c r="I1122">
        <v>115944831600</v>
      </c>
      <c r="J1122">
        <v>78.900000000000006</v>
      </c>
      <c r="K1122">
        <v>1</v>
      </c>
    </row>
    <row r="1123" spans="1:11" x14ac:dyDescent="0.25">
      <c r="A1123" t="s">
        <v>359</v>
      </c>
      <c r="B1123" t="s">
        <v>348</v>
      </c>
      <c r="C1123" t="s">
        <v>349</v>
      </c>
      <c r="D1123" t="s">
        <v>32</v>
      </c>
      <c r="E1123" t="s">
        <v>26</v>
      </c>
      <c r="F1123">
        <v>0.77754527855043354</v>
      </c>
      <c r="G1123">
        <v>0.95509055710086721</v>
      </c>
      <c r="H1123">
        <v>0.6</v>
      </c>
      <c r="I1123">
        <v>165791920100</v>
      </c>
      <c r="J1123">
        <v>15.7</v>
      </c>
      <c r="K1123">
        <v>2</v>
      </c>
    </row>
    <row r="1124" spans="1:11" x14ac:dyDescent="0.25">
      <c r="A1124" t="s">
        <v>359</v>
      </c>
      <c r="B1124" t="s">
        <v>88</v>
      </c>
      <c r="C1124" t="s">
        <v>89</v>
      </c>
      <c r="D1124" t="s">
        <v>32</v>
      </c>
      <c r="E1124" t="s">
        <v>33</v>
      </c>
      <c r="F1124">
        <v>0.76427643346923357</v>
      </c>
      <c r="G1124">
        <v>0.97855286693846721</v>
      </c>
      <c r="H1124">
        <v>0.55000000000000004</v>
      </c>
      <c r="I1124">
        <v>77955916480</v>
      </c>
      <c r="J1124">
        <v>14.6</v>
      </c>
      <c r="K1124">
        <v>3</v>
      </c>
    </row>
    <row r="1125" spans="1:11" x14ac:dyDescent="0.25">
      <c r="A1125" t="s">
        <v>359</v>
      </c>
      <c r="B1125" t="s">
        <v>110</v>
      </c>
      <c r="C1125" t="s">
        <v>111</v>
      </c>
      <c r="D1125" t="s">
        <v>32</v>
      </c>
      <c r="E1125" t="s">
        <v>112</v>
      </c>
      <c r="F1125">
        <v>0.76281950742940619</v>
      </c>
      <c r="G1125">
        <v>0.87563901485881235</v>
      </c>
      <c r="H1125">
        <v>0.65</v>
      </c>
      <c r="I1125">
        <v>3051723400</v>
      </c>
      <c r="J1125">
        <v>5.3</v>
      </c>
      <c r="K1125">
        <v>4</v>
      </c>
    </row>
    <row r="1126" spans="1:11" x14ac:dyDescent="0.25">
      <c r="A1126" t="s">
        <v>359</v>
      </c>
      <c r="B1126" t="s">
        <v>340</v>
      </c>
      <c r="C1126" t="s">
        <v>341</v>
      </c>
      <c r="D1126" t="s">
        <v>14</v>
      </c>
      <c r="E1126" t="s">
        <v>74</v>
      </c>
      <c r="F1126">
        <v>0.73574612925511895</v>
      </c>
      <c r="G1126">
        <v>0.87149225851023793</v>
      </c>
      <c r="H1126">
        <v>0.6</v>
      </c>
      <c r="I1126">
        <v>2090528200</v>
      </c>
      <c r="J1126">
        <v>38.9</v>
      </c>
      <c r="K1126">
        <v>5</v>
      </c>
    </row>
    <row r="1127" spans="1:11" x14ac:dyDescent="0.25">
      <c r="A1127" t="s">
        <v>359</v>
      </c>
      <c r="B1127" t="s">
        <v>307</v>
      </c>
      <c r="C1127" t="s">
        <v>308</v>
      </c>
      <c r="D1127" t="s">
        <v>32</v>
      </c>
      <c r="E1127" t="s">
        <v>42</v>
      </c>
      <c r="F1127">
        <v>0.67230708099175629</v>
      </c>
      <c r="G1127">
        <v>0.94461416198351256</v>
      </c>
      <c r="H1127">
        <v>0.4</v>
      </c>
      <c r="I1127">
        <v>92814664100</v>
      </c>
      <c r="J1127">
        <v>23.15</v>
      </c>
      <c r="K1127">
        <v>6</v>
      </c>
    </row>
    <row r="1128" spans="1:11" x14ac:dyDescent="0.25">
      <c r="A1128" t="s">
        <v>359</v>
      </c>
      <c r="B1128" t="s">
        <v>211</v>
      </c>
      <c r="C1128" t="s">
        <v>212</v>
      </c>
      <c r="D1128" t="s">
        <v>32</v>
      </c>
      <c r="E1128" t="s">
        <v>33</v>
      </c>
      <c r="F1128">
        <v>0.66972428521513083</v>
      </c>
      <c r="G1128">
        <v>0.98944857043026169</v>
      </c>
      <c r="H1128">
        <v>0.35</v>
      </c>
      <c r="I1128">
        <v>7778016980</v>
      </c>
      <c r="J1128">
        <v>13.9</v>
      </c>
      <c r="K1128">
        <v>7</v>
      </c>
    </row>
    <row r="1129" spans="1:11" x14ac:dyDescent="0.25">
      <c r="A1129" t="s">
        <v>359</v>
      </c>
      <c r="B1129" t="s">
        <v>179</v>
      </c>
      <c r="C1129" t="s">
        <v>180</v>
      </c>
      <c r="D1129" t="s">
        <v>32</v>
      </c>
      <c r="E1129" t="s">
        <v>124</v>
      </c>
      <c r="F1129">
        <v>0.66026299784342268</v>
      </c>
      <c r="G1129">
        <v>0.9705259956868455</v>
      </c>
      <c r="H1129">
        <v>0.35</v>
      </c>
      <c r="I1129">
        <v>370691962200</v>
      </c>
      <c r="J1129">
        <v>35.1</v>
      </c>
      <c r="K1129">
        <v>8</v>
      </c>
    </row>
    <row r="1130" spans="1:11" x14ac:dyDescent="0.25">
      <c r="A1130" t="s">
        <v>359</v>
      </c>
      <c r="B1130" t="s">
        <v>237</v>
      </c>
      <c r="C1130" t="s">
        <v>238</v>
      </c>
      <c r="D1130" t="s">
        <v>32</v>
      </c>
      <c r="E1130" t="s">
        <v>33</v>
      </c>
      <c r="F1130">
        <v>0.65998499484344775</v>
      </c>
      <c r="G1130">
        <v>0.96996998968689563</v>
      </c>
      <c r="H1130">
        <v>0.35</v>
      </c>
      <c r="I1130">
        <v>633909543400</v>
      </c>
      <c r="J1130">
        <v>73.5</v>
      </c>
      <c r="K1130">
        <v>9</v>
      </c>
    </row>
    <row r="1131" spans="1:11" x14ac:dyDescent="0.25">
      <c r="A1131" t="s">
        <v>359</v>
      </c>
      <c r="B1131" t="s">
        <v>287</v>
      </c>
      <c r="C1131" t="s">
        <v>288</v>
      </c>
      <c r="D1131" t="s">
        <v>14</v>
      </c>
      <c r="E1131" t="s">
        <v>59</v>
      </c>
      <c r="F1131">
        <v>0.65346230394259186</v>
      </c>
      <c r="G1131">
        <v>0.95692460788518374</v>
      </c>
      <c r="H1131">
        <v>0.35</v>
      </c>
      <c r="I1131">
        <v>52749574400</v>
      </c>
      <c r="J1131">
        <v>25.6</v>
      </c>
      <c r="K1131">
        <v>10</v>
      </c>
    </row>
    <row r="1132" spans="1:11" x14ac:dyDescent="0.25">
      <c r="A1132" t="s">
        <v>359</v>
      </c>
      <c r="B1132" t="s">
        <v>263</v>
      </c>
      <c r="C1132" t="s">
        <v>264</v>
      </c>
      <c r="D1132" t="s">
        <v>32</v>
      </c>
      <c r="E1132" t="s">
        <v>259</v>
      </c>
      <c r="F1132">
        <v>0.64300564686929806</v>
      </c>
      <c r="G1132">
        <v>0.93601129373859615</v>
      </c>
      <c r="H1132">
        <v>0.35</v>
      </c>
      <c r="I1132">
        <v>98302128700</v>
      </c>
      <c r="J1132">
        <v>38.549999999999997</v>
      </c>
      <c r="K1132">
        <v>11</v>
      </c>
    </row>
    <row r="1133" spans="1:11" x14ac:dyDescent="0.25">
      <c r="A1133" t="s">
        <v>359</v>
      </c>
      <c r="B1133" t="s">
        <v>266</v>
      </c>
      <c r="C1133" t="s">
        <v>267</v>
      </c>
      <c r="D1133" t="s">
        <v>32</v>
      </c>
      <c r="E1133" t="s">
        <v>59</v>
      </c>
      <c r="F1133">
        <v>0.62347540187721329</v>
      </c>
      <c r="G1133">
        <v>0.89695080375442648</v>
      </c>
      <c r="H1133">
        <v>0.35</v>
      </c>
      <c r="I1133">
        <v>29099115700</v>
      </c>
      <c r="J1133">
        <v>48.05</v>
      </c>
      <c r="K1133">
        <v>12</v>
      </c>
    </row>
    <row r="1134" spans="1:11" x14ac:dyDescent="0.25">
      <c r="A1134" t="s">
        <v>359</v>
      </c>
      <c r="B1134" t="s">
        <v>301</v>
      </c>
      <c r="C1134" t="s">
        <v>302</v>
      </c>
      <c r="D1134" t="s">
        <v>32</v>
      </c>
      <c r="E1134" t="s">
        <v>74</v>
      </c>
      <c r="F1134">
        <v>0.61869606946551814</v>
      </c>
      <c r="G1134">
        <v>0.98739213893103639</v>
      </c>
      <c r="H1134">
        <v>0.25</v>
      </c>
      <c r="I1134">
        <v>5963970800</v>
      </c>
      <c r="J1134">
        <v>15.6</v>
      </c>
      <c r="K1134">
        <v>13</v>
      </c>
    </row>
    <row r="1135" spans="1:11" x14ac:dyDescent="0.25">
      <c r="A1135" t="s">
        <v>359</v>
      </c>
      <c r="B1135" t="s">
        <v>82</v>
      </c>
      <c r="C1135" t="s">
        <v>83</v>
      </c>
      <c r="D1135" t="s">
        <v>32</v>
      </c>
      <c r="E1135" t="s">
        <v>39</v>
      </c>
      <c r="F1135">
        <v>0.59840308617050197</v>
      </c>
      <c r="G1135">
        <v>0.79680617234100393</v>
      </c>
      <c r="H1135">
        <v>0.4</v>
      </c>
      <c r="I1135">
        <v>37626698600</v>
      </c>
      <c r="J1135">
        <v>18</v>
      </c>
      <c r="K1135">
        <v>14</v>
      </c>
    </row>
    <row r="1136" spans="1:11" x14ac:dyDescent="0.25">
      <c r="A1136" t="s">
        <v>359</v>
      </c>
      <c r="B1136" t="s">
        <v>75</v>
      </c>
      <c r="C1136" t="s">
        <v>76</v>
      </c>
      <c r="D1136" t="s">
        <v>18</v>
      </c>
      <c r="E1136" t="s">
        <v>33</v>
      </c>
      <c r="F1136">
        <v>0.59493740774605064</v>
      </c>
      <c r="G1136">
        <v>0.68987481549210128</v>
      </c>
      <c r="H1136">
        <v>0.5</v>
      </c>
      <c r="I1136">
        <v>6826182800</v>
      </c>
      <c r="J1136">
        <v>5.2</v>
      </c>
      <c r="K1136">
        <v>15</v>
      </c>
    </row>
    <row r="1137" spans="1:11" x14ac:dyDescent="0.25">
      <c r="A1137" t="s">
        <v>359</v>
      </c>
      <c r="B1137" t="s">
        <v>229</v>
      </c>
      <c r="C1137" t="s">
        <v>230</v>
      </c>
      <c r="D1137" t="s">
        <v>18</v>
      </c>
      <c r="E1137" t="s">
        <v>29</v>
      </c>
      <c r="F1137">
        <v>0.58830526326433363</v>
      </c>
      <c r="G1137">
        <v>0.9766105265286672</v>
      </c>
      <c r="H1137">
        <v>0.2</v>
      </c>
      <c r="I1137">
        <v>30088005000</v>
      </c>
      <c r="J1137">
        <v>24.8</v>
      </c>
      <c r="K1137">
        <v>16</v>
      </c>
    </row>
    <row r="1138" spans="1:11" x14ac:dyDescent="0.25">
      <c r="A1138" t="s">
        <v>359</v>
      </c>
      <c r="B1138" t="s">
        <v>247</v>
      </c>
      <c r="C1138" t="s">
        <v>248</v>
      </c>
      <c r="D1138" t="s">
        <v>32</v>
      </c>
      <c r="E1138" t="s">
        <v>59</v>
      </c>
      <c r="F1138">
        <v>0.58765837440884283</v>
      </c>
      <c r="G1138">
        <v>0.62531674881768562</v>
      </c>
      <c r="H1138">
        <v>0.55000000000000004</v>
      </c>
      <c r="I1138">
        <v>36798583400</v>
      </c>
      <c r="J1138">
        <v>142.69999999999999</v>
      </c>
      <c r="K1138">
        <v>17</v>
      </c>
    </row>
    <row r="1139" spans="1:11" x14ac:dyDescent="0.25">
      <c r="A1139" t="s">
        <v>359</v>
      </c>
      <c r="B1139" t="s">
        <v>47</v>
      </c>
      <c r="C1139" t="s">
        <v>48</v>
      </c>
      <c r="D1139" t="s">
        <v>14</v>
      </c>
      <c r="E1139" t="s">
        <v>29</v>
      </c>
      <c r="F1139">
        <v>0.57886423355557903</v>
      </c>
      <c r="G1139">
        <v>0.80772846711115809</v>
      </c>
      <c r="H1139">
        <v>0.35</v>
      </c>
      <c r="I1139">
        <v>4959921600</v>
      </c>
      <c r="J1139">
        <v>9</v>
      </c>
      <c r="K1139">
        <v>18</v>
      </c>
    </row>
    <row r="1140" spans="1:11" x14ac:dyDescent="0.25">
      <c r="A1140" t="s">
        <v>359</v>
      </c>
      <c r="B1140" t="s">
        <v>342</v>
      </c>
      <c r="C1140" t="s">
        <v>343</v>
      </c>
      <c r="D1140" t="s">
        <v>32</v>
      </c>
      <c r="E1140" t="s">
        <v>292</v>
      </c>
      <c r="F1140">
        <v>0.57505493987016143</v>
      </c>
      <c r="G1140">
        <v>0.85010987974032293</v>
      </c>
      <c r="H1140">
        <v>0.3</v>
      </c>
      <c r="I1140">
        <v>17954404700</v>
      </c>
      <c r="J1140">
        <v>39.299999999999997</v>
      </c>
      <c r="K1140">
        <v>19</v>
      </c>
    </row>
    <row r="1141" spans="1:11" x14ac:dyDescent="0.25">
      <c r="A1141" t="s">
        <v>359</v>
      </c>
      <c r="B1141" t="s">
        <v>360</v>
      </c>
      <c r="C1141" t="s">
        <v>361</v>
      </c>
      <c r="D1141" t="s">
        <v>18</v>
      </c>
      <c r="E1141" t="s">
        <v>59</v>
      </c>
      <c r="F1141">
        <v>0.57008691433413505</v>
      </c>
      <c r="G1141">
        <v>0.84017382866827017</v>
      </c>
      <c r="H1141">
        <v>0.3</v>
      </c>
      <c r="I1141">
        <v>14910336600</v>
      </c>
      <c r="J1141">
        <v>21.2</v>
      </c>
      <c r="K1141">
        <v>20</v>
      </c>
    </row>
    <row r="1142" spans="1:11" x14ac:dyDescent="0.25">
      <c r="A1142" t="s">
        <v>362</v>
      </c>
      <c r="B1142" t="s">
        <v>263</v>
      </c>
      <c r="C1142" t="s">
        <v>264</v>
      </c>
      <c r="D1142" t="s">
        <v>32</v>
      </c>
      <c r="E1142" t="s">
        <v>259</v>
      </c>
      <c r="F1142">
        <v>0.85967469820953146</v>
      </c>
      <c r="G1142">
        <v>0.96934939641906293</v>
      </c>
      <c r="H1142">
        <v>0.75</v>
      </c>
      <c r="I1142">
        <v>100318077700</v>
      </c>
      <c r="J1142">
        <v>40.15</v>
      </c>
      <c r="K1142">
        <v>1</v>
      </c>
    </row>
    <row r="1143" spans="1:11" x14ac:dyDescent="0.25">
      <c r="A1143" t="s">
        <v>362</v>
      </c>
      <c r="B1143" t="s">
        <v>261</v>
      </c>
      <c r="C1143" t="s">
        <v>262</v>
      </c>
      <c r="D1143" t="s">
        <v>32</v>
      </c>
      <c r="E1143" t="s">
        <v>42</v>
      </c>
      <c r="F1143">
        <v>0.84196126508167901</v>
      </c>
      <c r="G1143">
        <v>0.98392253016335818</v>
      </c>
      <c r="H1143">
        <v>0.7</v>
      </c>
      <c r="I1143">
        <v>117635042800</v>
      </c>
      <c r="J1143">
        <v>84.4</v>
      </c>
      <c r="K1143">
        <v>2</v>
      </c>
    </row>
    <row r="1144" spans="1:11" x14ac:dyDescent="0.25">
      <c r="A1144" t="s">
        <v>362</v>
      </c>
      <c r="B1144" t="s">
        <v>88</v>
      </c>
      <c r="C1144" t="s">
        <v>89</v>
      </c>
      <c r="D1144" t="s">
        <v>32</v>
      </c>
      <c r="E1144" t="s">
        <v>33</v>
      </c>
      <c r="F1144">
        <v>0.80822228765637205</v>
      </c>
      <c r="G1144">
        <v>0.96644457531274408</v>
      </c>
      <c r="H1144">
        <v>0.65</v>
      </c>
      <c r="I1144">
        <v>79885786740</v>
      </c>
      <c r="J1144">
        <v>14.65</v>
      </c>
      <c r="K1144">
        <v>3</v>
      </c>
    </row>
    <row r="1145" spans="1:11" x14ac:dyDescent="0.25">
      <c r="A1145" t="s">
        <v>362</v>
      </c>
      <c r="B1145" t="s">
        <v>348</v>
      </c>
      <c r="C1145" t="s">
        <v>349</v>
      </c>
      <c r="D1145" t="s">
        <v>32</v>
      </c>
      <c r="E1145" t="s">
        <v>26</v>
      </c>
      <c r="F1145">
        <v>0.74824648002365857</v>
      </c>
      <c r="G1145">
        <v>0.9464929600473172</v>
      </c>
      <c r="H1145">
        <v>0.55000000000000004</v>
      </c>
      <c r="I1145">
        <v>171397308000</v>
      </c>
      <c r="J1145">
        <v>15.9</v>
      </c>
      <c r="K1145">
        <v>4</v>
      </c>
    </row>
    <row r="1146" spans="1:11" x14ac:dyDescent="0.25">
      <c r="A1146" t="s">
        <v>362</v>
      </c>
      <c r="B1146" t="s">
        <v>287</v>
      </c>
      <c r="C1146" t="s">
        <v>288</v>
      </c>
      <c r="D1146" t="s">
        <v>14</v>
      </c>
      <c r="E1146" t="s">
        <v>59</v>
      </c>
      <c r="F1146">
        <v>0.70792044623698946</v>
      </c>
      <c r="G1146">
        <v>0.86584089247397888</v>
      </c>
      <c r="H1146">
        <v>0.55000000000000004</v>
      </c>
      <c r="I1146">
        <v>53140731200</v>
      </c>
      <c r="J1146">
        <v>24.9</v>
      </c>
      <c r="K1146">
        <v>5</v>
      </c>
    </row>
    <row r="1147" spans="1:11" x14ac:dyDescent="0.25">
      <c r="A1147" t="s">
        <v>362</v>
      </c>
      <c r="B1147" t="s">
        <v>340</v>
      </c>
      <c r="C1147" t="s">
        <v>341</v>
      </c>
      <c r="D1147" t="s">
        <v>14</v>
      </c>
      <c r="E1147" t="s">
        <v>74</v>
      </c>
      <c r="F1147">
        <v>0.68064350358082515</v>
      </c>
      <c r="G1147">
        <v>0.81128700716165036</v>
      </c>
      <c r="H1147">
        <v>0.55000000000000004</v>
      </c>
      <c r="I1147">
        <v>2091562200</v>
      </c>
      <c r="J1147">
        <v>39</v>
      </c>
      <c r="K1147">
        <v>6</v>
      </c>
    </row>
    <row r="1148" spans="1:11" x14ac:dyDescent="0.25">
      <c r="A1148" t="s">
        <v>362</v>
      </c>
      <c r="B1148" t="s">
        <v>84</v>
      </c>
      <c r="C1148" t="s">
        <v>85</v>
      </c>
      <c r="D1148" t="s">
        <v>14</v>
      </c>
      <c r="E1148" t="s">
        <v>42</v>
      </c>
      <c r="F1148">
        <v>0.67862232142846479</v>
      </c>
      <c r="G1148">
        <v>0.75724464285692972</v>
      </c>
      <c r="H1148">
        <v>0.6</v>
      </c>
      <c r="I1148">
        <v>7713016000</v>
      </c>
      <c r="J1148">
        <v>149</v>
      </c>
      <c r="K1148">
        <v>7</v>
      </c>
    </row>
    <row r="1149" spans="1:11" x14ac:dyDescent="0.25">
      <c r="A1149" t="s">
        <v>362</v>
      </c>
      <c r="B1149" t="s">
        <v>211</v>
      </c>
      <c r="C1149" t="s">
        <v>212</v>
      </c>
      <c r="D1149" t="s">
        <v>32</v>
      </c>
      <c r="E1149" t="s">
        <v>33</v>
      </c>
      <c r="F1149">
        <v>0.66712480661072882</v>
      </c>
      <c r="G1149">
        <v>0.98424961322145765</v>
      </c>
      <c r="H1149">
        <v>0.35</v>
      </c>
      <c r="I1149">
        <v>7785576580</v>
      </c>
      <c r="J1149">
        <v>14</v>
      </c>
      <c r="K1149">
        <v>8</v>
      </c>
    </row>
    <row r="1150" spans="1:11" x14ac:dyDescent="0.25">
      <c r="A1150" t="s">
        <v>362</v>
      </c>
      <c r="B1150" t="s">
        <v>342</v>
      </c>
      <c r="C1150" t="s">
        <v>343</v>
      </c>
      <c r="D1150" t="s">
        <v>32</v>
      </c>
      <c r="E1150" t="s">
        <v>292</v>
      </c>
      <c r="F1150">
        <v>0.65474268642452893</v>
      </c>
      <c r="G1150">
        <v>0.90948537284905784</v>
      </c>
      <c r="H1150">
        <v>0.4</v>
      </c>
      <c r="I1150">
        <v>18857441600</v>
      </c>
      <c r="J1150">
        <v>39.85</v>
      </c>
      <c r="K1150">
        <v>9</v>
      </c>
    </row>
    <row r="1151" spans="1:11" x14ac:dyDescent="0.25">
      <c r="A1151" t="s">
        <v>362</v>
      </c>
      <c r="B1151" t="s">
        <v>237</v>
      </c>
      <c r="C1151" t="s">
        <v>238</v>
      </c>
      <c r="D1151" t="s">
        <v>32</v>
      </c>
      <c r="E1151" t="s">
        <v>33</v>
      </c>
      <c r="F1151">
        <v>0.65340912676249419</v>
      </c>
      <c r="G1151">
        <v>0.95681825352498828</v>
      </c>
      <c r="H1151">
        <v>0.35</v>
      </c>
      <c r="I1151">
        <v>630696754200</v>
      </c>
      <c r="J1151">
        <v>74.3</v>
      </c>
      <c r="K1151">
        <v>10</v>
      </c>
    </row>
    <row r="1152" spans="1:11" x14ac:dyDescent="0.25">
      <c r="A1152" t="s">
        <v>362</v>
      </c>
      <c r="B1152" t="s">
        <v>132</v>
      </c>
      <c r="C1152" t="s">
        <v>133</v>
      </c>
      <c r="D1152" t="s">
        <v>18</v>
      </c>
      <c r="E1152" t="s">
        <v>134</v>
      </c>
      <c r="F1152">
        <v>0.65284576768864122</v>
      </c>
      <c r="G1152">
        <v>0.80569153537728233</v>
      </c>
      <c r="H1152">
        <v>0.5</v>
      </c>
      <c r="I1152">
        <v>2822446400</v>
      </c>
      <c r="J1152">
        <v>14</v>
      </c>
      <c r="K1152">
        <v>11</v>
      </c>
    </row>
    <row r="1153" spans="1:11" x14ac:dyDescent="0.25">
      <c r="A1153" t="s">
        <v>362</v>
      </c>
      <c r="B1153" t="s">
        <v>110</v>
      </c>
      <c r="C1153" t="s">
        <v>111</v>
      </c>
      <c r="D1153" t="s">
        <v>32</v>
      </c>
      <c r="E1153" t="s">
        <v>112</v>
      </c>
      <c r="F1153">
        <v>0.64588150577584247</v>
      </c>
      <c r="G1153">
        <v>0.84176301155168498</v>
      </c>
      <c r="H1153">
        <v>0.45</v>
      </c>
      <c r="I1153">
        <v>3000667800</v>
      </c>
      <c r="J1153">
        <v>5.31</v>
      </c>
      <c r="K1153">
        <v>12</v>
      </c>
    </row>
    <row r="1154" spans="1:11" x14ac:dyDescent="0.25">
      <c r="A1154" t="s">
        <v>362</v>
      </c>
      <c r="B1154" t="s">
        <v>363</v>
      </c>
      <c r="C1154" t="s">
        <v>364</v>
      </c>
      <c r="D1154" t="s">
        <v>32</v>
      </c>
      <c r="E1154" t="s">
        <v>42</v>
      </c>
      <c r="F1154">
        <v>0.63903776803740109</v>
      </c>
      <c r="G1154">
        <v>0.72807553607480202</v>
      </c>
      <c r="H1154">
        <v>0.55000000000000004</v>
      </c>
      <c r="I1154">
        <v>134149332900</v>
      </c>
      <c r="J1154">
        <v>59.5</v>
      </c>
      <c r="K1154">
        <v>13</v>
      </c>
    </row>
    <row r="1155" spans="1:11" x14ac:dyDescent="0.25">
      <c r="A1155" t="s">
        <v>362</v>
      </c>
      <c r="B1155" t="s">
        <v>179</v>
      </c>
      <c r="C1155" t="s">
        <v>180</v>
      </c>
      <c r="D1155" t="s">
        <v>32</v>
      </c>
      <c r="E1155" t="s">
        <v>124</v>
      </c>
      <c r="F1155">
        <v>0.6371875246753429</v>
      </c>
      <c r="G1155">
        <v>0.97437504935068586</v>
      </c>
      <c r="H1155">
        <v>0.3</v>
      </c>
      <c r="I1155">
        <v>376629670200</v>
      </c>
      <c r="J1155">
        <v>36</v>
      </c>
      <c r="K1155">
        <v>14</v>
      </c>
    </row>
    <row r="1156" spans="1:11" x14ac:dyDescent="0.25">
      <c r="A1156" t="s">
        <v>362</v>
      </c>
      <c r="B1156" t="s">
        <v>229</v>
      </c>
      <c r="C1156" t="s">
        <v>230</v>
      </c>
      <c r="D1156" t="s">
        <v>18</v>
      </c>
      <c r="E1156" t="s">
        <v>29</v>
      </c>
      <c r="F1156">
        <v>0.61469430671268321</v>
      </c>
      <c r="G1156">
        <v>0.97938861342536643</v>
      </c>
      <c r="H1156">
        <v>0.25</v>
      </c>
      <c r="I1156">
        <v>31215759200</v>
      </c>
      <c r="J1156">
        <v>24.7</v>
      </c>
      <c r="K1156">
        <v>15</v>
      </c>
    </row>
    <row r="1157" spans="1:11" x14ac:dyDescent="0.25">
      <c r="A1157" t="s">
        <v>362</v>
      </c>
      <c r="B1157" t="s">
        <v>82</v>
      </c>
      <c r="C1157" t="s">
        <v>83</v>
      </c>
      <c r="D1157" t="s">
        <v>32</v>
      </c>
      <c r="E1157" t="s">
        <v>39</v>
      </c>
      <c r="F1157">
        <v>0.60867254041811492</v>
      </c>
      <c r="G1157">
        <v>0.81734508083622981</v>
      </c>
      <c r="H1157">
        <v>0.4</v>
      </c>
      <c r="I1157">
        <v>37664430300</v>
      </c>
      <c r="J1157">
        <v>18.05</v>
      </c>
      <c r="K1157">
        <v>16</v>
      </c>
    </row>
    <row r="1158" spans="1:11" x14ac:dyDescent="0.25">
      <c r="A1158" t="s">
        <v>362</v>
      </c>
      <c r="B1158" t="s">
        <v>307</v>
      </c>
      <c r="C1158" t="s">
        <v>308</v>
      </c>
      <c r="D1158" t="s">
        <v>32</v>
      </c>
      <c r="E1158" t="s">
        <v>42</v>
      </c>
      <c r="F1158">
        <v>0.60815619237539198</v>
      </c>
      <c r="G1158">
        <v>0.96631238475078407</v>
      </c>
      <c r="H1158">
        <v>0.25</v>
      </c>
      <c r="I1158">
        <v>98669391300</v>
      </c>
      <c r="J1158">
        <v>24.65</v>
      </c>
      <c r="K1158">
        <v>17</v>
      </c>
    </row>
    <row r="1159" spans="1:11" x14ac:dyDescent="0.25">
      <c r="A1159" t="s">
        <v>362</v>
      </c>
      <c r="B1159" t="s">
        <v>365</v>
      </c>
      <c r="C1159" t="s">
        <v>366</v>
      </c>
      <c r="D1159" t="s">
        <v>32</v>
      </c>
      <c r="E1159" t="s">
        <v>33</v>
      </c>
      <c r="F1159">
        <v>0.60178159280466925</v>
      </c>
      <c r="G1159">
        <v>0.90356318560933857</v>
      </c>
      <c r="H1159">
        <v>0.3</v>
      </c>
      <c r="I1159">
        <v>117016345600</v>
      </c>
      <c r="J1159">
        <v>36.9</v>
      </c>
      <c r="K1159">
        <v>18</v>
      </c>
    </row>
    <row r="1160" spans="1:11" x14ac:dyDescent="0.25">
      <c r="A1160" t="s">
        <v>362</v>
      </c>
      <c r="B1160" t="s">
        <v>335</v>
      </c>
      <c r="C1160" t="s">
        <v>336</v>
      </c>
      <c r="D1160" t="s">
        <v>18</v>
      </c>
      <c r="E1160" t="s">
        <v>33</v>
      </c>
      <c r="F1160">
        <v>0.60010768221922617</v>
      </c>
      <c r="G1160">
        <v>0.70021536443845223</v>
      </c>
      <c r="H1160">
        <v>0.5</v>
      </c>
      <c r="I1160">
        <v>3828814600</v>
      </c>
      <c r="J1160">
        <v>7.2</v>
      </c>
      <c r="K1160">
        <v>19</v>
      </c>
    </row>
    <row r="1161" spans="1:11" x14ac:dyDescent="0.25">
      <c r="A1161" t="s">
        <v>362</v>
      </c>
      <c r="B1161" t="s">
        <v>301</v>
      </c>
      <c r="C1161" t="s">
        <v>302</v>
      </c>
      <c r="D1161" t="s">
        <v>32</v>
      </c>
      <c r="E1161" t="s">
        <v>74</v>
      </c>
      <c r="F1161">
        <v>0.59601022430166728</v>
      </c>
      <c r="G1161">
        <v>0.99202044860333449</v>
      </c>
      <c r="H1161">
        <v>0.2</v>
      </c>
      <c r="I1161">
        <v>6426519000</v>
      </c>
      <c r="J1161">
        <v>16.899999999999999</v>
      </c>
      <c r="K1161">
        <v>20</v>
      </c>
    </row>
    <row r="1162" spans="1:11" x14ac:dyDescent="0.25">
      <c r="A1162" t="s">
        <v>367</v>
      </c>
      <c r="B1162" t="s">
        <v>263</v>
      </c>
      <c r="C1162" t="s">
        <v>264</v>
      </c>
      <c r="D1162" t="s">
        <v>32</v>
      </c>
      <c r="E1162" t="s">
        <v>259</v>
      </c>
      <c r="F1162">
        <v>0.87956066128692756</v>
      </c>
      <c r="G1162">
        <v>0.95912132257385507</v>
      </c>
      <c r="H1162">
        <v>0.8</v>
      </c>
      <c r="I1162">
        <v>101964274900</v>
      </c>
      <c r="J1162">
        <v>39.549999999999997</v>
      </c>
      <c r="K1162">
        <v>1</v>
      </c>
    </row>
    <row r="1163" spans="1:11" x14ac:dyDescent="0.25">
      <c r="A1163" t="s">
        <v>367</v>
      </c>
      <c r="B1163" t="s">
        <v>88</v>
      </c>
      <c r="C1163" t="s">
        <v>89</v>
      </c>
      <c r="D1163" t="s">
        <v>32</v>
      </c>
      <c r="E1163" t="s">
        <v>33</v>
      </c>
      <c r="F1163">
        <v>0.80711036388040613</v>
      </c>
      <c r="G1163">
        <v>0.96422072776081225</v>
      </c>
      <c r="H1163">
        <v>0.65</v>
      </c>
      <c r="I1163">
        <v>81928877340</v>
      </c>
      <c r="J1163">
        <v>14.4</v>
      </c>
      <c r="K1163">
        <v>2</v>
      </c>
    </row>
    <row r="1164" spans="1:11" x14ac:dyDescent="0.25">
      <c r="A1164" t="s">
        <v>367</v>
      </c>
      <c r="B1164" t="s">
        <v>261</v>
      </c>
      <c r="C1164" t="s">
        <v>262</v>
      </c>
      <c r="D1164" t="s">
        <v>32</v>
      </c>
      <c r="E1164" t="s">
        <v>42</v>
      </c>
      <c r="F1164">
        <v>0.76307756369220314</v>
      </c>
      <c r="G1164">
        <v>0.97615512738440613</v>
      </c>
      <c r="H1164">
        <v>0.55000000000000004</v>
      </c>
      <c r="I1164">
        <v>119083124800</v>
      </c>
      <c r="J1164">
        <v>80.5</v>
      </c>
      <c r="K1164">
        <v>3</v>
      </c>
    </row>
    <row r="1165" spans="1:11" x14ac:dyDescent="0.25">
      <c r="A1165" t="s">
        <v>367</v>
      </c>
      <c r="B1165" t="s">
        <v>307</v>
      </c>
      <c r="C1165" t="s">
        <v>308</v>
      </c>
      <c r="D1165" t="s">
        <v>32</v>
      </c>
      <c r="E1165" t="s">
        <v>42</v>
      </c>
      <c r="F1165">
        <v>0.7085796382659223</v>
      </c>
      <c r="G1165">
        <v>0.91715927653184459</v>
      </c>
      <c r="H1165">
        <v>0.5</v>
      </c>
      <c r="I1165">
        <v>104870005700</v>
      </c>
      <c r="J1165">
        <v>23.6</v>
      </c>
      <c r="K1165">
        <v>4</v>
      </c>
    </row>
    <row r="1166" spans="1:11" x14ac:dyDescent="0.25">
      <c r="A1166" t="s">
        <v>367</v>
      </c>
      <c r="B1166" t="s">
        <v>110</v>
      </c>
      <c r="C1166" t="s">
        <v>111</v>
      </c>
      <c r="D1166" t="s">
        <v>32</v>
      </c>
      <c r="E1166" t="s">
        <v>112</v>
      </c>
      <c r="F1166">
        <v>0.70611425612697598</v>
      </c>
      <c r="G1166">
        <v>0.86222851225395181</v>
      </c>
      <c r="H1166">
        <v>0.55000000000000004</v>
      </c>
      <c r="I1166">
        <v>2983800920</v>
      </c>
      <c r="J1166">
        <v>5.35</v>
      </c>
      <c r="K1166">
        <v>5</v>
      </c>
    </row>
    <row r="1167" spans="1:11" x14ac:dyDescent="0.25">
      <c r="A1167" t="s">
        <v>367</v>
      </c>
      <c r="B1167" t="s">
        <v>340</v>
      </c>
      <c r="C1167" t="s">
        <v>341</v>
      </c>
      <c r="D1167" t="s">
        <v>14</v>
      </c>
      <c r="E1167" t="s">
        <v>74</v>
      </c>
      <c r="F1167">
        <v>0.68653052387798541</v>
      </c>
      <c r="G1167">
        <v>0.82306104775597078</v>
      </c>
      <c r="H1167">
        <v>0.55000000000000004</v>
      </c>
      <c r="I1167">
        <v>2093103000</v>
      </c>
      <c r="J1167">
        <v>38.700000000000003</v>
      </c>
      <c r="K1167">
        <v>6</v>
      </c>
    </row>
    <row r="1168" spans="1:11" x14ac:dyDescent="0.25">
      <c r="A1168" t="s">
        <v>367</v>
      </c>
      <c r="B1168" t="s">
        <v>237</v>
      </c>
      <c r="C1168" t="s">
        <v>238</v>
      </c>
      <c r="D1168" t="s">
        <v>32</v>
      </c>
      <c r="E1168" t="s">
        <v>33</v>
      </c>
      <c r="F1168">
        <v>0.68057478919614933</v>
      </c>
      <c r="G1168">
        <v>0.96114957839229875</v>
      </c>
      <c r="H1168">
        <v>0.4</v>
      </c>
      <c r="I1168">
        <v>622882238200</v>
      </c>
      <c r="J1168">
        <v>75.7</v>
      </c>
      <c r="K1168">
        <v>7</v>
      </c>
    </row>
    <row r="1169" spans="1:11" x14ac:dyDescent="0.25">
      <c r="A1169" t="s">
        <v>367</v>
      </c>
      <c r="B1169" t="s">
        <v>348</v>
      </c>
      <c r="C1169" t="s">
        <v>349</v>
      </c>
      <c r="D1169" t="s">
        <v>32</v>
      </c>
      <c r="E1169" t="s">
        <v>26</v>
      </c>
      <c r="F1169">
        <v>0.66564300416142386</v>
      </c>
      <c r="G1169">
        <v>0.88128600832284776</v>
      </c>
      <c r="H1169">
        <v>0.45</v>
      </c>
      <c r="I1169">
        <v>177779418000</v>
      </c>
      <c r="J1169">
        <v>15.4</v>
      </c>
      <c r="K1169">
        <v>8</v>
      </c>
    </row>
    <row r="1170" spans="1:11" x14ac:dyDescent="0.25">
      <c r="A1170" t="s">
        <v>367</v>
      </c>
      <c r="B1170" t="s">
        <v>211</v>
      </c>
      <c r="C1170" t="s">
        <v>212</v>
      </c>
      <c r="D1170" t="s">
        <v>32</v>
      </c>
      <c r="E1170" t="s">
        <v>33</v>
      </c>
      <c r="F1170">
        <v>0.66434391649106495</v>
      </c>
      <c r="G1170">
        <v>0.97868783298213002</v>
      </c>
      <c r="H1170">
        <v>0.35</v>
      </c>
      <c r="I1170">
        <v>7840729580</v>
      </c>
      <c r="J1170">
        <v>13.85</v>
      </c>
      <c r="K1170">
        <v>9</v>
      </c>
    </row>
    <row r="1171" spans="1:11" x14ac:dyDescent="0.25">
      <c r="A1171" t="s">
        <v>367</v>
      </c>
      <c r="B1171" t="s">
        <v>287</v>
      </c>
      <c r="C1171" t="s">
        <v>288</v>
      </c>
      <c r="D1171" t="s">
        <v>14</v>
      </c>
      <c r="E1171" t="s">
        <v>59</v>
      </c>
      <c r="F1171">
        <v>0.66033878593063489</v>
      </c>
      <c r="G1171">
        <v>0.92067757186126986</v>
      </c>
      <c r="H1171">
        <v>0.4</v>
      </c>
      <c r="I1171">
        <v>53774674800</v>
      </c>
      <c r="J1171">
        <v>25.3</v>
      </c>
      <c r="K1171">
        <v>10</v>
      </c>
    </row>
    <row r="1172" spans="1:11" x14ac:dyDescent="0.25">
      <c r="A1172" t="s">
        <v>367</v>
      </c>
      <c r="B1172" t="s">
        <v>179</v>
      </c>
      <c r="C1172" t="s">
        <v>180</v>
      </c>
      <c r="D1172" t="s">
        <v>32</v>
      </c>
      <c r="E1172" t="s">
        <v>124</v>
      </c>
      <c r="F1172">
        <v>0.65905790992155988</v>
      </c>
      <c r="G1172">
        <v>0.96811581984311978</v>
      </c>
      <c r="H1172">
        <v>0.35</v>
      </c>
      <c r="I1172">
        <v>380453838600</v>
      </c>
      <c r="J1172">
        <v>35.5</v>
      </c>
      <c r="K1172">
        <v>11</v>
      </c>
    </row>
    <row r="1173" spans="1:11" x14ac:dyDescent="0.25">
      <c r="A1173" t="s">
        <v>367</v>
      </c>
      <c r="B1173" t="s">
        <v>229</v>
      </c>
      <c r="C1173" t="s">
        <v>230</v>
      </c>
      <c r="D1173" t="s">
        <v>18</v>
      </c>
      <c r="E1173" t="s">
        <v>29</v>
      </c>
      <c r="F1173">
        <v>0.63340448670650562</v>
      </c>
      <c r="G1173">
        <v>0.96680897341301131</v>
      </c>
      <c r="H1173">
        <v>0.3</v>
      </c>
      <c r="I1173">
        <v>32101431200</v>
      </c>
      <c r="J1173">
        <v>24.7</v>
      </c>
      <c r="K1173">
        <v>12</v>
      </c>
    </row>
    <row r="1174" spans="1:11" x14ac:dyDescent="0.25">
      <c r="A1174" t="s">
        <v>367</v>
      </c>
      <c r="B1174" t="s">
        <v>368</v>
      </c>
      <c r="C1174" t="s">
        <v>369</v>
      </c>
      <c r="D1174" t="s">
        <v>32</v>
      </c>
      <c r="E1174" t="s">
        <v>33</v>
      </c>
      <c r="F1174">
        <v>0.63038189277306389</v>
      </c>
      <c r="G1174">
        <v>0.63038189277306389</v>
      </c>
      <c r="I1174">
        <v>4057213200</v>
      </c>
      <c r="J1174">
        <v>25</v>
      </c>
      <c r="K1174">
        <v>13</v>
      </c>
    </row>
    <row r="1175" spans="1:11" x14ac:dyDescent="0.25">
      <c r="A1175" t="s">
        <v>367</v>
      </c>
      <c r="B1175" t="s">
        <v>342</v>
      </c>
      <c r="C1175" t="s">
        <v>343</v>
      </c>
      <c r="D1175" t="s">
        <v>32</v>
      </c>
      <c r="E1175" t="s">
        <v>292</v>
      </c>
      <c r="F1175">
        <v>0.62467398626077297</v>
      </c>
      <c r="G1175">
        <v>0.84934797252154592</v>
      </c>
      <c r="H1175">
        <v>0.4</v>
      </c>
      <c r="I1175">
        <v>19027838000</v>
      </c>
      <c r="J1175">
        <v>39.799999999999997</v>
      </c>
      <c r="K1175">
        <v>14</v>
      </c>
    </row>
    <row r="1176" spans="1:11" x14ac:dyDescent="0.25">
      <c r="A1176" t="s">
        <v>367</v>
      </c>
      <c r="B1176" t="s">
        <v>84</v>
      </c>
      <c r="C1176" t="s">
        <v>85</v>
      </c>
      <c r="D1176" t="s">
        <v>14</v>
      </c>
      <c r="E1176" t="s">
        <v>42</v>
      </c>
      <c r="F1176">
        <v>0.61859951586924267</v>
      </c>
      <c r="G1176">
        <v>0.73719903173848533</v>
      </c>
      <c r="H1176">
        <v>0.5</v>
      </c>
      <c r="I1176">
        <v>7956738600</v>
      </c>
      <c r="J1176">
        <v>148.5</v>
      </c>
      <c r="K1176">
        <v>15</v>
      </c>
    </row>
    <row r="1177" spans="1:11" x14ac:dyDescent="0.25">
      <c r="A1177" t="s">
        <v>367</v>
      </c>
      <c r="B1177" t="s">
        <v>176</v>
      </c>
      <c r="C1177" t="s">
        <v>177</v>
      </c>
      <c r="D1177" t="s">
        <v>32</v>
      </c>
      <c r="E1177" t="s">
        <v>33</v>
      </c>
      <c r="F1177">
        <v>0.61010574051370936</v>
      </c>
      <c r="G1177">
        <v>0.92021148102741879</v>
      </c>
      <c r="H1177">
        <v>0.3</v>
      </c>
      <c r="I1177">
        <v>4259631560</v>
      </c>
      <c r="J1177">
        <v>9.57</v>
      </c>
      <c r="K1177">
        <v>16</v>
      </c>
    </row>
    <row r="1178" spans="1:11" x14ac:dyDescent="0.25">
      <c r="A1178" t="s">
        <v>367</v>
      </c>
      <c r="B1178" t="s">
        <v>82</v>
      </c>
      <c r="C1178" t="s">
        <v>83</v>
      </c>
      <c r="D1178" t="s">
        <v>32</v>
      </c>
      <c r="E1178" t="s">
        <v>39</v>
      </c>
      <c r="F1178">
        <v>0.60576310309359749</v>
      </c>
      <c r="G1178">
        <v>0.81152620618719506</v>
      </c>
      <c r="H1178">
        <v>0.4</v>
      </c>
      <c r="I1178">
        <v>37308386500</v>
      </c>
      <c r="J1178">
        <v>18.100000000000001</v>
      </c>
      <c r="K1178">
        <v>17</v>
      </c>
    </row>
    <row r="1179" spans="1:11" x14ac:dyDescent="0.25">
      <c r="A1179" t="s">
        <v>367</v>
      </c>
      <c r="B1179" t="s">
        <v>173</v>
      </c>
      <c r="C1179" t="s">
        <v>174</v>
      </c>
      <c r="D1179" t="s">
        <v>32</v>
      </c>
      <c r="E1179" t="s">
        <v>74</v>
      </c>
      <c r="F1179">
        <v>0.60252218926639167</v>
      </c>
      <c r="G1179">
        <v>0.80504437853278321</v>
      </c>
      <c r="H1179">
        <v>0.4</v>
      </c>
      <c r="I1179">
        <v>962030475700</v>
      </c>
      <c r="J1179">
        <v>13.8</v>
      </c>
      <c r="K1179">
        <v>18</v>
      </c>
    </row>
    <row r="1180" spans="1:11" x14ac:dyDescent="0.25">
      <c r="A1180" t="s">
        <v>367</v>
      </c>
      <c r="B1180" t="s">
        <v>94</v>
      </c>
      <c r="C1180" t="s">
        <v>95</v>
      </c>
      <c r="D1180" t="s">
        <v>32</v>
      </c>
      <c r="E1180" t="s">
        <v>33</v>
      </c>
      <c r="F1180">
        <v>0.60229072924816829</v>
      </c>
      <c r="G1180">
        <v>0.50458145849633662</v>
      </c>
      <c r="H1180">
        <v>0.7</v>
      </c>
      <c r="I1180">
        <v>3383289960</v>
      </c>
      <c r="J1180">
        <v>2.14</v>
      </c>
      <c r="K1180">
        <v>19</v>
      </c>
    </row>
    <row r="1181" spans="1:11" x14ac:dyDescent="0.25">
      <c r="A1181" t="s">
        <v>367</v>
      </c>
      <c r="B1181" t="s">
        <v>183</v>
      </c>
      <c r="C1181" t="s">
        <v>184</v>
      </c>
      <c r="D1181" t="s">
        <v>32</v>
      </c>
      <c r="E1181" t="s">
        <v>33</v>
      </c>
      <c r="F1181">
        <v>0.59773822966636514</v>
      </c>
      <c r="G1181">
        <v>0.94547645933273028</v>
      </c>
      <c r="H1181">
        <v>0.25</v>
      </c>
      <c r="I1181">
        <v>5117270160</v>
      </c>
      <c r="J1181">
        <v>2.5</v>
      </c>
      <c r="K1181">
        <v>20</v>
      </c>
    </row>
    <row r="1182" spans="1:11" x14ac:dyDescent="0.25">
      <c r="A1182" t="s">
        <v>370</v>
      </c>
      <c r="B1182" t="s">
        <v>88</v>
      </c>
      <c r="C1182" t="s">
        <v>89</v>
      </c>
      <c r="D1182" t="s">
        <v>32</v>
      </c>
      <c r="E1182" t="s">
        <v>33</v>
      </c>
      <c r="F1182">
        <v>0.80969136502443961</v>
      </c>
      <c r="G1182">
        <v>0.9693827300488792</v>
      </c>
      <c r="H1182">
        <v>0.65</v>
      </c>
      <c r="I1182">
        <v>83323092340</v>
      </c>
      <c r="J1182">
        <v>14.75</v>
      </c>
      <c r="K1182">
        <v>1</v>
      </c>
    </row>
    <row r="1183" spans="1:11" x14ac:dyDescent="0.25">
      <c r="A1183" t="s">
        <v>370</v>
      </c>
      <c r="B1183" t="s">
        <v>261</v>
      </c>
      <c r="C1183" t="s">
        <v>262</v>
      </c>
      <c r="D1183" t="s">
        <v>32</v>
      </c>
      <c r="E1183" t="s">
        <v>42</v>
      </c>
      <c r="F1183">
        <v>0.75548479993578799</v>
      </c>
      <c r="G1183">
        <v>0.96096959987157593</v>
      </c>
      <c r="H1183">
        <v>0.55000000000000004</v>
      </c>
      <c r="I1183">
        <v>119530623400</v>
      </c>
      <c r="J1183">
        <v>80.400000000000006</v>
      </c>
      <c r="K1183">
        <v>2</v>
      </c>
    </row>
    <row r="1184" spans="1:11" x14ac:dyDescent="0.25">
      <c r="A1184" t="s">
        <v>370</v>
      </c>
      <c r="B1184" t="s">
        <v>263</v>
      </c>
      <c r="C1184" t="s">
        <v>264</v>
      </c>
      <c r="D1184" t="s">
        <v>32</v>
      </c>
      <c r="E1184" t="s">
        <v>259</v>
      </c>
      <c r="F1184">
        <v>0.74626014784467487</v>
      </c>
      <c r="G1184">
        <v>0.94252029568934981</v>
      </c>
      <c r="H1184">
        <v>0.55000000000000004</v>
      </c>
      <c r="I1184">
        <v>103235721000</v>
      </c>
      <c r="J1184">
        <v>39</v>
      </c>
      <c r="K1184">
        <v>3</v>
      </c>
    </row>
    <row r="1185" spans="1:11" x14ac:dyDescent="0.25">
      <c r="A1185" t="s">
        <v>370</v>
      </c>
      <c r="B1185" t="s">
        <v>237</v>
      </c>
      <c r="C1185" t="s">
        <v>238</v>
      </c>
      <c r="D1185" t="s">
        <v>32</v>
      </c>
      <c r="E1185" t="s">
        <v>33</v>
      </c>
      <c r="F1185">
        <v>0.73579443025372215</v>
      </c>
      <c r="G1185">
        <v>0.97158886050744431</v>
      </c>
      <c r="H1185">
        <v>0.5</v>
      </c>
      <c r="I1185">
        <v>618952599800</v>
      </c>
      <c r="J1185">
        <v>76.900000000000006</v>
      </c>
      <c r="K1185">
        <v>4</v>
      </c>
    </row>
    <row r="1186" spans="1:11" x14ac:dyDescent="0.25">
      <c r="A1186" t="s">
        <v>370</v>
      </c>
      <c r="B1186" t="s">
        <v>340</v>
      </c>
      <c r="C1186" t="s">
        <v>341</v>
      </c>
      <c r="D1186" t="s">
        <v>14</v>
      </c>
      <c r="E1186" t="s">
        <v>74</v>
      </c>
      <c r="F1186">
        <v>0.70214614402843645</v>
      </c>
      <c r="G1186">
        <v>0.85429228805687296</v>
      </c>
      <c r="H1186">
        <v>0.55000000000000004</v>
      </c>
      <c r="I1186">
        <v>2102011800</v>
      </c>
      <c r="J1186">
        <v>38.799999999999997</v>
      </c>
      <c r="K1186">
        <v>5</v>
      </c>
    </row>
    <row r="1187" spans="1:11" x14ac:dyDescent="0.25">
      <c r="A1187" t="s">
        <v>370</v>
      </c>
      <c r="B1187" t="s">
        <v>309</v>
      </c>
      <c r="C1187" t="s">
        <v>310</v>
      </c>
      <c r="D1187" t="s">
        <v>32</v>
      </c>
      <c r="E1187" t="s">
        <v>33</v>
      </c>
      <c r="F1187">
        <v>0.6817261541608356</v>
      </c>
      <c r="G1187">
        <v>0.96345230832167117</v>
      </c>
      <c r="H1187">
        <v>0.4</v>
      </c>
      <c r="I1187">
        <v>228012590600</v>
      </c>
      <c r="J1187">
        <v>13.95</v>
      </c>
      <c r="K1187">
        <v>6</v>
      </c>
    </row>
    <row r="1188" spans="1:11" x14ac:dyDescent="0.25">
      <c r="A1188" t="s">
        <v>370</v>
      </c>
      <c r="B1188" t="s">
        <v>287</v>
      </c>
      <c r="C1188" t="s">
        <v>288</v>
      </c>
      <c r="D1188" t="s">
        <v>14</v>
      </c>
      <c r="E1188" t="s">
        <v>59</v>
      </c>
      <c r="F1188">
        <v>0.67691658772952634</v>
      </c>
      <c r="G1188">
        <v>0.90383317545905262</v>
      </c>
      <c r="H1188">
        <v>0.45</v>
      </c>
      <c r="I1188">
        <v>54393969000</v>
      </c>
      <c r="J1188">
        <v>25.4</v>
      </c>
      <c r="K1188">
        <v>7</v>
      </c>
    </row>
    <row r="1189" spans="1:11" x14ac:dyDescent="0.25">
      <c r="A1189" t="s">
        <v>370</v>
      </c>
      <c r="B1189" t="s">
        <v>342</v>
      </c>
      <c r="C1189" t="s">
        <v>343</v>
      </c>
      <c r="D1189" t="s">
        <v>32</v>
      </c>
      <c r="E1189" t="s">
        <v>292</v>
      </c>
      <c r="F1189">
        <v>0.67618363163166362</v>
      </c>
      <c r="G1189">
        <v>0.85236726326332735</v>
      </c>
      <c r="H1189">
        <v>0.5</v>
      </c>
      <c r="I1189">
        <v>19395830000</v>
      </c>
      <c r="J1189">
        <v>39.6</v>
      </c>
      <c r="K1189">
        <v>8</v>
      </c>
    </row>
    <row r="1190" spans="1:11" x14ac:dyDescent="0.25">
      <c r="A1190" t="s">
        <v>370</v>
      </c>
      <c r="B1190" t="s">
        <v>348</v>
      </c>
      <c r="C1190" t="s">
        <v>349</v>
      </c>
      <c r="D1190" t="s">
        <v>32</v>
      </c>
      <c r="E1190" t="s">
        <v>26</v>
      </c>
      <c r="F1190">
        <v>0.67264533628416867</v>
      </c>
      <c r="G1190">
        <v>0.84529067256833745</v>
      </c>
      <c r="H1190">
        <v>0.5</v>
      </c>
      <c r="I1190">
        <v>183385962500</v>
      </c>
      <c r="J1190">
        <v>15.55</v>
      </c>
      <c r="K1190">
        <v>9</v>
      </c>
    </row>
    <row r="1191" spans="1:11" x14ac:dyDescent="0.25">
      <c r="A1191" t="s">
        <v>370</v>
      </c>
      <c r="B1191" t="s">
        <v>229</v>
      </c>
      <c r="C1191" t="s">
        <v>230</v>
      </c>
      <c r="D1191" t="s">
        <v>18</v>
      </c>
      <c r="E1191" t="s">
        <v>29</v>
      </c>
      <c r="F1191">
        <v>0.64799563299569374</v>
      </c>
      <c r="G1191">
        <v>0.94599126599138739</v>
      </c>
      <c r="H1191">
        <v>0.35</v>
      </c>
      <c r="I1191">
        <v>32563344200</v>
      </c>
      <c r="J1191">
        <v>24.5</v>
      </c>
      <c r="K1191">
        <v>10</v>
      </c>
    </row>
    <row r="1192" spans="1:11" x14ac:dyDescent="0.25">
      <c r="A1192" t="s">
        <v>370</v>
      </c>
      <c r="B1192" t="s">
        <v>158</v>
      </c>
      <c r="C1192" t="s">
        <v>159</v>
      </c>
      <c r="D1192" t="s">
        <v>32</v>
      </c>
      <c r="E1192" t="s">
        <v>160</v>
      </c>
      <c r="F1192">
        <v>0.63204094983781478</v>
      </c>
      <c r="G1192">
        <v>0.71408189967562952</v>
      </c>
      <c r="H1192">
        <v>0.55000000000000004</v>
      </c>
      <c r="I1192">
        <v>31389623600</v>
      </c>
      <c r="J1192">
        <v>15.6</v>
      </c>
      <c r="K1192">
        <v>11</v>
      </c>
    </row>
    <row r="1193" spans="1:11" x14ac:dyDescent="0.25">
      <c r="A1193" t="s">
        <v>370</v>
      </c>
      <c r="B1193" t="s">
        <v>82</v>
      </c>
      <c r="C1193" t="s">
        <v>83</v>
      </c>
      <c r="D1193" t="s">
        <v>32</v>
      </c>
      <c r="E1193" t="s">
        <v>39</v>
      </c>
      <c r="F1193">
        <v>0.62574872758845346</v>
      </c>
      <c r="G1193">
        <v>0.80149745517690685</v>
      </c>
      <c r="H1193">
        <v>0.45</v>
      </c>
      <c r="I1193">
        <v>37168773100</v>
      </c>
      <c r="J1193">
        <v>18.149999999999999</v>
      </c>
      <c r="K1193">
        <v>12</v>
      </c>
    </row>
    <row r="1194" spans="1:11" x14ac:dyDescent="0.25">
      <c r="A1194" t="s">
        <v>370</v>
      </c>
      <c r="B1194" t="s">
        <v>211</v>
      </c>
      <c r="C1194" t="s">
        <v>212</v>
      </c>
      <c r="D1194" t="s">
        <v>32</v>
      </c>
      <c r="E1194" t="s">
        <v>33</v>
      </c>
      <c r="F1194">
        <v>0.614324988948729</v>
      </c>
      <c r="G1194">
        <v>0.978649977897458</v>
      </c>
      <c r="H1194">
        <v>0.25</v>
      </c>
      <c r="I1194">
        <v>7932774680</v>
      </c>
      <c r="J1194">
        <v>14.05</v>
      </c>
      <c r="K1194">
        <v>13</v>
      </c>
    </row>
    <row r="1195" spans="1:11" x14ac:dyDescent="0.25">
      <c r="A1195" t="s">
        <v>370</v>
      </c>
      <c r="B1195" t="s">
        <v>94</v>
      </c>
      <c r="C1195" t="s">
        <v>95</v>
      </c>
      <c r="D1195" t="s">
        <v>32</v>
      </c>
      <c r="E1195" t="s">
        <v>33</v>
      </c>
      <c r="F1195">
        <v>0.61249880066193541</v>
      </c>
      <c r="G1195">
        <v>0.52499760132387074</v>
      </c>
      <c r="H1195">
        <v>0.7</v>
      </c>
      <c r="I1195">
        <v>3328445820</v>
      </c>
      <c r="J1195">
        <v>2.17</v>
      </c>
      <c r="K1195">
        <v>14</v>
      </c>
    </row>
    <row r="1196" spans="1:11" x14ac:dyDescent="0.25">
      <c r="A1196" t="s">
        <v>370</v>
      </c>
      <c r="B1196" t="s">
        <v>351</v>
      </c>
      <c r="C1196" t="s">
        <v>352</v>
      </c>
      <c r="D1196" t="s">
        <v>32</v>
      </c>
      <c r="E1196" t="s">
        <v>353</v>
      </c>
      <c r="F1196">
        <v>0.60883812342985455</v>
      </c>
      <c r="G1196">
        <v>0.76767624685970903</v>
      </c>
      <c r="H1196">
        <v>0.45</v>
      </c>
      <c r="I1196">
        <v>10451028200</v>
      </c>
      <c r="J1196">
        <v>25.29</v>
      </c>
      <c r="K1196">
        <v>15</v>
      </c>
    </row>
    <row r="1197" spans="1:11" x14ac:dyDescent="0.25">
      <c r="A1197" t="s">
        <v>370</v>
      </c>
      <c r="B1197" t="s">
        <v>371</v>
      </c>
      <c r="C1197" t="s">
        <v>372</v>
      </c>
      <c r="D1197" t="s">
        <v>18</v>
      </c>
      <c r="E1197" t="s">
        <v>33</v>
      </c>
      <c r="F1197">
        <v>0.60872555255646588</v>
      </c>
      <c r="G1197">
        <v>0.91745110511293171</v>
      </c>
      <c r="H1197">
        <v>0.3</v>
      </c>
      <c r="I1197">
        <v>111819990800</v>
      </c>
      <c r="J1197">
        <v>15.6</v>
      </c>
      <c r="K1197">
        <v>16</v>
      </c>
    </row>
    <row r="1198" spans="1:11" x14ac:dyDescent="0.25">
      <c r="A1198" t="s">
        <v>370</v>
      </c>
      <c r="B1198" t="s">
        <v>335</v>
      </c>
      <c r="C1198" t="s">
        <v>336</v>
      </c>
      <c r="D1198" t="s">
        <v>18</v>
      </c>
      <c r="E1198" t="s">
        <v>33</v>
      </c>
      <c r="F1198">
        <v>0.60536507387933369</v>
      </c>
      <c r="G1198">
        <v>0.6107301477586673</v>
      </c>
      <c r="H1198">
        <v>0.6</v>
      </c>
      <c r="I1198">
        <v>3973354400</v>
      </c>
      <c r="J1198">
        <v>7.2</v>
      </c>
      <c r="K1198">
        <v>17</v>
      </c>
    </row>
    <row r="1199" spans="1:11" x14ac:dyDescent="0.25">
      <c r="A1199" t="s">
        <v>370</v>
      </c>
      <c r="B1199" t="s">
        <v>365</v>
      </c>
      <c r="C1199" t="s">
        <v>366</v>
      </c>
      <c r="D1199" t="s">
        <v>32</v>
      </c>
      <c r="E1199" t="s">
        <v>33</v>
      </c>
      <c r="F1199">
        <v>0.60032538504700395</v>
      </c>
      <c r="G1199">
        <v>0.95065077009400789</v>
      </c>
      <c r="H1199">
        <v>0.25</v>
      </c>
      <c r="I1199">
        <v>117859966100</v>
      </c>
      <c r="J1199">
        <v>38.35</v>
      </c>
      <c r="K1199">
        <v>18</v>
      </c>
    </row>
    <row r="1200" spans="1:11" x14ac:dyDescent="0.25">
      <c r="A1200" t="s">
        <v>370</v>
      </c>
      <c r="B1200" t="s">
        <v>368</v>
      </c>
      <c r="C1200" t="s">
        <v>369</v>
      </c>
      <c r="D1200" t="s">
        <v>32</v>
      </c>
      <c r="E1200" t="s">
        <v>33</v>
      </c>
      <c r="F1200">
        <v>0.59616889150149244</v>
      </c>
      <c r="G1200">
        <v>0.59616889150149244</v>
      </c>
      <c r="I1200">
        <v>3929806800</v>
      </c>
      <c r="J1200">
        <v>24.9</v>
      </c>
      <c r="K1200">
        <v>19</v>
      </c>
    </row>
    <row r="1201" spans="1:11" x14ac:dyDescent="0.25">
      <c r="A1201" t="s">
        <v>370</v>
      </c>
      <c r="B1201" t="s">
        <v>301</v>
      </c>
      <c r="C1201" t="s">
        <v>302</v>
      </c>
      <c r="D1201" t="s">
        <v>32</v>
      </c>
      <c r="E1201" t="s">
        <v>74</v>
      </c>
      <c r="F1201">
        <v>0.5940336555130955</v>
      </c>
      <c r="G1201">
        <v>0.98806731102619105</v>
      </c>
      <c r="H1201">
        <v>0.2</v>
      </c>
      <c r="I1201">
        <v>6944522600</v>
      </c>
      <c r="J1201">
        <v>17</v>
      </c>
      <c r="K1201">
        <v>20</v>
      </c>
    </row>
    <row r="1202" spans="1:11" x14ac:dyDescent="0.25">
      <c r="A1202" t="s">
        <v>373</v>
      </c>
      <c r="B1202" t="s">
        <v>88</v>
      </c>
      <c r="C1202" t="s">
        <v>89</v>
      </c>
      <c r="D1202" t="s">
        <v>32</v>
      </c>
      <c r="E1202" t="s">
        <v>33</v>
      </c>
      <c r="F1202">
        <v>0.83244591451606031</v>
      </c>
      <c r="G1202">
        <v>0.96489182903212056</v>
      </c>
      <c r="H1202">
        <v>0.7</v>
      </c>
      <c r="I1202">
        <v>83758876940</v>
      </c>
      <c r="J1202">
        <v>14.7</v>
      </c>
      <c r="K1202">
        <v>1</v>
      </c>
    </row>
    <row r="1203" spans="1:11" x14ac:dyDescent="0.25">
      <c r="A1203" t="s">
        <v>373</v>
      </c>
      <c r="B1203" t="s">
        <v>237</v>
      </c>
      <c r="C1203" t="s">
        <v>238</v>
      </c>
      <c r="D1203" t="s">
        <v>32</v>
      </c>
      <c r="E1203" t="s">
        <v>33</v>
      </c>
      <c r="F1203">
        <v>0.73467717939953125</v>
      </c>
      <c r="G1203">
        <v>0.96935435879906251</v>
      </c>
      <c r="H1203">
        <v>0.5</v>
      </c>
      <c r="I1203">
        <v>617562415000</v>
      </c>
      <c r="J1203">
        <v>77.599999999999994</v>
      </c>
      <c r="K1203">
        <v>2</v>
      </c>
    </row>
    <row r="1204" spans="1:11" x14ac:dyDescent="0.25">
      <c r="A1204" t="s">
        <v>373</v>
      </c>
      <c r="B1204" t="s">
        <v>179</v>
      </c>
      <c r="C1204" t="s">
        <v>180</v>
      </c>
      <c r="D1204" t="s">
        <v>32</v>
      </c>
      <c r="E1204" t="s">
        <v>124</v>
      </c>
      <c r="F1204">
        <v>0.72877006592361027</v>
      </c>
      <c r="G1204">
        <v>0.95754013184722042</v>
      </c>
      <c r="H1204">
        <v>0.5</v>
      </c>
      <c r="I1204">
        <v>395926066400</v>
      </c>
      <c r="J1204">
        <v>35.450000000000003</v>
      </c>
      <c r="K1204">
        <v>3</v>
      </c>
    </row>
    <row r="1205" spans="1:11" x14ac:dyDescent="0.25">
      <c r="A1205" t="s">
        <v>373</v>
      </c>
      <c r="B1205" t="s">
        <v>261</v>
      </c>
      <c r="C1205" t="s">
        <v>262</v>
      </c>
      <c r="D1205" t="s">
        <v>32</v>
      </c>
      <c r="E1205" t="s">
        <v>42</v>
      </c>
      <c r="F1205">
        <v>0.72078902049905158</v>
      </c>
      <c r="G1205">
        <v>0.94157804099810316</v>
      </c>
      <c r="H1205">
        <v>0.5</v>
      </c>
      <c r="I1205">
        <v>122804435800</v>
      </c>
      <c r="J1205">
        <v>78</v>
      </c>
      <c r="K1205">
        <v>4</v>
      </c>
    </row>
    <row r="1206" spans="1:11" x14ac:dyDescent="0.25">
      <c r="A1206" t="s">
        <v>373</v>
      </c>
      <c r="B1206" t="s">
        <v>309</v>
      </c>
      <c r="C1206" t="s">
        <v>310</v>
      </c>
      <c r="D1206" t="s">
        <v>32</v>
      </c>
      <c r="E1206" t="s">
        <v>33</v>
      </c>
      <c r="F1206">
        <v>0.7100526423431518</v>
      </c>
      <c r="G1206">
        <v>0.97010528468630353</v>
      </c>
      <c r="H1206">
        <v>0.45</v>
      </c>
      <c r="I1206">
        <v>241594177800</v>
      </c>
      <c r="J1206">
        <v>14.15</v>
      </c>
      <c r="K1206">
        <v>5</v>
      </c>
    </row>
    <row r="1207" spans="1:11" x14ac:dyDescent="0.25">
      <c r="A1207" t="s">
        <v>373</v>
      </c>
      <c r="B1207" t="s">
        <v>371</v>
      </c>
      <c r="C1207" t="s">
        <v>372</v>
      </c>
      <c r="D1207" t="s">
        <v>18</v>
      </c>
      <c r="E1207" t="s">
        <v>33</v>
      </c>
      <c r="F1207">
        <v>0.71001525107078556</v>
      </c>
      <c r="G1207">
        <v>0.97003050214157116</v>
      </c>
      <c r="H1207">
        <v>0.45</v>
      </c>
      <c r="I1207">
        <v>117357878000</v>
      </c>
      <c r="J1207">
        <v>16.5</v>
      </c>
      <c r="K1207">
        <v>6</v>
      </c>
    </row>
    <row r="1208" spans="1:11" x14ac:dyDescent="0.25">
      <c r="A1208" t="s">
        <v>373</v>
      </c>
      <c r="B1208" t="s">
        <v>287</v>
      </c>
      <c r="C1208" t="s">
        <v>288</v>
      </c>
      <c r="D1208" t="s">
        <v>14</v>
      </c>
      <c r="E1208" t="s">
        <v>59</v>
      </c>
      <c r="F1208">
        <v>0.67227343716927646</v>
      </c>
      <c r="G1208">
        <v>0.84454687433855302</v>
      </c>
      <c r="H1208">
        <v>0.5</v>
      </c>
      <c r="I1208">
        <v>55094147400</v>
      </c>
      <c r="J1208">
        <v>24.8</v>
      </c>
      <c r="K1208">
        <v>7</v>
      </c>
    </row>
    <row r="1209" spans="1:11" x14ac:dyDescent="0.25">
      <c r="A1209" t="s">
        <v>373</v>
      </c>
      <c r="B1209" t="s">
        <v>211</v>
      </c>
      <c r="C1209" t="s">
        <v>212</v>
      </c>
      <c r="D1209" t="s">
        <v>32</v>
      </c>
      <c r="E1209" t="s">
        <v>33</v>
      </c>
      <c r="F1209">
        <v>0.67059292243695368</v>
      </c>
      <c r="G1209">
        <v>0.99118584487390737</v>
      </c>
      <c r="H1209">
        <v>0.35</v>
      </c>
      <c r="I1209">
        <v>8295506880</v>
      </c>
      <c r="J1209">
        <v>14.7</v>
      </c>
      <c r="K1209">
        <v>8</v>
      </c>
    </row>
    <row r="1210" spans="1:11" x14ac:dyDescent="0.25">
      <c r="A1210" t="s">
        <v>373</v>
      </c>
      <c r="B1210" t="s">
        <v>340</v>
      </c>
      <c r="C1210" t="s">
        <v>341</v>
      </c>
      <c r="D1210" t="s">
        <v>14</v>
      </c>
      <c r="E1210" t="s">
        <v>74</v>
      </c>
      <c r="F1210">
        <v>0.6690171349415559</v>
      </c>
      <c r="G1210">
        <v>0.83803426988311169</v>
      </c>
      <c r="H1210">
        <v>0.5</v>
      </c>
      <c r="I1210">
        <v>2105293600</v>
      </c>
      <c r="J1210">
        <v>38.700000000000003</v>
      </c>
      <c r="K1210">
        <v>9</v>
      </c>
    </row>
    <row r="1211" spans="1:11" x14ac:dyDescent="0.25">
      <c r="A1211" t="s">
        <v>373</v>
      </c>
      <c r="B1211" t="s">
        <v>229</v>
      </c>
      <c r="C1211" t="s">
        <v>230</v>
      </c>
      <c r="D1211" t="s">
        <v>18</v>
      </c>
      <c r="E1211" t="s">
        <v>29</v>
      </c>
      <c r="F1211">
        <v>0.65196455311771717</v>
      </c>
      <c r="G1211">
        <v>0.95392910623543437</v>
      </c>
      <c r="H1211">
        <v>0.35</v>
      </c>
      <c r="I1211">
        <v>33377631200</v>
      </c>
      <c r="J1211">
        <v>24.7</v>
      </c>
      <c r="K1211">
        <v>10</v>
      </c>
    </row>
    <row r="1212" spans="1:11" x14ac:dyDescent="0.25">
      <c r="A1212" t="s">
        <v>373</v>
      </c>
      <c r="B1212" t="s">
        <v>342</v>
      </c>
      <c r="C1212" t="s">
        <v>343</v>
      </c>
      <c r="D1212" t="s">
        <v>32</v>
      </c>
      <c r="E1212" t="s">
        <v>292</v>
      </c>
      <c r="F1212">
        <v>0.64310429418364445</v>
      </c>
      <c r="G1212">
        <v>0.78620858836728891</v>
      </c>
      <c r="H1212">
        <v>0.5</v>
      </c>
      <c r="I1212">
        <v>19736865800</v>
      </c>
      <c r="J1212">
        <v>38.75</v>
      </c>
      <c r="K1212">
        <v>11</v>
      </c>
    </row>
    <row r="1213" spans="1:11" x14ac:dyDescent="0.25">
      <c r="A1213" t="s">
        <v>373</v>
      </c>
      <c r="B1213" t="s">
        <v>82</v>
      </c>
      <c r="C1213" t="s">
        <v>83</v>
      </c>
      <c r="D1213" t="s">
        <v>32</v>
      </c>
      <c r="E1213" t="s">
        <v>39</v>
      </c>
      <c r="F1213">
        <v>0.63183025774327861</v>
      </c>
      <c r="G1213">
        <v>0.81366051548655716</v>
      </c>
      <c r="H1213">
        <v>0.45</v>
      </c>
      <c r="I1213">
        <v>37150378500</v>
      </c>
      <c r="J1213">
        <v>18.2</v>
      </c>
      <c r="K1213">
        <v>12</v>
      </c>
    </row>
    <row r="1214" spans="1:11" x14ac:dyDescent="0.25">
      <c r="A1214" t="s">
        <v>373</v>
      </c>
      <c r="B1214" t="s">
        <v>263</v>
      </c>
      <c r="C1214" t="s">
        <v>264</v>
      </c>
      <c r="D1214" t="s">
        <v>32</v>
      </c>
      <c r="E1214" t="s">
        <v>259</v>
      </c>
      <c r="F1214">
        <v>0.62292343892786839</v>
      </c>
      <c r="G1214">
        <v>0.89584687785573691</v>
      </c>
      <c r="H1214">
        <v>0.35</v>
      </c>
      <c r="I1214">
        <v>104059667800</v>
      </c>
      <c r="J1214">
        <v>37.65</v>
      </c>
      <c r="K1214">
        <v>13</v>
      </c>
    </row>
    <row r="1215" spans="1:11" x14ac:dyDescent="0.25">
      <c r="A1215" t="s">
        <v>373</v>
      </c>
      <c r="B1215" t="s">
        <v>173</v>
      </c>
      <c r="C1215" t="s">
        <v>174</v>
      </c>
      <c r="D1215" t="s">
        <v>32</v>
      </c>
      <c r="E1215" t="s">
        <v>74</v>
      </c>
      <c r="F1215">
        <v>0.61982826189023699</v>
      </c>
      <c r="G1215">
        <v>0.78965652378047402</v>
      </c>
      <c r="H1215">
        <v>0.45</v>
      </c>
      <c r="I1215">
        <v>956958714200</v>
      </c>
      <c r="J1215">
        <v>13.55</v>
      </c>
      <c r="K1215">
        <v>14</v>
      </c>
    </row>
    <row r="1216" spans="1:11" x14ac:dyDescent="0.25">
      <c r="A1216" t="s">
        <v>373</v>
      </c>
      <c r="B1216" t="s">
        <v>351</v>
      </c>
      <c r="C1216" t="s">
        <v>352</v>
      </c>
      <c r="D1216" t="s">
        <v>32</v>
      </c>
      <c r="E1216" t="s">
        <v>353</v>
      </c>
      <c r="F1216">
        <v>0.61276930546645569</v>
      </c>
      <c r="G1216">
        <v>0.77553861093291143</v>
      </c>
      <c r="H1216">
        <v>0.45</v>
      </c>
      <c r="I1216">
        <v>10871377400</v>
      </c>
      <c r="J1216">
        <v>24.8</v>
      </c>
      <c r="K1216">
        <v>15</v>
      </c>
    </row>
    <row r="1217" spans="1:11" x14ac:dyDescent="0.25">
      <c r="A1217" t="s">
        <v>373</v>
      </c>
      <c r="B1217" t="s">
        <v>158</v>
      </c>
      <c r="C1217" t="s">
        <v>159</v>
      </c>
      <c r="D1217" t="s">
        <v>32</v>
      </c>
      <c r="E1217" t="s">
        <v>160</v>
      </c>
      <c r="F1217">
        <v>0.5942211796939364</v>
      </c>
      <c r="G1217">
        <v>0.78844235938787277</v>
      </c>
      <c r="H1217">
        <v>0.4</v>
      </c>
      <c r="I1217">
        <v>31738229000</v>
      </c>
      <c r="J1217">
        <v>15.75</v>
      </c>
      <c r="K1217">
        <v>16</v>
      </c>
    </row>
    <row r="1218" spans="1:11" x14ac:dyDescent="0.25">
      <c r="A1218" t="s">
        <v>373</v>
      </c>
      <c r="B1218" t="s">
        <v>223</v>
      </c>
      <c r="C1218" t="s">
        <v>224</v>
      </c>
      <c r="D1218" t="s">
        <v>32</v>
      </c>
      <c r="E1218" t="s">
        <v>26</v>
      </c>
      <c r="F1218">
        <v>0.59115456950109224</v>
      </c>
      <c r="G1218">
        <v>0.98230913900218442</v>
      </c>
      <c r="H1218">
        <v>0.2</v>
      </c>
      <c r="I1218">
        <v>55511772700</v>
      </c>
      <c r="J1218">
        <v>68.7</v>
      </c>
      <c r="K1218">
        <v>17</v>
      </c>
    </row>
    <row r="1219" spans="1:11" x14ac:dyDescent="0.25">
      <c r="A1219" t="s">
        <v>373</v>
      </c>
      <c r="B1219" t="s">
        <v>348</v>
      </c>
      <c r="C1219" t="s">
        <v>349</v>
      </c>
      <c r="D1219" t="s">
        <v>32</v>
      </c>
      <c r="E1219" t="s">
        <v>26</v>
      </c>
      <c r="F1219">
        <v>0.57980829128180023</v>
      </c>
      <c r="G1219">
        <v>0.80961658256360047</v>
      </c>
      <c r="H1219">
        <v>0.35</v>
      </c>
      <c r="I1219">
        <v>187378317300</v>
      </c>
      <c r="J1219">
        <v>15.4</v>
      </c>
      <c r="K1219">
        <v>18</v>
      </c>
    </row>
    <row r="1220" spans="1:11" x14ac:dyDescent="0.25">
      <c r="A1220" t="s">
        <v>373</v>
      </c>
      <c r="B1220" t="s">
        <v>335</v>
      </c>
      <c r="C1220" t="s">
        <v>336</v>
      </c>
      <c r="D1220" t="s">
        <v>18</v>
      </c>
      <c r="E1220" t="s">
        <v>33</v>
      </c>
      <c r="F1220">
        <v>0.57884245175831506</v>
      </c>
      <c r="G1220">
        <v>0.50768490351663009</v>
      </c>
      <c r="H1220">
        <v>0.65</v>
      </c>
      <c r="I1220">
        <v>3992973800</v>
      </c>
      <c r="J1220">
        <v>6.9</v>
      </c>
      <c r="K1220">
        <v>19</v>
      </c>
    </row>
    <row r="1221" spans="1:11" x14ac:dyDescent="0.25">
      <c r="A1221" t="s">
        <v>373</v>
      </c>
      <c r="B1221" t="s">
        <v>374</v>
      </c>
      <c r="C1221" t="s">
        <v>375</v>
      </c>
      <c r="D1221" t="s">
        <v>32</v>
      </c>
      <c r="E1221" t="s">
        <v>33</v>
      </c>
      <c r="F1221">
        <v>0.57642629686874369</v>
      </c>
      <c r="G1221">
        <v>0.90285259373748739</v>
      </c>
      <c r="H1221">
        <v>0.25</v>
      </c>
      <c r="I1221">
        <v>330175002600</v>
      </c>
      <c r="J1221">
        <v>27.5</v>
      </c>
      <c r="K1221">
        <v>20</v>
      </c>
    </row>
    <row r="1222" spans="1:11" x14ac:dyDescent="0.25">
      <c r="A1222" t="s">
        <v>376</v>
      </c>
      <c r="B1222" t="s">
        <v>88</v>
      </c>
      <c r="C1222" t="s">
        <v>89</v>
      </c>
      <c r="D1222" t="s">
        <v>32</v>
      </c>
      <c r="E1222" t="s">
        <v>33</v>
      </c>
      <c r="F1222">
        <v>0.78795993930106079</v>
      </c>
      <c r="G1222">
        <v>0.97591987860212148</v>
      </c>
      <c r="H1222">
        <v>0.6</v>
      </c>
      <c r="I1222">
        <v>85527518600</v>
      </c>
      <c r="J1222">
        <v>15.15</v>
      </c>
      <c r="K1222">
        <v>1</v>
      </c>
    </row>
    <row r="1223" spans="1:11" x14ac:dyDescent="0.25">
      <c r="A1223" t="s">
        <v>376</v>
      </c>
      <c r="B1223" t="s">
        <v>237</v>
      </c>
      <c r="C1223" t="s">
        <v>238</v>
      </c>
      <c r="D1223" t="s">
        <v>32</v>
      </c>
      <c r="E1223" t="s">
        <v>33</v>
      </c>
      <c r="F1223">
        <v>0.75349773664339526</v>
      </c>
      <c r="G1223">
        <v>0.95699547328679058</v>
      </c>
      <c r="H1223">
        <v>0.55000000000000004</v>
      </c>
      <c r="I1223">
        <v>613411884000</v>
      </c>
      <c r="J1223">
        <v>77</v>
      </c>
      <c r="K1223">
        <v>2</v>
      </c>
    </row>
    <row r="1224" spans="1:11" x14ac:dyDescent="0.25">
      <c r="A1224" t="s">
        <v>376</v>
      </c>
      <c r="B1224" t="s">
        <v>342</v>
      </c>
      <c r="C1224" t="s">
        <v>343</v>
      </c>
      <c r="D1224" t="s">
        <v>32</v>
      </c>
      <c r="E1224" t="s">
        <v>292</v>
      </c>
      <c r="F1224">
        <v>0.72212244451629704</v>
      </c>
      <c r="G1224">
        <v>0.94424488903259396</v>
      </c>
      <c r="H1224">
        <v>0.5</v>
      </c>
      <c r="I1224">
        <v>20667733200</v>
      </c>
      <c r="J1224">
        <v>41.45</v>
      </c>
      <c r="K1224">
        <v>3</v>
      </c>
    </row>
    <row r="1225" spans="1:11" x14ac:dyDescent="0.25">
      <c r="A1225" t="s">
        <v>376</v>
      </c>
      <c r="B1225" t="s">
        <v>70</v>
      </c>
      <c r="C1225" t="s">
        <v>71</v>
      </c>
      <c r="D1225" t="s">
        <v>32</v>
      </c>
      <c r="E1225" t="s">
        <v>33</v>
      </c>
      <c r="F1225">
        <v>0.71565277173860475</v>
      </c>
      <c r="G1225">
        <v>0.83130554347720942</v>
      </c>
      <c r="H1225">
        <v>0.6</v>
      </c>
      <c r="I1225">
        <v>18020410480</v>
      </c>
      <c r="J1225">
        <v>6.64</v>
      </c>
      <c r="K1225">
        <v>4</v>
      </c>
    </row>
    <row r="1226" spans="1:11" x14ac:dyDescent="0.25">
      <c r="A1226" t="s">
        <v>376</v>
      </c>
      <c r="B1226" t="s">
        <v>348</v>
      </c>
      <c r="C1226" t="s">
        <v>349</v>
      </c>
      <c r="D1226" t="s">
        <v>32</v>
      </c>
      <c r="E1226" t="s">
        <v>26</v>
      </c>
      <c r="F1226">
        <v>0.71087143765609151</v>
      </c>
      <c r="G1226">
        <v>0.87174287531218297</v>
      </c>
      <c r="H1226">
        <v>0.55000000000000004</v>
      </c>
      <c r="I1226">
        <v>189388694400</v>
      </c>
      <c r="J1226">
        <v>15.8</v>
      </c>
      <c r="K1226">
        <v>5</v>
      </c>
    </row>
    <row r="1227" spans="1:11" x14ac:dyDescent="0.25">
      <c r="A1227" t="s">
        <v>376</v>
      </c>
      <c r="B1227" t="s">
        <v>309</v>
      </c>
      <c r="C1227" t="s">
        <v>310</v>
      </c>
      <c r="D1227" t="s">
        <v>32</v>
      </c>
      <c r="E1227" t="s">
        <v>33</v>
      </c>
      <c r="F1227">
        <v>0.70943598858985091</v>
      </c>
      <c r="G1227">
        <v>0.96887197717970175</v>
      </c>
      <c r="H1227">
        <v>0.45</v>
      </c>
      <c r="I1227">
        <v>247120074900</v>
      </c>
      <c r="J1227">
        <v>14.55</v>
      </c>
      <c r="K1227">
        <v>6</v>
      </c>
    </row>
    <row r="1228" spans="1:11" x14ac:dyDescent="0.25">
      <c r="A1228" t="s">
        <v>376</v>
      </c>
      <c r="B1228" t="s">
        <v>179</v>
      </c>
      <c r="C1228" t="s">
        <v>180</v>
      </c>
      <c r="D1228" t="s">
        <v>32</v>
      </c>
      <c r="E1228" t="s">
        <v>124</v>
      </c>
      <c r="F1228">
        <v>0.68953494631071588</v>
      </c>
      <c r="G1228">
        <v>0.9290698926214318</v>
      </c>
      <c r="H1228">
        <v>0.45</v>
      </c>
      <c r="I1228">
        <v>399341318000</v>
      </c>
      <c r="J1228">
        <v>35</v>
      </c>
      <c r="K1228">
        <v>7</v>
      </c>
    </row>
    <row r="1229" spans="1:11" x14ac:dyDescent="0.25">
      <c r="A1229" t="s">
        <v>376</v>
      </c>
      <c r="B1229" t="s">
        <v>287</v>
      </c>
      <c r="C1229" t="s">
        <v>288</v>
      </c>
      <c r="D1229" t="s">
        <v>14</v>
      </c>
      <c r="E1229" t="s">
        <v>59</v>
      </c>
      <c r="F1229">
        <v>0.68369169056676204</v>
      </c>
      <c r="G1229">
        <v>0.91738338113352402</v>
      </c>
      <c r="H1229">
        <v>0.45</v>
      </c>
      <c r="I1229">
        <v>56914517200</v>
      </c>
      <c r="J1229">
        <v>25.7</v>
      </c>
      <c r="K1229">
        <v>8</v>
      </c>
    </row>
    <row r="1230" spans="1:11" x14ac:dyDescent="0.25">
      <c r="A1230" t="s">
        <v>376</v>
      </c>
      <c r="B1230" t="s">
        <v>340</v>
      </c>
      <c r="C1230" t="s">
        <v>341</v>
      </c>
      <c r="D1230" t="s">
        <v>14</v>
      </c>
      <c r="E1230" t="s">
        <v>74</v>
      </c>
      <c r="F1230">
        <v>0.67591726048954404</v>
      </c>
      <c r="G1230">
        <v>0.85183452097908796</v>
      </c>
      <c r="H1230">
        <v>0.5</v>
      </c>
      <c r="I1230">
        <v>2109854600</v>
      </c>
      <c r="J1230">
        <v>38.5</v>
      </c>
      <c r="K1230">
        <v>9</v>
      </c>
    </row>
    <row r="1231" spans="1:11" x14ac:dyDescent="0.25">
      <c r="A1231" t="s">
        <v>376</v>
      </c>
      <c r="B1231" t="s">
        <v>158</v>
      </c>
      <c r="C1231" t="s">
        <v>159</v>
      </c>
      <c r="D1231" t="s">
        <v>32</v>
      </c>
      <c r="E1231" t="s">
        <v>160</v>
      </c>
      <c r="F1231">
        <v>0.67225134935114372</v>
      </c>
      <c r="G1231">
        <v>0.94450269870228742</v>
      </c>
      <c r="H1231">
        <v>0.4</v>
      </c>
      <c r="I1231">
        <v>33225311100</v>
      </c>
      <c r="J1231">
        <v>16.850000000000001</v>
      </c>
      <c r="K1231">
        <v>10</v>
      </c>
    </row>
    <row r="1232" spans="1:11" x14ac:dyDescent="0.25">
      <c r="A1232" t="s">
        <v>376</v>
      </c>
      <c r="B1232" t="s">
        <v>371</v>
      </c>
      <c r="C1232" t="s">
        <v>372</v>
      </c>
      <c r="D1232" t="s">
        <v>18</v>
      </c>
      <c r="E1232" t="s">
        <v>33</v>
      </c>
      <c r="F1232">
        <v>0.66975598672448888</v>
      </c>
      <c r="G1232">
        <v>0.98951197344897779</v>
      </c>
      <c r="H1232">
        <v>0.35</v>
      </c>
      <c r="I1232">
        <v>125151706000</v>
      </c>
      <c r="J1232">
        <v>17.899999999999999</v>
      </c>
      <c r="K1232">
        <v>11</v>
      </c>
    </row>
    <row r="1233" spans="1:11" x14ac:dyDescent="0.25">
      <c r="A1233" t="s">
        <v>376</v>
      </c>
      <c r="B1233" t="s">
        <v>335</v>
      </c>
      <c r="C1233" t="s">
        <v>336</v>
      </c>
      <c r="D1233" t="s">
        <v>18</v>
      </c>
      <c r="E1233" t="s">
        <v>33</v>
      </c>
      <c r="F1233">
        <v>0.66624579065108136</v>
      </c>
      <c r="G1233">
        <v>0.6824915813021627</v>
      </c>
      <c r="H1233">
        <v>0.65</v>
      </c>
      <c r="I1233">
        <v>4144865000</v>
      </c>
      <c r="J1233">
        <v>7.2</v>
      </c>
      <c r="K1233">
        <v>12</v>
      </c>
    </row>
    <row r="1234" spans="1:11" x14ac:dyDescent="0.25">
      <c r="A1234" t="s">
        <v>376</v>
      </c>
      <c r="B1234" t="s">
        <v>103</v>
      </c>
      <c r="C1234" t="s">
        <v>104</v>
      </c>
      <c r="D1234" t="s">
        <v>32</v>
      </c>
      <c r="E1234" t="s">
        <v>39</v>
      </c>
      <c r="F1234">
        <v>0.66238305888382532</v>
      </c>
      <c r="G1234">
        <v>0.9247661177676505</v>
      </c>
      <c r="H1234">
        <v>0.4</v>
      </c>
      <c r="I1234">
        <v>29323309100</v>
      </c>
      <c r="J1234">
        <v>28.35</v>
      </c>
      <c r="K1234">
        <v>13</v>
      </c>
    </row>
    <row r="1235" spans="1:11" x14ac:dyDescent="0.25">
      <c r="A1235" t="s">
        <v>376</v>
      </c>
      <c r="B1235" t="s">
        <v>173</v>
      </c>
      <c r="C1235" t="s">
        <v>174</v>
      </c>
      <c r="D1235" t="s">
        <v>32</v>
      </c>
      <c r="E1235" t="s">
        <v>74</v>
      </c>
      <c r="F1235">
        <v>0.64146071656671166</v>
      </c>
      <c r="G1235">
        <v>0.78292143313342333</v>
      </c>
      <c r="H1235">
        <v>0.5</v>
      </c>
      <c r="I1235">
        <v>955654714000</v>
      </c>
      <c r="J1235">
        <v>13.7</v>
      </c>
      <c r="K1235">
        <v>14</v>
      </c>
    </row>
    <row r="1236" spans="1:11" x14ac:dyDescent="0.25">
      <c r="A1236" t="s">
        <v>376</v>
      </c>
      <c r="B1236" t="s">
        <v>223</v>
      </c>
      <c r="C1236" t="s">
        <v>224</v>
      </c>
      <c r="D1236" t="s">
        <v>32</v>
      </c>
      <c r="E1236" t="s">
        <v>26</v>
      </c>
      <c r="F1236">
        <v>0.63722435996904758</v>
      </c>
      <c r="G1236">
        <v>0.97444871993809523</v>
      </c>
      <c r="H1236">
        <v>0.3</v>
      </c>
      <c r="I1236">
        <v>56535033700</v>
      </c>
      <c r="J1236">
        <v>68.7</v>
      </c>
      <c r="K1236">
        <v>15</v>
      </c>
    </row>
    <row r="1237" spans="1:11" x14ac:dyDescent="0.25">
      <c r="A1237" t="s">
        <v>376</v>
      </c>
      <c r="B1237" t="s">
        <v>135</v>
      </c>
      <c r="C1237" t="s">
        <v>136</v>
      </c>
      <c r="D1237" t="s">
        <v>32</v>
      </c>
      <c r="E1237" t="s">
        <v>29</v>
      </c>
      <c r="F1237">
        <v>0.63428699717405757</v>
      </c>
      <c r="G1237">
        <v>0.81857399434811506</v>
      </c>
      <c r="H1237">
        <v>0.45</v>
      </c>
      <c r="I1237">
        <v>331221408700</v>
      </c>
      <c r="J1237">
        <v>16.350000000000001</v>
      </c>
      <c r="K1237">
        <v>16</v>
      </c>
    </row>
    <row r="1238" spans="1:11" x14ac:dyDescent="0.25">
      <c r="A1238" t="s">
        <v>376</v>
      </c>
      <c r="B1238" t="s">
        <v>329</v>
      </c>
      <c r="C1238" t="s">
        <v>330</v>
      </c>
      <c r="D1238" t="s">
        <v>18</v>
      </c>
      <c r="E1238" t="s">
        <v>26</v>
      </c>
      <c r="F1238">
        <v>0.62111087003224119</v>
      </c>
      <c r="G1238">
        <v>0.84222174006448225</v>
      </c>
      <c r="H1238">
        <v>0.4</v>
      </c>
      <c r="I1238">
        <v>6335306200</v>
      </c>
      <c r="J1238">
        <v>32.4</v>
      </c>
      <c r="K1238">
        <v>17</v>
      </c>
    </row>
    <row r="1239" spans="1:11" x14ac:dyDescent="0.25">
      <c r="A1239" t="s">
        <v>376</v>
      </c>
      <c r="B1239" t="s">
        <v>263</v>
      </c>
      <c r="C1239" t="s">
        <v>264</v>
      </c>
      <c r="D1239" t="s">
        <v>32</v>
      </c>
      <c r="E1239" t="s">
        <v>259</v>
      </c>
      <c r="F1239">
        <v>0.62095355514240058</v>
      </c>
      <c r="G1239">
        <v>0.89190711028480119</v>
      </c>
      <c r="H1239">
        <v>0.35</v>
      </c>
      <c r="I1239">
        <v>105903534800</v>
      </c>
      <c r="J1239">
        <v>37.950000000000003</v>
      </c>
      <c r="K1239">
        <v>18</v>
      </c>
    </row>
    <row r="1240" spans="1:11" x14ac:dyDescent="0.25">
      <c r="A1240" t="s">
        <v>376</v>
      </c>
      <c r="B1240" t="s">
        <v>108</v>
      </c>
      <c r="C1240" t="s">
        <v>109</v>
      </c>
      <c r="D1240" t="s">
        <v>32</v>
      </c>
      <c r="E1240" t="s">
        <v>33</v>
      </c>
      <c r="F1240">
        <v>0.61739116897418378</v>
      </c>
      <c r="G1240">
        <v>0.83478233794836754</v>
      </c>
      <c r="H1240">
        <v>0.4</v>
      </c>
      <c r="I1240">
        <v>173025271100</v>
      </c>
      <c r="J1240">
        <v>20.399999999999999</v>
      </c>
      <c r="K1240">
        <v>19</v>
      </c>
    </row>
    <row r="1241" spans="1:11" x14ac:dyDescent="0.25">
      <c r="A1241" t="s">
        <v>376</v>
      </c>
      <c r="B1241" t="s">
        <v>377</v>
      </c>
      <c r="C1241" t="s">
        <v>378</v>
      </c>
      <c r="D1241" t="s">
        <v>32</v>
      </c>
      <c r="E1241" t="s">
        <v>33</v>
      </c>
      <c r="F1241">
        <v>0.61541689053096205</v>
      </c>
      <c r="G1241">
        <v>0.78083378106192403</v>
      </c>
      <c r="H1241">
        <v>0.45</v>
      </c>
      <c r="I1241">
        <v>2557383920</v>
      </c>
      <c r="J1241">
        <v>4.68</v>
      </c>
      <c r="K1241">
        <v>20</v>
      </c>
    </row>
    <row r="1242" spans="1:11" x14ac:dyDescent="0.25">
      <c r="A1242" t="s">
        <v>379</v>
      </c>
      <c r="B1242" t="s">
        <v>88</v>
      </c>
      <c r="C1242" t="s">
        <v>89</v>
      </c>
      <c r="D1242" t="s">
        <v>32</v>
      </c>
      <c r="E1242" t="s">
        <v>33</v>
      </c>
      <c r="F1242">
        <v>0.81070249188715748</v>
      </c>
      <c r="G1242">
        <v>0.97140498377431483</v>
      </c>
      <c r="H1242">
        <v>0.65</v>
      </c>
      <c r="I1242">
        <v>87138877100</v>
      </c>
      <c r="J1242">
        <v>15.15</v>
      </c>
      <c r="K1242">
        <v>1</v>
      </c>
    </row>
    <row r="1243" spans="1:11" x14ac:dyDescent="0.25">
      <c r="A1243" t="s">
        <v>379</v>
      </c>
      <c r="B1243" t="s">
        <v>237</v>
      </c>
      <c r="C1243" t="s">
        <v>238</v>
      </c>
      <c r="D1243" t="s">
        <v>32</v>
      </c>
      <c r="E1243" t="s">
        <v>33</v>
      </c>
      <c r="F1243">
        <v>0.77872486665179541</v>
      </c>
      <c r="G1243">
        <v>0.95744973330359096</v>
      </c>
      <c r="H1243">
        <v>0.6</v>
      </c>
      <c r="I1243">
        <v>608088446100</v>
      </c>
      <c r="J1243">
        <v>77.599999999999994</v>
      </c>
      <c r="K1243">
        <v>2</v>
      </c>
    </row>
    <row r="1244" spans="1:11" x14ac:dyDescent="0.25">
      <c r="A1244" t="s">
        <v>379</v>
      </c>
      <c r="B1244" t="s">
        <v>135</v>
      </c>
      <c r="C1244" t="s">
        <v>136</v>
      </c>
      <c r="D1244" t="s">
        <v>32</v>
      </c>
      <c r="E1244" t="s">
        <v>29</v>
      </c>
      <c r="F1244">
        <v>0.74836043126225027</v>
      </c>
      <c r="G1244">
        <v>0.94672086252450061</v>
      </c>
      <c r="H1244">
        <v>0.55000000000000004</v>
      </c>
      <c r="I1244">
        <v>350252126600</v>
      </c>
      <c r="J1244">
        <v>17.45</v>
      </c>
      <c r="K1244">
        <v>3</v>
      </c>
    </row>
    <row r="1245" spans="1:11" x14ac:dyDescent="0.25">
      <c r="A1245" t="s">
        <v>379</v>
      </c>
      <c r="B1245" t="s">
        <v>380</v>
      </c>
      <c r="C1245" t="s">
        <v>381</v>
      </c>
      <c r="D1245" t="s">
        <v>18</v>
      </c>
      <c r="E1245" t="s">
        <v>382</v>
      </c>
      <c r="F1245">
        <v>0.72212045675301217</v>
      </c>
      <c r="G1245">
        <v>0.54424091350602444</v>
      </c>
      <c r="H1245">
        <v>0.9</v>
      </c>
      <c r="I1245">
        <v>4911081400</v>
      </c>
      <c r="J1245">
        <v>29.2</v>
      </c>
      <c r="K1245">
        <v>4</v>
      </c>
    </row>
    <row r="1246" spans="1:11" x14ac:dyDescent="0.25">
      <c r="A1246" t="s">
        <v>379</v>
      </c>
      <c r="B1246" t="s">
        <v>342</v>
      </c>
      <c r="C1246" t="s">
        <v>343</v>
      </c>
      <c r="D1246" t="s">
        <v>32</v>
      </c>
      <c r="E1246" t="s">
        <v>292</v>
      </c>
      <c r="F1246">
        <v>0.71698768780119293</v>
      </c>
      <c r="G1246">
        <v>0.8839753756023857</v>
      </c>
      <c r="H1246">
        <v>0.55000000000000004</v>
      </c>
      <c r="I1246">
        <v>21025772700</v>
      </c>
      <c r="J1246">
        <v>40.950000000000003</v>
      </c>
      <c r="K1246">
        <v>5</v>
      </c>
    </row>
    <row r="1247" spans="1:11" x14ac:dyDescent="0.25">
      <c r="A1247" t="s">
        <v>379</v>
      </c>
      <c r="B1247" t="s">
        <v>340</v>
      </c>
      <c r="C1247" t="s">
        <v>341</v>
      </c>
      <c r="D1247" t="s">
        <v>14</v>
      </c>
      <c r="E1247" t="s">
        <v>74</v>
      </c>
      <c r="F1247">
        <v>0.70189439859712932</v>
      </c>
      <c r="G1247">
        <v>0.85378879719425849</v>
      </c>
      <c r="H1247">
        <v>0.55000000000000004</v>
      </c>
      <c r="I1247">
        <v>2116190600</v>
      </c>
      <c r="J1247">
        <v>39</v>
      </c>
      <c r="K1247">
        <v>6</v>
      </c>
    </row>
    <row r="1248" spans="1:11" x14ac:dyDescent="0.25">
      <c r="A1248" t="s">
        <v>379</v>
      </c>
      <c r="B1248" t="s">
        <v>179</v>
      </c>
      <c r="C1248" t="s">
        <v>180</v>
      </c>
      <c r="D1248" t="s">
        <v>32</v>
      </c>
      <c r="E1248" t="s">
        <v>124</v>
      </c>
      <c r="F1248">
        <v>0.70067229519541785</v>
      </c>
      <c r="G1248">
        <v>0.95134459039083574</v>
      </c>
      <c r="H1248">
        <v>0.45</v>
      </c>
      <c r="I1248">
        <v>406092868800</v>
      </c>
      <c r="J1248">
        <v>35.9</v>
      </c>
      <c r="K1248">
        <v>7</v>
      </c>
    </row>
    <row r="1249" spans="1:11" x14ac:dyDescent="0.25">
      <c r="A1249" t="s">
        <v>379</v>
      </c>
      <c r="B1249" t="s">
        <v>132</v>
      </c>
      <c r="C1249" t="s">
        <v>133</v>
      </c>
      <c r="D1249" t="s">
        <v>18</v>
      </c>
      <c r="E1249" t="s">
        <v>134</v>
      </c>
      <c r="F1249">
        <v>0.69395296469633838</v>
      </c>
      <c r="G1249">
        <v>0.88790592939267676</v>
      </c>
      <c r="H1249">
        <v>0.5</v>
      </c>
      <c r="I1249">
        <v>2690125600</v>
      </c>
      <c r="J1249">
        <v>14.5</v>
      </c>
      <c r="K1249">
        <v>8</v>
      </c>
    </row>
    <row r="1250" spans="1:11" x14ac:dyDescent="0.25">
      <c r="A1250" t="s">
        <v>379</v>
      </c>
      <c r="B1250" t="s">
        <v>261</v>
      </c>
      <c r="C1250" t="s">
        <v>262</v>
      </c>
      <c r="D1250" t="s">
        <v>32</v>
      </c>
      <c r="E1250" t="s">
        <v>42</v>
      </c>
      <c r="F1250">
        <v>0.68676850725293326</v>
      </c>
      <c r="G1250">
        <v>0.92353701450586656</v>
      </c>
      <c r="H1250">
        <v>0.45</v>
      </c>
      <c r="I1250">
        <v>127241015400</v>
      </c>
      <c r="J1250">
        <v>78</v>
      </c>
      <c r="K1250">
        <v>9</v>
      </c>
    </row>
    <row r="1251" spans="1:11" x14ac:dyDescent="0.25">
      <c r="A1251" t="s">
        <v>379</v>
      </c>
      <c r="B1251" t="s">
        <v>70</v>
      </c>
      <c r="C1251" t="s">
        <v>71</v>
      </c>
      <c r="D1251" t="s">
        <v>32</v>
      </c>
      <c r="E1251" t="s">
        <v>33</v>
      </c>
      <c r="F1251">
        <v>0.68105380221487966</v>
      </c>
      <c r="G1251">
        <v>0.91210760442975936</v>
      </c>
      <c r="H1251">
        <v>0.45</v>
      </c>
      <c r="I1251">
        <v>18952563040</v>
      </c>
      <c r="J1251">
        <v>6.9</v>
      </c>
      <c r="K1251">
        <v>10</v>
      </c>
    </row>
    <row r="1252" spans="1:11" x14ac:dyDescent="0.25">
      <c r="A1252" t="s">
        <v>379</v>
      </c>
      <c r="B1252" t="s">
        <v>290</v>
      </c>
      <c r="C1252" t="s">
        <v>291</v>
      </c>
      <c r="D1252" t="s">
        <v>14</v>
      </c>
      <c r="E1252" t="s">
        <v>292</v>
      </c>
      <c r="F1252">
        <v>0.66624651574304172</v>
      </c>
      <c r="G1252">
        <v>0.88249303148608338</v>
      </c>
      <c r="H1252">
        <v>0.45</v>
      </c>
      <c r="I1252">
        <v>5756781400</v>
      </c>
      <c r="J1252">
        <v>231.5</v>
      </c>
      <c r="K1252">
        <v>11</v>
      </c>
    </row>
    <row r="1253" spans="1:11" x14ac:dyDescent="0.25">
      <c r="A1253" t="s">
        <v>379</v>
      </c>
      <c r="B1253" t="s">
        <v>309</v>
      </c>
      <c r="C1253" t="s">
        <v>310</v>
      </c>
      <c r="D1253" t="s">
        <v>32</v>
      </c>
      <c r="E1253" t="s">
        <v>33</v>
      </c>
      <c r="F1253">
        <v>0.64485119014139847</v>
      </c>
      <c r="G1253">
        <v>0.93970238028279707</v>
      </c>
      <c r="H1253">
        <v>0.35</v>
      </c>
      <c r="I1253">
        <v>255641943700</v>
      </c>
      <c r="J1253">
        <v>14.2</v>
      </c>
      <c r="K1253">
        <v>12</v>
      </c>
    </row>
    <row r="1254" spans="1:11" x14ac:dyDescent="0.25">
      <c r="A1254" t="s">
        <v>379</v>
      </c>
      <c r="B1254" t="s">
        <v>329</v>
      </c>
      <c r="C1254" t="s">
        <v>330</v>
      </c>
      <c r="D1254" t="s">
        <v>18</v>
      </c>
      <c r="E1254" t="s">
        <v>26</v>
      </c>
      <c r="F1254">
        <v>0.63314899403834346</v>
      </c>
      <c r="G1254">
        <v>0.81629798807668696</v>
      </c>
      <c r="H1254">
        <v>0.45</v>
      </c>
      <c r="I1254">
        <v>6204315000</v>
      </c>
      <c r="J1254">
        <v>32.4</v>
      </c>
      <c r="K1254">
        <v>13</v>
      </c>
    </row>
    <row r="1255" spans="1:11" x14ac:dyDescent="0.25">
      <c r="A1255" t="s">
        <v>379</v>
      </c>
      <c r="B1255" t="s">
        <v>47</v>
      </c>
      <c r="C1255" t="s">
        <v>48</v>
      </c>
      <c r="D1255" t="s">
        <v>14</v>
      </c>
      <c r="E1255" t="s">
        <v>29</v>
      </c>
      <c r="F1255">
        <v>0.63306694392537977</v>
      </c>
      <c r="G1255">
        <v>0.91613388785075955</v>
      </c>
      <c r="H1255">
        <v>0.35</v>
      </c>
      <c r="I1255">
        <v>5112033800</v>
      </c>
      <c r="J1255">
        <v>9.3000000000000007</v>
      </c>
      <c r="K1255">
        <v>14</v>
      </c>
    </row>
    <row r="1256" spans="1:11" x14ac:dyDescent="0.25">
      <c r="A1256" t="s">
        <v>379</v>
      </c>
      <c r="B1256" t="s">
        <v>229</v>
      </c>
      <c r="C1256" t="s">
        <v>230</v>
      </c>
      <c r="D1256" t="s">
        <v>18</v>
      </c>
      <c r="E1256" t="s">
        <v>29</v>
      </c>
      <c r="F1256">
        <v>0.62490167602253555</v>
      </c>
      <c r="G1256">
        <v>0.94980335204507116</v>
      </c>
      <c r="H1256">
        <v>0.3</v>
      </c>
      <c r="I1256">
        <v>36127683000</v>
      </c>
      <c r="J1256">
        <v>24.8</v>
      </c>
      <c r="K1256">
        <v>15</v>
      </c>
    </row>
    <row r="1257" spans="1:11" x14ac:dyDescent="0.25">
      <c r="A1257" t="s">
        <v>379</v>
      </c>
      <c r="B1257" t="s">
        <v>287</v>
      </c>
      <c r="C1257" t="s">
        <v>288</v>
      </c>
      <c r="D1257" t="s">
        <v>14</v>
      </c>
      <c r="E1257" t="s">
        <v>59</v>
      </c>
      <c r="F1257">
        <v>0.6236005840079315</v>
      </c>
      <c r="G1257">
        <v>0.89720116801586292</v>
      </c>
      <c r="H1257">
        <v>0.35</v>
      </c>
      <c r="I1257">
        <v>57296387200</v>
      </c>
      <c r="J1257">
        <v>25.9</v>
      </c>
      <c r="K1257">
        <v>16</v>
      </c>
    </row>
    <row r="1258" spans="1:11" x14ac:dyDescent="0.25">
      <c r="A1258" t="s">
        <v>379</v>
      </c>
      <c r="B1258" t="s">
        <v>348</v>
      </c>
      <c r="C1258" t="s">
        <v>349</v>
      </c>
      <c r="D1258" t="s">
        <v>32</v>
      </c>
      <c r="E1258" t="s">
        <v>26</v>
      </c>
      <c r="F1258">
        <v>0.62199655112567143</v>
      </c>
      <c r="G1258">
        <v>0.84399310225134283</v>
      </c>
      <c r="H1258">
        <v>0.4</v>
      </c>
      <c r="I1258">
        <v>194287773100</v>
      </c>
      <c r="J1258">
        <v>15.6</v>
      </c>
      <c r="K1258">
        <v>17</v>
      </c>
    </row>
    <row r="1259" spans="1:11" x14ac:dyDescent="0.25">
      <c r="A1259" t="s">
        <v>379</v>
      </c>
      <c r="B1259" t="s">
        <v>173</v>
      </c>
      <c r="C1259" t="s">
        <v>174</v>
      </c>
      <c r="D1259" t="s">
        <v>32</v>
      </c>
      <c r="E1259" t="s">
        <v>74</v>
      </c>
      <c r="F1259">
        <v>0.62180277276593388</v>
      </c>
      <c r="G1259">
        <v>0.84360554553186762</v>
      </c>
      <c r="H1259">
        <v>0.4</v>
      </c>
      <c r="I1259">
        <v>966102128700</v>
      </c>
      <c r="J1259">
        <v>13.9</v>
      </c>
      <c r="K1259">
        <v>18</v>
      </c>
    </row>
    <row r="1260" spans="1:11" x14ac:dyDescent="0.25">
      <c r="A1260" t="s">
        <v>379</v>
      </c>
      <c r="B1260" t="s">
        <v>278</v>
      </c>
      <c r="C1260" t="s">
        <v>279</v>
      </c>
      <c r="D1260" t="s">
        <v>32</v>
      </c>
      <c r="E1260" t="s">
        <v>23</v>
      </c>
      <c r="F1260">
        <v>0.62158685140148529</v>
      </c>
      <c r="G1260">
        <v>0.89317370280297048</v>
      </c>
      <c r="H1260">
        <v>0.35</v>
      </c>
      <c r="I1260">
        <v>8442615020</v>
      </c>
      <c r="J1260">
        <v>11.3</v>
      </c>
      <c r="K1260">
        <v>19</v>
      </c>
    </row>
    <row r="1261" spans="1:11" x14ac:dyDescent="0.25">
      <c r="A1261" t="s">
        <v>379</v>
      </c>
      <c r="B1261" t="s">
        <v>371</v>
      </c>
      <c r="C1261" t="s">
        <v>372</v>
      </c>
      <c r="D1261" t="s">
        <v>18</v>
      </c>
      <c r="E1261" t="s">
        <v>33</v>
      </c>
      <c r="F1261">
        <v>0.6209013556354519</v>
      </c>
      <c r="G1261">
        <v>0.99180271127090391</v>
      </c>
      <c r="H1261">
        <v>0.25</v>
      </c>
      <c r="I1261">
        <v>133853741200</v>
      </c>
      <c r="J1261">
        <v>18.399999999999999</v>
      </c>
      <c r="K1261">
        <v>20</v>
      </c>
    </row>
    <row r="1262" spans="1:11" x14ac:dyDescent="0.25">
      <c r="A1262" t="s">
        <v>383</v>
      </c>
      <c r="B1262" t="s">
        <v>237</v>
      </c>
      <c r="C1262" t="s">
        <v>238</v>
      </c>
      <c r="D1262" t="s">
        <v>32</v>
      </c>
      <c r="E1262" t="s">
        <v>33</v>
      </c>
      <c r="F1262">
        <v>0.80125650602884568</v>
      </c>
      <c r="G1262">
        <v>0.95251301205769123</v>
      </c>
      <c r="H1262">
        <v>0.65</v>
      </c>
      <c r="I1262">
        <v>605414605900</v>
      </c>
      <c r="J1262">
        <v>77.099999999999994</v>
      </c>
      <c r="K1262">
        <v>1</v>
      </c>
    </row>
    <row r="1263" spans="1:11" x14ac:dyDescent="0.25">
      <c r="A1263" t="s">
        <v>383</v>
      </c>
      <c r="B1263" t="s">
        <v>384</v>
      </c>
      <c r="C1263" t="s">
        <v>385</v>
      </c>
      <c r="D1263" t="s">
        <v>14</v>
      </c>
      <c r="E1263" t="s">
        <v>26</v>
      </c>
      <c r="F1263">
        <v>0.79606883070991497</v>
      </c>
      <c r="G1263">
        <v>0.99213766141982995</v>
      </c>
      <c r="H1263">
        <v>0.6</v>
      </c>
      <c r="I1263">
        <v>3392070000</v>
      </c>
      <c r="J1263">
        <v>9.6</v>
      </c>
      <c r="K1263">
        <v>2</v>
      </c>
    </row>
    <row r="1264" spans="1:11" x14ac:dyDescent="0.25">
      <c r="A1264" t="s">
        <v>383</v>
      </c>
      <c r="B1264" t="s">
        <v>94</v>
      </c>
      <c r="C1264" t="s">
        <v>95</v>
      </c>
      <c r="D1264" t="s">
        <v>32</v>
      </c>
      <c r="E1264" t="s">
        <v>33</v>
      </c>
      <c r="F1264">
        <v>0.74944458314087226</v>
      </c>
      <c r="G1264">
        <v>0.74888916628174451</v>
      </c>
      <c r="H1264">
        <v>0.75</v>
      </c>
      <c r="I1264">
        <v>3695686140</v>
      </c>
      <c r="J1264">
        <v>2.2799999999999998</v>
      </c>
      <c r="K1264">
        <v>3</v>
      </c>
    </row>
    <row r="1265" spans="1:11" x14ac:dyDescent="0.25">
      <c r="A1265" t="s">
        <v>383</v>
      </c>
      <c r="B1265" t="s">
        <v>88</v>
      </c>
      <c r="C1265" t="s">
        <v>89</v>
      </c>
      <c r="D1265" t="s">
        <v>32</v>
      </c>
      <c r="E1265" t="s">
        <v>33</v>
      </c>
      <c r="F1265">
        <v>0.72743240790828079</v>
      </c>
      <c r="G1265">
        <v>0.95486481581656146</v>
      </c>
      <c r="H1265">
        <v>0.5</v>
      </c>
      <c r="I1265">
        <v>89056750100</v>
      </c>
      <c r="J1265">
        <v>14.8</v>
      </c>
      <c r="K1265">
        <v>4</v>
      </c>
    </row>
    <row r="1266" spans="1:11" x14ac:dyDescent="0.25">
      <c r="A1266" t="s">
        <v>383</v>
      </c>
      <c r="B1266" t="s">
        <v>179</v>
      </c>
      <c r="C1266" t="s">
        <v>180</v>
      </c>
      <c r="D1266" t="s">
        <v>32</v>
      </c>
      <c r="E1266" t="s">
        <v>124</v>
      </c>
      <c r="F1266">
        <v>0.70550727434001193</v>
      </c>
      <c r="G1266">
        <v>0.96101454868002389</v>
      </c>
      <c r="H1266">
        <v>0.45</v>
      </c>
      <c r="I1266">
        <v>408144432400</v>
      </c>
      <c r="J1266">
        <v>37</v>
      </c>
      <c r="K1266">
        <v>5</v>
      </c>
    </row>
    <row r="1267" spans="1:11" x14ac:dyDescent="0.25">
      <c r="A1267" t="s">
        <v>383</v>
      </c>
      <c r="B1267" t="s">
        <v>340</v>
      </c>
      <c r="C1267" t="s">
        <v>341</v>
      </c>
      <c r="D1267" t="s">
        <v>14</v>
      </c>
      <c r="E1267" t="s">
        <v>74</v>
      </c>
      <c r="F1267">
        <v>0.70329982825043813</v>
      </c>
      <c r="G1267">
        <v>0.85659965650087611</v>
      </c>
      <c r="H1267">
        <v>0.55000000000000004</v>
      </c>
      <c r="I1267">
        <v>2119836200</v>
      </c>
      <c r="J1267">
        <v>38.799999999999997</v>
      </c>
      <c r="K1267">
        <v>6</v>
      </c>
    </row>
    <row r="1268" spans="1:11" x14ac:dyDescent="0.25">
      <c r="A1268" t="s">
        <v>383</v>
      </c>
      <c r="B1268" t="s">
        <v>287</v>
      </c>
      <c r="C1268" t="s">
        <v>288</v>
      </c>
      <c r="D1268" t="s">
        <v>14</v>
      </c>
      <c r="E1268" t="s">
        <v>59</v>
      </c>
      <c r="F1268">
        <v>0.69937265870457743</v>
      </c>
      <c r="G1268">
        <v>0.89874531740915475</v>
      </c>
      <c r="H1268">
        <v>0.5</v>
      </c>
      <c r="I1268">
        <v>57661525600</v>
      </c>
      <c r="J1268">
        <v>25.7</v>
      </c>
      <c r="K1268">
        <v>7</v>
      </c>
    </row>
    <row r="1269" spans="1:11" x14ac:dyDescent="0.25">
      <c r="A1269" t="s">
        <v>383</v>
      </c>
      <c r="B1269" t="s">
        <v>173</v>
      </c>
      <c r="C1269" t="s">
        <v>174</v>
      </c>
      <c r="D1269" t="s">
        <v>32</v>
      </c>
      <c r="E1269" t="s">
        <v>74</v>
      </c>
      <c r="F1269">
        <v>0.69671644627880414</v>
      </c>
      <c r="G1269">
        <v>0.79343289255760829</v>
      </c>
      <c r="H1269">
        <v>0.6</v>
      </c>
      <c r="I1269">
        <v>962168390500</v>
      </c>
      <c r="J1269">
        <v>13.8</v>
      </c>
      <c r="K1269">
        <v>8</v>
      </c>
    </row>
    <row r="1270" spans="1:11" x14ac:dyDescent="0.25">
      <c r="A1270" t="s">
        <v>383</v>
      </c>
      <c r="B1270" t="s">
        <v>164</v>
      </c>
      <c r="C1270" t="s">
        <v>165</v>
      </c>
      <c r="D1270" t="s">
        <v>32</v>
      </c>
      <c r="E1270" t="s">
        <v>33</v>
      </c>
      <c r="F1270">
        <v>0.67811950493883466</v>
      </c>
      <c r="G1270">
        <v>0.9562390098776693</v>
      </c>
      <c r="H1270">
        <v>0.4</v>
      </c>
      <c r="I1270">
        <v>581730846400</v>
      </c>
      <c r="J1270">
        <v>98.1</v>
      </c>
      <c r="K1270">
        <v>9</v>
      </c>
    </row>
    <row r="1271" spans="1:11" x14ac:dyDescent="0.25">
      <c r="A1271" t="s">
        <v>383</v>
      </c>
      <c r="B1271" t="s">
        <v>135</v>
      </c>
      <c r="C1271" t="s">
        <v>136</v>
      </c>
      <c r="D1271" t="s">
        <v>32</v>
      </c>
      <c r="E1271" t="s">
        <v>29</v>
      </c>
      <c r="F1271">
        <v>0.6733681559162904</v>
      </c>
      <c r="G1271">
        <v>0.89673631183258073</v>
      </c>
      <c r="H1271">
        <v>0.45</v>
      </c>
      <c r="I1271">
        <v>350937780900</v>
      </c>
      <c r="J1271">
        <v>17.3</v>
      </c>
      <c r="K1271">
        <v>10</v>
      </c>
    </row>
    <row r="1272" spans="1:11" x14ac:dyDescent="0.25">
      <c r="A1272" t="s">
        <v>383</v>
      </c>
      <c r="B1272" t="s">
        <v>380</v>
      </c>
      <c r="C1272" t="s">
        <v>381</v>
      </c>
      <c r="D1272" t="s">
        <v>18</v>
      </c>
      <c r="E1272" t="s">
        <v>382</v>
      </c>
      <c r="F1272">
        <v>0.66962836622283561</v>
      </c>
      <c r="G1272">
        <v>0.48925673244567119</v>
      </c>
      <c r="H1272">
        <v>0.85</v>
      </c>
      <c r="I1272">
        <v>4945430200</v>
      </c>
      <c r="J1272">
        <v>29.2</v>
      </c>
      <c r="K1272">
        <v>11</v>
      </c>
    </row>
    <row r="1273" spans="1:11" x14ac:dyDescent="0.25">
      <c r="A1273" t="s">
        <v>383</v>
      </c>
      <c r="B1273" t="s">
        <v>386</v>
      </c>
      <c r="C1273" t="s">
        <v>387</v>
      </c>
      <c r="D1273" t="s">
        <v>32</v>
      </c>
      <c r="E1273" t="s">
        <v>74</v>
      </c>
      <c r="F1273">
        <v>0.66090015223315657</v>
      </c>
      <c r="G1273">
        <v>0.97180030446631305</v>
      </c>
      <c r="H1273">
        <v>0.35</v>
      </c>
      <c r="I1273">
        <v>220566129700</v>
      </c>
      <c r="J1273">
        <v>24.65</v>
      </c>
      <c r="K1273">
        <v>12</v>
      </c>
    </row>
    <row r="1274" spans="1:11" x14ac:dyDescent="0.25">
      <c r="A1274" t="s">
        <v>383</v>
      </c>
      <c r="B1274" t="s">
        <v>388</v>
      </c>
      <c r="C1274" t="s">
        <v>389</v>
      </c>
      <c r="D1274" t="s">
        <v>14</v>
      </c>
      <c r="E1274" t="s">
        <v>26</v>
      </c>
      <c r="F1274">
        <v>0.65859197930187863</v>
      </c>
      <c r="G1274">
        <v>0.81718395860375737</v>
      </c>
      <c r="H1274">
        <v>0.5</v>
      </c>
      <c r="I1274">
        <v>7246942200</v>
      </c>
      <c r="J1274">
        <v>8.3000000000000007</v>
      </c>
      <c r="K1274">
        <v>13</v>
      </c>
    </row>
    <row r="1275" spans="1:11" x14ac:dyDescent="0.25">
      <c r="A1275" t="s">
        <v>383</v>
      </c>
      <c r="B1275" t="s">
        <v>342</v>
      </c>
      <c r="C1275" t="s">
        <v>343</v>
      </c>
      <c r="D1275" t="s">
        <v>32</v>
      </c>
      <c r="E1275" t="s">
        <v>292</v>
      </c>
      <c r="F1275">
        <v>0.65637391250626087</v>
      </c>
      <c r="G1275">
        <v>0.91274782501252172</v>
      </c>
      <c r="H1275">
        <v>0.4</v>
      </c>
      <c r="I1275">
        <v>21651924300</v>
      </c>
      <c r="J1275">
        <v>42.1</v>
      </c>
      <c r="K1275">
        <v>14</v>
      </c>
    </row>
    <row r="1276" spans="1:11" x14ac:dyDescent="0.25">
      <c r="A1276" t="s">
        <v>383</v>
      </c>
      <c r="B1276" t="s">
        <v>390</v>
      </c>
      <c r="C1276" t="s">
        <v>391</v>
      </c>
      <c r="D1276" t="s">
        <v>32</v>
      </c>
      <c r="E1276" t="s">
        <v>33</v>
      </c>
      <c r="F1276">
        <v>0.65023762607299807</v>
      </c>
      <c r="G1276">
        <v>0.90047525214599622</v>
      </c>
      <c r="H1276">
        <v>0.4</v>
      </c>
      <c r="I1276">
        <v>38302813600</v>
      </c>
      <c r="J1276">
        <v>19</v>
      </c>
      <c r="K1276">
        <v>15</v>
      </c>
    </row>
    <row r="1277" spans="1:11" x14ac:dyDescent="0.25">
      <c r="A1277" t="s">
        <v>383</v>
      </c>
      <c r="B1277" t="s">
        <v>348</v>
      </c>
      <c r="C1277" t="s">
        <v>349</v>
      </c>
      <c r="D1277" t="s">
        <v>32</v>
      </c>
      <c r="E1277" t="s">
        <v>26</v>
      </c>
      <c r="F1277">
        <v>0.64262562326621242</v>
      </c>
      <c r="G1277">
        <v>0.83525124653242488</v>
      </c>
      <c r="H1277">
        <v>0.45</v>
      </c>
      <c r="I1277">
        <v>198158973100</v>
      </c>
      <c r="J1277">
        <v>15.6</v>
      </c>
      <c r="K1277">
        <v>16</v>
      </c>
    </row>
    <row r="1278" spans="1:11" x14ac:dyDescent="0.25">
      <c r="A1278" t="s">
        <v>383</v>
      </c>
      <c r="B1278" t="s">
        <v>278</v>
      </c>
      <c r="C1278" t="s">
        <v>279</v>
      </c>
      <c r="D1278" t="s">
        <v>32</v>
      </c>
      <c r="E1278" t="s">
        <v>23</v>
      </c>
      <c r="F1278">
        <v>0.64070997584255929</v>
      </c>
      <c r="G1278">
        <v>0.88141995168511855</v>
      </c>
      <c r="H1278">
        <v>0.4</v>
      </c>
      <c r="I1278">
        <v>8477941820</v>
      </c>
      <c r="J1278">
        <v>11.3</v>
      </c>
      <c r="K1278">
        <v>17</v>
      </c>
    </row>
    <row r="1279" spans="1:11" x14ac:dyDescent="0.25">
      <c r="A1279" t="s">
        <v>383</v>
      </c>
      <c r="B1279" t="s">
        <v>132</v>
      </c>
      <c r="C1279" t="s">
        <v>133</v>
      </c>
      <c r="D1279" t="s">
        <v>18</v>
      </c>
      <c r="E1279" t="s">
        <v>134</v>
      </c>
      <c r="F1279">
        <v>0.6400631998695181</v>
      </c>
      <c r="G1279">
        <v>0.93012639973903632</v>
      </c>
      <c r="H1279">
        <v>0.35</v>
      </c>
      <c r="I1279">
        <v>2806615000</v>
      </c>
      <c r="J1279">
        <v>14.9</v>
      </c>
      <c r="K1279">
        <v>18</v>
      </c>
    </row>
    <row r="1280" spans="1:11" x14ac:dyDescent="0.25">
      <c r="A1280" t="s">
        <v>383</v>
      </c>
      <c r="B1280" t="s">
        <v>84</v>
      </c>
      <c r="C1280" t="s">
        <v>85</v>
      </c>
      <c r="D1280" t="s">
        <v>14</v>
      </c>
      <c r="E1280" t="s">
        <v>42</v>
      </c>
      <c r="F1280">
        <v>0.62583579777938259</v>
      </c>
      <c r="G1280">
        <v>0.70167159555876513</v>
      </c>
      <c r="H1280">
        <v>0.55000000000000004</v>
      </c>
      <c r="I1280">
        <v>8216097000</v>
      </c>
      <c r="J1280">
        <v>155</v>
      </c>
      <c r="K1280">
        <v>19</v>
      </c>
    </row>
    <row r="1281" spans="1:11" x14ac:dyDescent="0.25">
      <c r="A1281" t="s">
        <v>383</v>
      </c>
      <c r="B1281" t="s">
        <v>392</v>
      </c>
      <c r="C1281" t="s">
        <v>393</v>
      </c>
      <c r="D1281" t="s">
        <v>32</v>
      </c>
      <c r="E1281" t="s">
        <v>33</v>
      </c>
      <c r="F1281">
        <v>0.62168705673760727</v>
      </c>
      <c r="G1281">
        <v>0.9433741134752146</v>
      </c>
      <c r="H1281">
        <v>0.3</v>
      </c>
      <c r="I1281">
        <v>2241620260</v>
      </c>
      <c r="J1281">
        <v>8.51</v>
      </c>
      <c r="K1281">
        <v>20</v>
      </c>
    </row>
    <row r="1282" spans="1:11" x14ac:dyDescent="0.25">
      <c r="A1282" t="s">
        <v>394</v>
      </c>
      <c r="B1282" t="s">
        <v>237</v>
      </c>
      <c r="C1282" t="s">
        <v>238</v>
      </c>
      <c r="D1282" t="s">
        <v>32</v>
      </c>
      <c r="E1282" t="s">
        <v>33</v>
      </c>
      <c r="F1282">
        <v>0.8230429582333687</v>
      </c>
      <c r="G1282">
        <v>0.94608591646673734</v>
      </c>
      <c r="H1282">
        <v>0.7</v>
      </c>
      <c r="I1282">
        <v>600338287400</v>
      </c>
      <c r="J1282">
        <v>76.8</v>
      </c>
      <c r="K1282">
        <v>1</v>
      </c>
    </row>
    <row r="1283" spans="1:11" x14ac:dyDescent="0.25">
      <c r="A1283" t="s">
        <v>394</v>
      </c>
      <c r="B1283" t="s">
        <v>384</v>
      </c>
      <c r="C1283" t="s">
        <v>385</v>
      </c>
      <c r="D1283" t="s">
        <v>14</v>
      </c>
      <c r="E1283" t="s">
        <v>26</v>
      </c>
      <c r="F1283">
        <v>0.7963768802020843</v>
      </c>
      <c r="G1283">
        <v>0.99275376040416852</v>
      </c>
      <c r="H1283">
        <v>0.6</v>
      </c>
      <c r="I1283">
        <v>3765531400</v>
      </c>
      <c r="J1283">
        <v>9.6999999999999993</v>
      </c>
      <c r="K1283">
        <v>2</v>
      </c>
    </row>
    <row r="1284" spans="1:11" x14ac:dyDescent="0.25">
      <c r="A1284" t="s">
        <v>394</v>
      </c>
      <c r="B1284" t="s">
        <v>340</v>
      </c>
      <c r="C1284" t="s">
        <v>341</v>
      </c>
      <c r="D1284" t="s">
        <v>14</v>
      </c>
      <c r="E1284" t="s">
        <v>74</v>
      </c>
      <c r="F1284">
        <v>0.71724450137543938</v>
      </c>
      <c r="G1284">
        <v>0.88448900275087883</v>
      </c>
      <c r="H1284">
        <v>0.55000000000000004</v>
      </c>
      <c r="I1284">
        <v>2125618200</v>
      </c>
      <c r="J1284">
        <v>39</v>
      </c>
      <c r="K1284">
        <v>3</v>
      </c>
    </row>
    <row r="1285" spans="1:11" x14ac:dyDescent="0.25">
      <c r="A1285" t="s">
        <v>394</v>
      </c>
      <c r="B1285" t="s">
        <v>179</v>
      </c>
      <c r="C1285" t="s">
        <v>180</v>
      </c>
      <c r="D1285" t="s">
        <v>32</v>
      </c>
      <c r="E1285" t="s">
        <v>124</v>
      </c>
      <c r="F1285">
        <v>0.69778949085010888</v>
      </c>
      <c r="G1285">
        <v>0.94557898170021781</v>
      </c>
      <c r="H1285">
        <v>0.45</v>
      </c>
      <c r="I1285">
        <v>411534416400</v>
      </c>
      <c r="J1285">
        <v>36.5</v>
      </c>
      <c r="K1285">
        <v>4</v>
      </c>
    </row>
    <row r="1286" spans="1:11" x14ac:dyDescent="0.25">
      <c r="A1286" t="s">
        <v>394</v>
      </c>
      <c r="B1286" t="s">
        <v>287</v>
      </c>
      <c r="C1286" t="s">
        <v>288</v>
      </c>
      <c r="D1286" t="s">
        <v>14</v>
      </c>
      <c r="E1286" t="s">
        <v>59</v>
      </c>
      <c r="F1286">
        <v>0.68821039642652115</v>
      </c>
      <c r="G1286">
        <v>0.87642079285304231</v>
      </c>
      <c r="H1286">
        <v>0.5</v>
      </c>
      <c r="I1286">
        <v>58526867200</v>
      </c>
      <c r="J1286">
        <v>25.4</v>
      </c>
      <c r="K1286">
        <v>5</v>
      </c>
    </row>
    <row r="1287" spans="1:11" x14ac:dyDescent="0.25">
      <c r="A1287" t="s">
        <v>394</v>
      </c>
      <c r="B1287" t="s">
        <v>94</v>
      </c>
      <c r="C1287" t="s">
        <v>95</v>
      </c>
      <c r="D1287" t="s">
        <v>32</v>
      </c>
      <c r="E1287" t="s">
        <v>33</v>
      </c>
      <c r="F1287">
        <v>0.68658134931934156</v>
      </c>
      <c r="G1287">
        <v>0.67316269863868328</v>
      </c>
      <c r="H1287">
        <v>0.7</v>
      </c>
      <c r="I1287">
        <v>3795780140</v>
      </c>
      <c r="J1287">
        <v>2.2400000000000002</v>
      </c>
      <c r="K1287">
        <v>6</v>
      </c>
    </row>
    <row r="1288" spans="1:11" x14ac:dyDescent="0.25">
      <c r="A1288" t="s">
        <v>394</v>
      </c>
      <c r="B1288" t="s">
        <v>388</v>
      </c>
      <c r="C1288" t="s">
        <v>389</v>
      </c>
      <c r="D1288" t="s">
        <v>14</v>
      </c>
      <c r="E1288" t="s">
        <v>26</v>
      </c>
      <c r="F1288">
        <v>0.68081475946330205</v>
      </c>
      <c r="G1288">
        <v>0.86162951892660411</v>
      </c>
      <c r="H1288">
        <v>0.5</v>
      </c>
      <c r="I1288">
        <v>7627521200</v>
      </c>
      <c r="J1288">
        <v>8.5</v>
      </c>
      <c r="K1288">
        <v>7</v>
      </c>
    </row>
    <row r="1289" spans="1:11" x14ac:dyDescent="0.25">
      <c r="A1289" t="s">
        <v>394</v>
      </c>
      <c r="B1289" t="s">
        <v>186</v>
      </c>
      <c r="C1289" t="s">
        <v>187</v>
      </c>
      <c r="D1289" t="s">
        <v>32</v>
      </c>
      <c r="E1289" t="s">
        <v>74</v>
      </c>
      <c r="F1289">
        <v>0.6737632469706758</v>
      </c>
      <c r="G1289">
        <v>0.94752649394135169</v>
      </c>
      <c r="H1289">
        <v>0.4</v>
      </c>
      <c r="I1289">
        <v>15901989000</v>
      </c>
      <c r="J1289">
        <v>13.7</v>
      </c>
      <c r="K1289">
        <v>8</v>
      </c>
    </row>
    <row r="1290" spans="1:11" x14ac:dyDescent="0.25">
      <c r="A1290" t="s">
        <v>394</v>
      </c>
      <c r="B1290" t="s">
        <v>164</v>
      </c>
      <c r="C1290" t="s">
        <v>165</v>
      </c>
      <c r="D1290" t="s">
        <v>32</v>
      </c>
      <c r="E1290" t="s">
        <v>33</v>
      </c>
      <c r="F1290">
        <v>0.67137602045281852</v>
      </c>
      <c r="G1290">
        <v>0.94275204090563702</v>
      </c>
      <c r="H1290">
        <v>0.4</v>
      </c>
      <c r="I1290">
        <v>580361368400</v>
      </c>
      <c r="J1290">
        <v>98</v>
      </c>
      <c r="K1290">
        <v>9</v>
      </c>
    </row>
    <row r="1291" spans="1:11" x14ac:dyDescent="0.25">
      <c r="A1291" t="s">
        <v>394</v>
      </c>
      <c r="B1291" t="s">
        <v>309</v>
      </c>
      <c r="C1291" t="s">
        <v>310</v>
      </c>
      <c r="D1291" t="s">
        <v>32</v>
      </c>
      <c r="E1291" t="s">
        <v>33</v>
      </c>
      <c r="F1291">
        <v>0.66197833690423979</v>
      </c>
      <c r="G1291">
        <v>0.92395667380847946</v>
      </c>
      <c r="H1291">
        <v>0.4</v>
      </c>
      <c r="I1291">
        <v>267943594400</v>
      </c>
      <c r="J1291">
        <v>14.3</v>
      </c>
      <c r="K1291">
        <v>10</v>
      </c>
    </row>
    <row r="1292" spans="1:11" x14ac:dyDescent="0.25">
      <c r="A1292" t="s">
        <v>394</v>
      </c>
      <c r="B1292" t="s">
        <v>211</v>
      </c>
      <c r="C1292" t="s">
        <v>212</v>
      </c>
      <c r="D1292" t="s">
        <v>32</v>
      </c>
      <c r="E1292" t="s">
        <v>33</v>
      </c>
      <c r="F1292">
        <v>0.64073414013255026</v>
      </c>
      <c r="G1292">
        <v>0.98146828026510058</v>
      </c>
      <c r="H1292">
        <v>0.3</v>
      </c>
      <c r="I1292">
        <v>9131153680</v>
      </c>
      <c r="J1292">
        <v>14.7</v>
      </c>
      <c r="K1292">
        <v>11</v>
      </c>
    </row>
    <row r="1293" spans="1:11" x14ac:dyDescent="0.25">
      <c r="A1293" t="s">
        <v>394</v>
      </c>
      <c r="B1293" t="s">
        <v>395</v>
      </c>
      <c r="C1293" t="s">
        <v>396</v>
      </c>
      <c r="D1293" t="s">
        <v>32</v>
      </c>
      <c r="E1293" t="s">
        <v>160</v>
      </c>
      <c r="F1293">
        <v>0.64042832463947774</v>
      </c>
      <c r="G1293">
        <v>0.88085664927895546</v>
      </c>
      <c r="H1293">
        <v>0.4</v>
      </c>
      <c r="I1293">
        <v>58676651000</v>
      </c>
      <c r="J1293">
        <v>77.3</v>
      </c>
      <c r="K1293">
        <v>12</v>
      </c>
    </row>
    <row r="1294" spans="1:11" x14ac:dyDescent="0.25">
      <c r="A1294" t="s">
        <v>394</v>
      </c>
      <c r="B1294" t="s">
        <v>171</v>
      </c>
      <c r="C1294" t="s">
        <v>172</v>
      </c>
      <c r="D1294" t="s">
        <v>32</v>
      </c>
      <c r="E1294" t="s">
        <v>33</v>
      </c>
      <c r="F1294">
        <v>0.63654824770797813</v>
      </c>
      <c r="G1294">
        <v>0.97309649541595622</v>
      </c>
      <c r="H1294">
        <v>0.3</v>
      </c>
      <c r="I1294">
        <v>14003534640</v>
      </c>
      <c r="J1294">
        <v>8.2899999999999991</v>
      </c>
      <c r="K1294">
        <v>13</v>
      </c>
    </row>
    <row r="1295" spans="1:11" x14ac:dyDescent="0.25">
      <c r="A1295" t="s">
        <v>394</v>
      </c>
      <c r="B1295" t="s">
        <v>135</v>
      </c>
      <c r="C1295" t="s">
        <v>136</v>
      </c>
      <c r="D1295" t="s">
        <v>32</v>
      </c>
      <c r="E1295" t="s">
        <v>29</v>
      </c>
      <c r="F1295">
        <v>0.63588727362579256</v>
      </c>
      <c r="G1295">
        <v>0.87177454725158499</v>
      </c>
      <c r="H1295">
        <v>0.4</v>
      </c>
      <c r="I1295">
        <v>346117210900</v>
      </c>
      <c r="J1295">
        <v>17.100000000000001</v>
      </c>
      <c r="K1295">
        <v>14</v>
      </c>
    </row>
    <row r="1296" spans="1:11" x14ac:dyDescent="0.25">
      <c r="A1296" t="s">
        <v>394</v>
      </c>
      <c r="B1296" t="s">
        <v>321</v>
      </c>
      <c r="C1296" t="s">
        <v>322</v>
      </c>
      <c r="D1296" t="s">
        <v>18</v>
      </c>
      <c r="E1296" t="s">
        <v>59</v>
      </c>
      <c r="F1296">
        <v>0.62714281944924666</v>
      </c>
      <c r="G1296">
        <v>0.80428563889849336</v>
      </c>
      <c r="H1296">
        <v>0.45</v>
      </c>
      <c r="I1296">
        <v>11028837400</v>
      </c>
      <c r="J1296">
        <v>27.7</v>
      </c>
      <c r="K1296">
        <v>15</v>
      </c>
    </row>
    <row r="1297" spans="1:11" x14ac:dyDescent="0.25">
      <c r="A1297" t="s">
        <v>394</v>
      </c>
      <c r="B1297" t="s">
        <v>88</v>
      </c>
      <c r="C1297" t="s">
        <v>89</v>
      </c>
      <c r="D1297" t="s">
        <v>32</v>
      </c>
      <c r="E1297" t="s">
        <v>33</v>
      </c>
      <c r="F1297">
        <v>0.61905223278318466</v>
      </c>
      <c r="G1297">
        <v>0.93810446556636939</v>
      </c>
      <c r="H1297">
        <v>0.3</v>
      </c>
      <c r="I1297">
        <v>91792028500</v>
      </c>
      <c r="J1297">
        <v>14.7</v>
      </c>
      <c r="K1297">
        <v>16</v>
      </c>
    </row>
    <row r="1298" spans="1:11" x14ac:dyDescent="0.25">
      <c r="A1298" t="s">
        <v>394</v>
      </c>
      <c r="B1298" t="s">
        <v>348</v>
      </c>
      <c r="C1298" t="s">
        <v>349</v>
      </c>
      <c r="D1298" t="s">
        <v>32</v>
      </c>
      <c r="E1298" t="s">
        <v>26</v>
      </c>
      <c r="F1298">
        <v>0.6178193957684508</v>
      </c>
      <c r="G1298">
        <v>0.83563879153690146</v>
      </c>
      <c r="H1298">
        <v>0.4</v>
      </c>
      <c r="I1298">
        <v>203210295000</v>
      </c>
      <c r="J1298">
        <v>15.55</v>
      </c>
      <c r="K1298">
        <v>17</v>
      </c>
    </row>
    <row r="1299" spans="1:11" x14ac:dyDescent="0.25">
      <c r="A1299" t="s">
        <v>394</v>
      </c>
      <c r="B1299" t="s">
        <v>386</v>
      </c>
      <c r="C1299" t="s">
        <v>387</v>
      </c>
      <c r="D1299" t="s">
        <v>32</v>
      </c>
      <c r="E1299" t="s">
        <v>74</v>
      </c>
      <c r="F1299">
        <v>0.61557851739045621</v>
      </c>
      <c r="G1299">
        <v>0.93115703478091238</v>
      </c>
      <c r="H1299">
        <v>0.3</v>
      </c>
      <c r="I1299">
        <v>221758703900</v>
      </c>
      <c r="J1299">
        <v>24.3</v>
      </c>
      <c r="K1299">
        <v>18</v>
      </c>
    </row>
    <row r="1300" spans="1:11" x14ac:dyDescent="0.25">
      <c r="A1300" t="s">
        <v>394</v>
      </c>
      <c r="B1300" t="s">
        <v>342</v>
      </c>
      <c r="C1300" t="s">
        <v>343</v>
      </c>
      <c r="D1300" t="s">
        <v>32</v>
      </c>
      <c r="E1300" t="s">
        <v>292</v>
      </c>
      <c r="F1300">
        <v>0.61321920921247397</v>
      </c>
      <c r="G1300">
        <v>0.92643841842494801</v>
      </c>
      <c r="H1300">
        <v>0.3</v>
      </c>
      <c r="I1300">
        <v>22474841500</v>
      </c>
      <c r="J1300">
        <v>42.3</v>
      </c>
      <c r="K1300">
        <v>19</v>
      </c>
    </row>
    <row r="1301" spans="1:11" x14ac:dyDescent="0.25">
      <c r="A1301" t="s">
        <v>394</v>
      </c>
      <c r="B1301" t="s">
        <v>397</v>
      </c>
      <c r="C1301" t="s">
        <v>398</v>
      </c>
      <c r="D1301" t="s">
        <v>32</v>
      </c>
      <c r="E1301" t="s">
        <v>42</v>
      </c>
      <c r="F1301">
        <v>0.61016034625393101</v>
      </c>
      <c r="G1301">
        <v>0.67032069250786197</v>
      </c>
      <c r="H1301">
        <v>0.55000000000000004</v>
      </c>
      <c r="I1301">
        <v>2769899500</v>
      </c>
      <c r="J1301">
        <v>15.2</v>
      </c>
      <c r="K1301">
        <v>20</v>
      </c>
    </row>
    <row r="1302" spans="1:11" x14ac:dyDescent="0.25">
      <c r="A1302" t="s">
        <v>399</v>
      </c>
      <c r="B1302" t="s">
        <v>237</v>
      </c>
      <c r="C1302" t="s">
        <v>238</v>
      </c>
      <c r="D1302" t="s">
        <v>32</v>
      </c>
      <c r="E1302" t="s">
        <v>33</v>
      </c>
      <c r="F1302">
        <v>0.84467543474676354</v>
      </c>
      <c r="G1302">
        <v>0.9393508694935272</v>
      </c>
      <c r="H1302">
        <v>0.75</v>
      </c>
      <c r="I1302">
        <v>594248152800</v>
      </c>
      <c r="J1302">
        <v>76</v>
      </c>
      <c r="K1302">
        <v>1</v>
      </c>
    </row>
    <row r="1303" spans="1:11" x14ac:dyDescent="0.25">
      <c r="A1303" t="s">
        <v>399</v>
      </c>
      <c r="B1303" t="s">
        <v>384</v>
      </c>
      <c r="C1303" t="s">
        <v>385</v>
      </c>
      <c r="D1303" t="s">
        <v>14</v>
      </c>
      <c r="E1303" t="s">
        <v>26</v>
      </c>
      <c r="F1303">
        <v>0.82127969248348609</v>
      </c>
      <c r="G1303">
        <v>0.99255938496697216</v>
      </c>
      <c r="H1303">
        <v>0.65</v>
      </c>
      <c r="I1303">
        <v>4031948600</v>
      </c>
      <c r="J1303">
        <v>9.6</v>
      </c>
      <c r="K1303">
        <v>2</v>
      </c>
    </row>
    <row r="1304" spans="1:11" x14ac:dyDescent="0.25">
      <c r="A1304" t="s">
        <v>399</v>
      </c>
      <c r="B1304" t="s">
        <v>143</v>
      </c>
      <c r="C1304" t="s">
        <v>144</v>
      </c>
      <c r="D1304" t="s">
        <v>32</v>
      </c>
      <c r="E1304" t="s">
        <v>26</v>
      </c>
      <c r="F1304">
        <v>0.72929396770571153</v>
      </c>
      <c r="G1304">
        <v>0.75858793541142322</v>
      </c>
      <c r="H1304">
        <v>0.7</v>
      </c>
      <c r="I1304">
        <v>29373478500</v>
      </c>
      <c r="J1304">
        <v>21.55</v>
      </c>
      <c r="K1304">
        <v>3</v>
      </c>
    </row>
    <row r="1305" spans="1:11" x14ac:dyDescent="0.25">
      <c r="A1305" t="s">
        <v>399</v>
      </c>
      <c r="B1305" t="s">
        <v>388</v>
      </c>
      <c r="C1305" t="s">
        <v>389</v>
      </c>
      <c r="D1305" t="s">
        <v>14</v>
      </c>
      <c r="E1305" t="s">
        <v>26</v>
      </c>
      <c r="F1305">
        <v>0.72796261196374112</v>
      </c>
      <c r="G1305">
        <v>0.80592522392748223</v>
      </c>
      <c r="H1305">
        <v>0.65</v>
      </c>
      <c r="I1305">
        <v>7772219600</v>
      </c>
      <c r="J1305">
        <v>8.4</v>
      </c>
      <c r="K1305">
        <v>4</v>
      </c>
    </row>
    <row r="1306" spans="1:11" x14ac:dyDescent="0.25">
      <c r="A1306" t="s">
        <v>399</v>
      </c>
      <c r="B1306" t="s">
        <v>342</v>
      </c>
      <c r="C1306" t="s">
        <v>343</v>
      </c>
      <c r="D1306" t="s">
        <v>32</v>
      </c>
      <c r="E1306" t="s">
        <v>292</v>
      </c>
      <c r="F1306">
        <v>0.70176477802948356</v>
      </c>
      <c r="G1306">
        <v>0.85352955605896708</v>
      </c>
      <c r="H1306">
        <v>0.55000000000000004</v>
      </c>
      <c r="I1306">
        <v>23321675500</v>
      </c>
      <c r="J1306">
        <v>40.4</v>
      </c>
      <c r="K1306">
        <v>5</v>
      </c>
    </row>
    <row r="1307" spans="1:11" x14ac:dyDescent="0.25">
      <c r="A1307" t="s">
        <v>399</v>
      </c>
      <c r="B1307" t="s">
        <v>164</v>
      </c>
      <c r="C1307" t="s">
        <v>165</v>
      </c>
      <c r="D1307" t="s">
        <v>32</v>
      </c>
      <c r="E1307" t="s">
        <v>33</v>
      </c>
      <c r="F1307">
        <v>0.69595629610589516</v>
      </c>
      <c r="G1307">
        <v>0.94191259221179036</v>
      </c>
      <c r="H1307">
        <v>0.45</v>
      </c>
      <c r="I1307">
        <v>572550222400</v>
      </c>
      <c r="J1307">
        <v>97</v>
      </c>
      <c r="K1307">
        <v>6</v>
      </c>
    </row>
    <row r="1308" spans="1:11" x14ac:dyDescent="0.25">
      <c r="A1308" t="s">
        <v>399</v>
      </c>
      <c r="B1308" t="s">
        <v>140</v>
      </c>
      <c r="C1308" t="s">
        <v>141</v>
      </c>
      <c r="D1308" t="s">
        <v>32</v>
      </c>
      <c r="E1308" t="s">
        <v>26</v>
      </c>
      <c r="F1308">
        <v>0.67026579000474173</v>
      </c>
      <c r="G1308">
        <v>0.89053158000948351</v>
      </c>
      <c r="H1308">
        <v>0.45</v>
      </c>
      <c r="I1308">
        <v>4169293280</v>
      </c>
      <c r="J1308">
        <v>10.85</v>
      </c>
      <c r="K1308">
        <v>7</v>
      </c>
    </row>
    <row r="1309" spans="1:11" x14ac:dyDescent="0.25">
      <c r="A1309" t="s">
        <v>399</v>
      </c>
      <c r="B1309" t="s">
        <v>371</v>
      </c>
      <c r="C1309" t="s">
        <v>372</v>
      </c>
      <c r="D1309" t="s">
        <v>18</v>
      </c>
      <c r="E1309" t="s">
        <v>33</v>
      </c>
      <c r="F1309">
        <v>0.66897465938947831</v>
      </c>
      <c r="G1309">
        <v>0.98794931877895675</v>
      </c>
      <c r="H1309">
        <v>0.35</v>
      </c>
      <c r="I1309">
        <v>159204610600</v>
      </c>
      <c r="J1309">
        <v>18.100000000000001</v>
      </c>
      <c r="K1309">
        <v>8</v>
      </c>
    </row>
    <row r="1310" spans="1:11" x14ac:dyDescent="0.25">
      <c r="A1310" t="s">
        <v>399</v>
      </c>
      <c r="B1310" t="s">
        <v>179</v>
      </c>
      <c r="C1310" t="s">
        <v>180</v>
      </c>
      <c r="D1310" t="s">
        <v>32</v>
      </c>
      <c r="E1310" t="s">
        <v>124</v>
      </c>
      <c r="F1310">
        <v>0.66854045091573955</v>
      </c>
      <c r="G1310">
        <v>0.93708090183147918</v>
      </c>
      <c r="H1310">
        <v>0.4</v>
      </c>
      <c r="I1310">
        <v>417893218800</v>
      </c>
      <c r="J1310">
        <v>36</v>
      </c>
      <c r="K1310">
        <v>9</v>
      </c>
    </row>
    <row r="1311" spans="1:11" x14ac:dyDescent="0.25">
      <c r="A1311" t="s">
        <v>399</v>
      </c>
      <c r="B1311" t="s">
        <v>135</v>
      </c>
      <c r="C1311" t="s">
        <v>136</v>
      </c>
      <c r="D1311" t="s">
        <v>32</v>
      </c>
      <c r="E1311" t="s">
        <v>29</v>
      </c>
      <c r="F1311">
        <v>0.66511133870822181</v>
      </c>
      <c r="G1311">
        <v>0.83022267741644362</v>
      </c>
      <c r="H1311">
        <v>0.5</v>
      </c>
      <c r="I1311">
        <v>354800926300</v>
      </c>
      <c r="J1311">
        <v>16.45</v>
      </c>
      <c r="K1311">
        <v>10</v>
      </c>
    </row>
    <row r="1312" spans="1:11" x14ac:dyDescent="0.25">
      <c r="A1312" t="s">
        <v>399</v>
      </c>
      <c r="B1312" t="s">
        <v>340</v>
      </c>
      <c r="C1312" t="s">
        <v>341</v>
      </c>
      <c r="D1312" t="s">
        <v>14</v>
      </c>
      <c r="E1312" t="s">
        <v>74</v>
      </c>
      <c r="F1312">
        <v>0.66492680345574939</v>
      </c>
      <c r="G1312">
        <v>0.82985360691149879</v>
      </c>
      <c r="H1312">
        <v>0.5</v>
      </c>
      <c r="I1312">
        <v>2127386800</v>
      </c>
      <c r="J1312">
        <v>38.700000000000003</v>
      </c>
      <c r="K1312">
        <v>11</v>
      </c>
    </row>
    <row r="1313" spans="1:11" x14ac:dyDescent="0.25">
      <c r="A1313" t="s">
        <v>399</v>
      </c>
      <c r="B1313" t="s">
        <v>186</v>
      </c>
      <c r="C1313" t="s">
        <v>187</v>
      </c>
      <c r="D1313" t="s">
        <v>32</v>
      </c>
      <c r="E1313" t="s">
        <v>74</v>
      </c>
      <c r="F1313">
        <v>0.66481224177557507</v>
      </c>
      <c r="G1313">
        <v>0.87962448355115019</v>
      </c>
      <c r="H1313">
        <v>0.45</v>
      </c>
      <c r="I1313">
        <v>15756837000</v>
      </c>
      <c r="J1313">
        <v>13.5</v>
      </c>
      <c r="K1313">
        <v>12</v>
      </c>
    </row>
    <row r="1314" spans="1:11" x14ac:dyDescent="0.25">
      <c r="A1314" t="s">
        <v>399</v>
      </c>
      <c r="B1314" t="s">
        <v>309</v>
      </c>
      <c r="C1314" t="s">
        <v>310</v>
      </c>
      <c r="D1314" t="s">
        <v>32</v>
      </c>
      <c r="E1314" t="s">
        <v>33</v>
      </c>
      <c r="F1314">
        <v>0.66304716439273848</v>
      </c>
      <c r="G1314">
        <v>0.92609432878547682</v>
      </c>
      <c r="H1314">
        <v>0.4</v>
      </c>
      <c r="I1314">
        <v>269715681400</v>
      </c>
      <c r="J1314">
        <v>14.3</v>
      </c>
      <c r="K1314">
        <v>13</v>
      </c>
    </row>
    <row r="1315" spans="1:11" x14ac:dyDescent="0.25">
      <c r="A1315" t="s">
        <v>399</v>
      </c>
      <c r="B1315" t="s">
        <v>173</v>
      </c>
      <c r="C1315" t="s">
        <v>174</v>
      </c>
      <c r="D1315" t="s">
        <v>32</v>
      </c>
      <c r="E1315" t="s">
        <v>74</v>
      </c>
      <c r="F1315">
        <v>0.65598324787912521</v>
      </c>
      <c r="G1315">
        <v>0.76196649575825048</v>
      </c>
      <c r="H1315">
        <v>0.55000000000000004</v>
      </c>
      <c r="I1315">
        <v>944506702100</v>
      </c>
      <c r="J1315">
        <v>13.7</v>
      </c>
      <c r="K1315">
        <v>14</v>
      </c>
    </row>
    <row r="1316" spans="1:11" x14ac:dyDescent="0.25">
      <c r="A1316" t="s">
        <v>399</v>
      </c>
      <c r="B1316" t="s">
        <v>171</v>
      </c>
      <c r="C1316" t="s">
        <v>172</v>
      </c>
      <c r="D1316" t="s">
        <v>32</v>
      </c>
      <c r="E1316" t="s">
        <v>33</v>
      </c>
      <c r="F1316">
        <v>0.64474710209865016</v>
      </c>
      <c r="G1316">
        <v>0.98949420419730028</v>
      </c>
      <c r="H1316">
        <v>0.3</v>
      </c>
      <c r="I1316">
        <v>15747523560</v>
      </c>
      <c r="J1316">
        <v>8.85</v>
      </c>
      <c r="K1316">
        <v>15</v>
      </c>
    </row>
    <row r="1317" spans="1:11" x14ac:dyDescent="0.25">
      <c r="A1317" t="s">
        <v>399</v>
      </c>
      <c r="B1317" t="s">
        <v>287</v>
      </c>
      <c r="C1317" t="s">
        <v>288</v>
      </c>
      <c r="D1317" t="s">
        <v>14</v>
      </c>
      <c r="E1317" t="s">
        <v>59</v>
      </c>
      <c r="F1317">
        <v>0.64265453781295467</v>
      </c>
      <c r="G1317">
        <v>0.83530907562590928</v>
      </c>
      <c r="H1317">
        <v>0.45</v>
      </c>
      <c r="I1317">
        <v>58923416200</v>
      </c>
      <c r="J1317">
        <v>25</v>
      </c>
      <c r="K1317">
        <v>16</v>
      </c>
    </row>
    <row r="1318" spans="1:11" x14ac:dyDescent="0.25">
      <c r="A1318" t="s">
        <v>399</v>
      </c>
      <c r="B1318" t="s">
        <v>400</v>
      </c>
      <c r="C1318" t="s">
        <v>401</v>
      </c>
      <c r="D1318" t="s">
        <v>18</v>
      </c>
      <c r="E1318" t="s">
        <v>26</v>
      </c>
      <c r="F1318">
        <v>0.6352253495575384</v>
      </c>
      <c r="G1318">
        <v>0.87045069911507666</v>
      </c>
      <c r="H1318">
        <v>0.4</v>
      </c>
      <c r="I1318">
        <v>6160182000</v>
      </c>
      <c r="J1318">
        <v>9</v>
      </c>
      <c r="K1318">
        <v>17</v>
      </c>
    </row>
    <row r="1319" spans="1:11" x14ac:dyDescent="0.25">
      <c r="A1319" t="s">
        <v>399</v>
      </c>
      <c r="B1319" t="s">
        <v>70</v>
      </c>
      <c r="C1319" t="s">
        <v>71</v>
      </c>
      <c r="D1319" t="s">
        <v>32</v>
      </c>
      <c r="E1319" t="s">
        <v>33</v>
      </c>
      <c r="F1319">
        <v>0.63429883874665638</v>
      </c>
      <c r="G1319">
        <v>0.96859767749331271</v>
      </c>
      <c r="H1319">
        <v>0.3</v>
      </c>
      <c r="I1319">
        <v>22300185220</v>
      </c>
      <c r="J1319">
        <v>7.4</v>
      </c>
      <c r="K1319">
        <v>18</v>
      </c>
    </row>
    <row r="1320" spans="1:11" x14ac:dyDescent="0.25">
      <c r="A1320" t="s">
        <v>399</v>
      </c>
      <c r="B1320" t="s">
        <v>183</v>
      </c>
      <c r="C1320" t="s">
        <v>184</v>
      </c>
      <c r="D1320" t="s">
        <v>32</v>
      </c>
      <c r="E1320" t="s">
        <v>33</v>
      </c>
      <c r="F1320">
        <v>0.63005003109987723</v>
      </c>
      <c r="G1320">
        <v>0.66010006219975448</v>
      </c>
      <c r="H1320">
        <v>0.6</v>
      </c>
      <c r="I1320">
        <v>5101675320</v>
      </c>
      <c r="J1320">
        <v>2.37</v>
      </c>
      <c r="K1320">
        <v>19</v>
      </c>
    </row>
    <row r="1321" spans="1:11" x14ac:dyDescent="0.25">
      <c r="A1321" t="s">
        <v>399</v>
      </c>
      <c r="B1321" t="s">
        <v>88</v>
      </c>
      <c r="C1321" t="s">
        <v>89</v>
      </c>
      <c r="D1321" t="s">
        <v>32</v>
      </c>
      <c r="E1321" t="s">
        <v>33</v>
      </c>
      <c r="F1321">
        <v>0.62429416205563337</v>
      </c>
      <c r="G1321">
        <v>0.94858832411126681</v>
      </c>
      <c r="H1321">
        <v>0.3</v>
      </c>
      <c r="I1321">
        <v>93936005320</v>
      </c>
      <c r="J1321">
        <v>15.15</v>
      </c>
      <c r="K1321">
        <v>20</v>
      </c>
    </row>
    <row r="1322" spans="1:11" x14ac:dyDescent="0.25">
      <c r="A1322" t="s">
        <v>402</v>
      </c>
      <c r="B1322" t="s">
        <v>384</v>
      </c>
      <c r="C1322" t="s">
        <v>385</v>
      </c>
      <c r="D1322" t="s">
        <v>14</v>
      </c>
      <c r="E1322" t="s">
        <v>26</v>
      </c>
      <c r="F1322">
        <v>0.79305173684960506</v>
      </c>
      <c r="G1322">
        <v>0.98610347369921003</v>
      </c>
      <c r="H1322">
        <v>0.6</v>
      </c>
      <c r="I1322">
        <v>4219276200</v>
      </c>
      <c r="J1322">
        <v>9.4</v>
      </c>
      <c r="K1322">
        <v>1</v>
      </c>
    </row>
    <row r="1323" spans="1:11" x14ac:dyDescent="0.25">
      <c r="A1323" t="s">
        <v>402</v>
      </c>
      <c r="B1323" t="s">
        <v>237</v>
      </c>
      <c r="C1323" t="s">
        <v>238</v>
      </c>
      <c r="D1323" t="s">
        <v>32</v>
      </c>
      <c r="E1323" t="s">
        <v>33</v>
      </c>
      <c r="F1323">
        <v>0.77590719415911114</v>
      </c>
      <c r="G1323">
        <v>0.85181438831822243</v>
      </c>
      <c r="H1323">
        <v>0.7</v>
      </c>
      <c r="I1323">
        <v>589269966000</v>
      </c>
      <c r="J1323">
        <v>70.7</v>
      </c>
      <c r="K1323">
        <v>2</v>
      </c>
    </row>
    <row r="1324" spans="1:11" x14ac:dyDescent="0.25">
      <c r="A1324" t="s">
        <v>402</v>
      </c>
      <c r="B1324" t="s">
        <v>135</v>
      </c>
      <c r="C1324" t="s">
        <v>136</v>
      </c>
      <c r="D1324" t="s">
        <v>32</v>
      </c>
      <c r="E1324" t="s">
        <v>29</v>
      </c>
      <c r="F1324">
        <v>0.72852901382379409</v>
      </c>
      <c r="G1324">
        <v>0.70705802764758807</v>
      </c>
      <c r="H1324">
        <v>0.75</v>
      </c>
      <c r="I1324">
        <v>354436766300</v>
      </c>
      <c r="J1324">
        <v>16.2</v>
      </c>
      <c r="K1324">
        <v>3</v>
      </c>
    </row>
    <row r="1325" spans="1:11" x14ac:dyDescent="0.25">
      <c r="A1325" t="s">
        <v>402</v>
      </c>
      <c r="B1325" t="s">
        <v>186</v>
      </c>
      <c r="C1325" t="s">
        <v>187</v>
      </c>
      <c r="D1325" t="s">
        <v>32</v>
      </c>
      <c r="E1325" t="s">
        <v>74</v>
      </c>
      <c r="F1325">
        <v>0.71291792020319389</v>
      </c>
      <c r="G1325">
        <v>0.87583584040638773</v>
      </c>
      <c r="H1325">
        <v>0.55000000000000004</v>
      </c>
      <c r="I1325">
        <v>15824049000</v>
      </c>
      <c r="J1325">
        <v>13.3</v>
      </c>
      <c r="K1325">
        <v>4</v>
      </c>
    </row>
    <row r="1326" spans="1:11" x14ac:dyDescent="0.25">
      <c r="A1326" t="s">
        <v>402</v>
      </c>
      <c r="B1326" t="s">
        <v>340</v>
      </c>
      <c r="C1326" t="s">
        <v>341</v>
      </c>
      <c r="D1326" t="s">
        <v>14</v>
      </c>
      <c r="E1326" t="s">
        <v>74</v>
      </c>
      <c r="F1326">
        <v>0.70585607262047945</v>
      </c>
      <c r="G1326">
        <v>0.86171214524095874</v>
      </c>
      <c r="H1326">
        <v>0.55000000000000004</v>
      </c>
      <c r="I1326">
        <v>2131638400</v>
      </c>
      <c r="J1326">
        <v>38.799999999999997</v>
      </c>
      <c r="K1326">
        <v>5</v>
      </c>
    </row>
    <row r="1327" spans="1:11" x14ac:dyDescent="0.25">
      <c r="A1327" t="s">
        <v>402</v>
      </c>
      <c r="B1327" t="s">
        <v>309</v>
      </c>
      <c r="C1327" t="s">
        <v>310</v>
      </c>
      <c r="D1327" t="s">
        <v>32</v>
      </c>
      <c r="E1327" t="s">
        <v>33</v>
      </c>
      <c r="F1327">
        <v>0.69733623392554989</v>
      </c>
      <c r="G1327">
        <v>0.94467246785109971</v>
      </c>
      <c r="H1327">
        <v>0.45</v>
      </c>
      <c r="I1327">
        <v>277719206800</v>
      </c>
      <c r="J1327">
        <v>14.4</v>
      </c>
      <c r="K1327">
        <v>6</v>
      </c>
    </row>
    <row r="1328" spans="1:11" x14ac:dyDescent="0.25">
      <c r="A1328" t="s">
        <v>402</v>
      </c>
      <c r="B1328" t="s">
        <v>403</v>
      </c>
      <c r="C1328" t="s">
        <v>404</v>
      </c>
      <c r="D1328" t="s">
        <v>32</v>
      </c>
      <c r="E1328" t="s">
        <v>33</v>
      </c>
      <c r="F1328">
        <v>0.69219738288668264</v>
      </c>
      <c r="G1328">
        <v>0.98439476577336527</v>
      </c>
      <c r="H1328">
        <v>0.4</v>
      </c>
      <c r="I1328">
        <v>2006761800</v>
      </c>
      <c r="J1328">
        <v>2.85</v>
      </c>
      <c r="K1328">
        <v>7</v>
      </c>
    </row>
    <row r="1329" spans="1:11" x14ac:dyDescent="0.25">
      <c r="A1329" t="s">
        <v>402</v>
      </c>
      <c r="B1329" t="s">
        <v>290</v>
      </c>
      <c r="C1329" t="s">
        <v>291</v>
      </c>
      <c r="D1329" t="s">
        <v>14</v>
      </c>
      <c r="E1329" t="s">
        <v>292</v>
      </c>
      <c r="F1329">
        <v>0.68838663468998729</v>
      </c>
      <c r="G1329">
        <v>0.82677326937997453</v>
      </c>
      <c r="H1329">
        <v>0.55000000000000004</v>
      </c>
      <c r="I1329">
        <v>6439790200</v>
      </c>
      <c r="J1329">
        <v>235</v>
      </c>
      <c r="K1329">
        <v>8</v>
      </c>
    </row>
    <row r="1330" spans="1:11" x14ac:dyDescent="0.25">
      <c r="A1330" t="s">
        <v>402</v>
      </c>
      <c r="B1330" t="s">
        <v>143</v>
      </c>
      <c r="C1330" t="s">
        <v>144</v>
      </c>
      <c r="D1330" t="s">
        <v>32</v>
      </c>
      <c r="E1330" t="s">
        <v>26</v>
      </c>
      <c r="F1330">
        <v>0.67935410914324579</v>
      </c>
      <c r="G1330">
        <v>0.7587082182864916</v>
      </c>
      <c r="H1330">
        <v>0.6</v>
      </c>
      <c r="I1330">
        <v>30093305200</v>
      </c>
      <c r="J1330">
        <v>21.75</v>
      </c>
      <c r="K1330">
        <v>9</v>
      </c>
    </row>
    <row r="1331" spans="1:11" x14ac:dyDescent="0.25">
      <c r="A1331" t="s">
        <v>402</v>
      </c>
      <c r="B1331" t="s">
        <v>179</v>
      </c>
      <c r="C1331" t="s">
        <v>180</v>
      </c>
      <c r="D1331" t="s">
        <v>32</v>
      </c>
      <c r="E1331" t="s">
        <v>124</v>
      </c>
      <c r="F1331">
        <v>0.67677508267623721</v>
      </c>
      <c r="G1331">
        <v>0.90355016535247434</v>
      </c>
      <c r="H1331">
        <v>0.45</v>
      </c>
      <c r="I1331">
        <v>414940555800</v>
      </c>
      <c r="J1331">
        <v>35</v>
      </c>
      <c r="K1331">
        <v>10</v>
      </c>
    </row>
    <row r="1332" spans="1:11" x14ac:dyDescent="0.25">
      <c r="A1332" t="s">
        <v>402</v>
      </c>
      <c r="B1332" t="s">
        <v>82</v>
      </c>
      <c r="C1332" t="s">
        <v>83</v>
      </c>
      <c r="D1332" t="s">
        <v>32</v>
      </c>
      <c r="E1332" t="s">
        <v>39</v>
      </c>
      <c r="F1332">
        <v>0.65541922823471865</v>
      </c>
      <c r="G1332">
        <v>0.8108384564694372</v>
      </c>
      <c r="H1332">
        <v>0.5</v>
      </c>
      <c r="I1332">
        <v>35527666300</v>
      </c>
      <c r="J1332">
        <v>18.5</v>
      </c>
      <c r="K1332">
        <v>11</v>
      </c>
    </row>
    <row r="1333" spans="1:11" x14ac:dyDescent="0.25">
      <c r="A1333" t="s">
        <v>402</v>
      </c>
      <c r="B1333" t="s">
        <v>103</v>
      </c>
      <c r="C1333" t="s">
        <v>104</v>
      </c>
      <c r="D1333" t="s">
        <v>32</v>
      </c>
      <c r="E1333" t="s">
        <v>39</v>
      </c>
      <c r="F1333">
        <v>0.65403416073326803</v>
      </c>
      <c r="G1333">
        <v>0.75806832146653613</v>
      </c>
      <c r="H1333">
        <v>0.55000000000000004</v>
      </c>
      <c r="I1333">
        <v>31919324300</v>
      </c>
      <c r="J1333">
        <v>26</v>
      </c>
      <c r="K1333">
        <v>12</v>
      </c>
    </row>
    <row r="1334" spans="1:11" x14ac:dyDescent="0.25">
      <c r="A1334" t="s">
        <v>402</v>
      </c>
      <c r="B1334" t="s">
        <v>171</v>
      </c>
      <c r="C1334" t="s">
        <v>172</v>
      </c>
      <c r="D1334" t="s">
        <v>32</v>
      </c>
      <c r="E1334" t="s">
        <v>33</v>
      </c>
      <c r="F1334">
        <v>0.61585979009513281</v>
      </c>
      <c r="G1334">
        <v>0.98171958019026551</v>
      </c>
      <c r="H1334">
        <v>0.25</v>
      </c>
      <c r="I1334">
        <v>16590751560</v>
      </c>
      <c r="J1334">
        <v>8.65</v>
      </c>
      <c r="K1334">
        <v>13</v>
      </c>
    </row>
    <row r="1335" spans="1:11" x14ac:dyDescent="0.25">
      <c r="A1335" t="s">
        <v>402</v>
      </c>
      <c r="B1335" t="s">
        <v>88</v>
      </c>
      <c r="C1335" t="s">
        <v>89</v>
      </c>
      <c r="D1335" t="s">
        <v>32</v>
      </c>
      <c r="E1335" t="s">
        <v>33</v>
      </c>
      <c r="F1335">
        <v>0.60150993359732452</v>
      </c>
      <c r="G1335">
        <v>0.95301986719464904</v>
      </c>
      <c r="H1335">
        <v>0.25</v>
      </c>
      <c r="I1335">
        <v>96176161080</v>
      </c>
      <c r="J1335">
        <v>15.7</v>
      </c>
      <c r="K1335">
        <v>14</v>
      </c>
    </row>
    <row r="1336" spans="1:11" x14ac:dyDescent="0.25">
      <c r="A1336" t="s">
        <v>402</v>
      </c>
      <c r="B1336" t="s">
        <v>164</v>
      </c>
      <c r="C1336" t="s">
        <v>165</v>
      </c>
      <c r="D1336" t="s">
        <v>32</v>
      </c>
      <c r="E1336" t="s">
        <v>33</v>
      </c>
      <c r="F1336">
        <v>0.60137330816136769</v>
      </c>
      <c r="G1336">
        <v>0.85274661632273552</v>
      </c>
      <c r="H1336">
        <v>0.35</v>
      </c>
      <c r="I1336">
        <v>570341798200</v>
      </c>
      <c r="J1336">
        <v>90.3</v>
      </c>
      <c r="K1336">
        <v>15</v>
      </c>
    </row>
    <row r="1337" spans="1:11" x14ac:dyDescent="0.25">
      <c r="A1337" t="s">
        <v>402</v>
      </c>
      <c r="B1337" t="s">
        <v>405</v>
      </c>
      <c r="C1337" t="s">
        <v>406</v>
      </c>
      <c r="D1337" t="s">
        <v>32</v>
      </c>
      <c r="E1337" t="s">
        <v>160</v>
      </c>
      <c r="F1337">
        <v>0.60014348644970317</v>
      </c>
      <c r="G1337">
        <v>0.75028697289940627</v>
      </c>
      <c r="H1337">
        <v>0.45</v>
      </c>
      <c r="I1337">
        <v>2415039780</v>
      </c>
      <c r="J1337">
        <v>12.45</v>
      </c>
      <c r="K1337">
        <v>16</v>
      </c>
    </row>
    <row r="1338" spans="1:11" x14ac:dyDescent="0.25">
      <c r="A1338" t="s">
        <v>402</v>
      </c>
      <c r="B1338" t="s">
        <v>360</v>
      </c>
      <c r="C1338" t="s">
        <v>361</v>
      </c>
      <c r="D1338" t="s">
        <v>18</v>
      </c>
      <c r="E1338" t="s">
        <v>59</v>
      </c>
      <c r="F1338">
        <v>0.59605855646756956</v>
      </c>
      <c r="G1338">
        <v>0.64211711293513918</v>
      </c>
      <c r="H1338">
        <v>0.55000000000000004</v>
      </c>
      <c r="I1338">
        <v>19634338200</v>
      </c>
      <c r="J1338">
        <v>21.1</v>
      </c>
      <c r="K1338">
        <v>17</v>
      </c>
    </row>
    <row r="1339" spans="1:11" x14ac:dyDescent="0.25">
      <c r="A1339" t="s">
        <v>402</v>
      </c>
      <c r="B1339" t="s">
        <v>273</v>
      </c>
      <c r="C1339" t="s">
        <v>274</v>
      </c>
      <c r="D1339" t="s">
        <v>32</v>
      </c>
      <c r="E1339" t="s">
        <v>275</v>
      </c>
      <c r="F1339">
        <v>0.59162757755714324</v>
      </c>
      <c r="G1339">
        <v>0.78325515511428645</v>
      </c>
      <c r="H1339">
        <v>0.4</v>
      </c>
      <c r="I1339">
        <v>2069643200</v>
      </c>
      <c r="J1339">
        <v>37.15</v>
      </c>
      <c r="K1339">
        <v>18</v>
      </c>
    </row>
    <row r="1340" spans="1:11" x14ac:dyDescent="0.25">
      <c r="A1340" t="s">
        <v>402</v>
      </c>
      <c r="B1340" t="s">
        <v>183</v>
      </c>
      <c r="C1340" t="s">
        <v>184</v>
      </c>
      <c r="D1340" t="s">
        <v>32</v>
      </c>
      <c r="E1340" t="s">
        <v>33</v>
      </c>
      <c r="F1340">
        <v>0.58933002867815365</v>
      </c>
      <c r="G1340">
        <v>0.62866005735630726</v>
      </c>
      <c r="H1340">
        <v>0.55000000000000004</v>
      </c>
      <c r="I1340">
        <v>5129554280</v>
      </c>
      <c r="J1340">
        <v>2.2999999999999998</v>
      </c>
      <c r="K1340">
        <v>19</v>
      </c>
    </row>
    <row r="1341" spans="1:11" x14ac:dyDescent="0.25">
      <c r="A1341" t="s">
        <v>402</v>
      </c>
      <c r="B1341" t="s">
        <v>397</v>
      </c>
      <c r="C1341" t="s">
        <v>398</v>
      </c>
      <c r="D1341" t="s">
        <v>32</v>
      </c>
      <c r="E1341" t="s">
        <v>42</v>
      </c>
      <c r="F1341">
        <v>0.57958893735568617</v>
      </c>
      <c r="G1341">
        <v>0.55917787471137237</v>
      </c>
      <c r="H1341">
        <v>0.6</v>
      </c>
      <c r="I1341">
        <v>2778972900</v>
      </c>
      <c r="J1341">
        <v>15.05</v>
      </c>
      <c r="K1341">
        <v>20</v>
      </c>
    </row>
    <row r="1342" spans="1:11" x14ac:dyDescent="0.25">
      <c r="A1342" t="s">
        <v>407</v>
      </c>
      <c r="B1342" t="s">
        <v>237</v>
      </c>
      <c r="C1342" t="s">
        <v>238</v>
      </c>
      <c r="D1342" t="s">
        <v>32</v>
      </c>
      <c r="E1342" t="s">
        <v>33</v>
      </c>
      <c r="F1342">
        <v>0.82844316904818993</v>
      </c>
      <c r="G1342">
        <v>0.90688633809637975</v>
      </c>
      <c r="H1342">
        <v>0.75</v>
      </c>
      <c r="I1342">
        <v>593105830000</v>
      </c>
      <c r="J1342">
        <v>72.599999999999994</v>
      </c>
      <c r="K1342">
        <v>1</v>
      </c>
    </row>
    <row r="1343" spans="1:11" x14ac:dyDescent="0.25">
      <c r="A1343" t="s">
        <v>407</v>
      </c>
      <c r="B1343" t="s">
        <v>186</v>
      </c>
      <c r="C1343" t="s">
        <v>187</v>
      </c>
      <c r="D1343" t="s">
        <v>32</v>
      </c>
      <c r="E1343" t="s">
        <v>74</v>
      </c>
      <c r="F1343">
        <v>0.79320353224823614</v>
      </c>
      <c r="G1343">
        <v>0.93640706449647226</v>
      </c>
      <c r="H1343">
        <v>0.65</v>
      </c>
      <c r="I1343">
        <v>16282793000</v>
      </c>
      <c r="J1343">
        <v>13.8</v>
      </c>
      <c r="K1343">
        <v>2</v>
      </c>
    </row>
    <row r="1344" spans="1:11" x14ac:dyDescent="0.25">
      <c r="A1344" t="s">
        <v>407</v>
      </c>
      <c r="B1344" t="s">
        <v>179</v>
      </c>
      <c r="C1344" t="s">
        <v>180</v>
      </c>
      <c r="D1344" t="s">
        <v>32</v>
      </c>
      <c r="E1344" t="s">
        <v>124</v>
      </c>
      <c r="F1344">
        <v>0.73607548983382243</v>
      </c>
      <c r="G1344">
        <v>0.9221509796676447</v>
      </c>
      <c r="H1344">
        <v>0.55000000000000004</v>
      </c>
      <c r="I1344">
        <v>417375695900</v>
      </c>
      <c r="J1344">
        <v>35.65</v>
      </c>
      <c r="K1344">
        <v>3</v>
      </c>
    </row>
    <row r="1345" spans="1:11" x14ac:dyDescent="0.25">
      <c r="A1345" t="s">
        <v>407</v>
      </c>
      <c r="B1345" t="s">
        <v>384</v>
      </c>
      <c r="C1345" t="s">
        <v>385</v>
      </c>
      <c r="D1345" t="s">
        <v>14</v>
      </c>
      <c r="E1345" t="s">
        <v>26</v>
      </c>
      <c r="F1345">
        <v>0.71620596802433101</v>
      </c>
      <c r="G1345">
        <v>0.98241193604866206</v>
      </c>
      <c r="H1345">
        <v>0.45</v>
      </c>
      <c r="I1345">
        <v>4410615600</v>
      </c>
      <c r="J1345">
        <v>9.3000000000000007</v>
      </c>
      <c r="K1345">
        <v>4</v>
      </c>
    </row>
    <row r="1346" spans="1:11" x14ac:dyDescent="0.25">
      <c r="A1346" t="s">
        <v>407</v>
      </c>
      <c r="B1346" t="s">
        <v>315</v>
      </c>
      <c r="C1346" t="s">
        <v>316</v>
      </c>
      <c r="D1346" t="s">
        <v>32</v>
      </c>
      <c r="E1346" t="s">
        <v>317</v>
      </c>
      <c r="F1346">
        <v>0.67220664241147832</v>
      </c>
      <c r="G1346">
        <v>0.79441328482295659</v>
      </c>
      <c r="H1346">
        <v>0.55000000000000004</v>
      </c>
      <c r="I1346">
        <v>78242006200</v>
      </c>
      <c r="J1346">
        <v>179.9</v>
      </c>
      <c r="K1346">
        <v>5</v>
      </c>
    </row>
    <row r="1347" spans="1:11" x14ac:dyDescent="0.25">
      <c r="A1347" t="s">
        <v>407</v>
      </c>
      <c r="B1347" t="s">
        <v>340</v>
      </c>
      <c r="C1347" t="s">
        <v>341</v>
      </c>
      <c r="D1347" t="s">
        <v>14</v>
      </c>
      <c r="E1347" t="s">
        <v>74</v>
      </c>
      <c r="F1347">
        <v>0.67060798250711984</v>
      </c>
      <c r="G1347">
        <v>0.84121596501423967</v>
      </c>
      <c r="H1347">
        <v>0.5</v>
      </c>
      <c r="I1347">
        <v>2133978400</v>
      </c>
      <c r="J1347">
        <v>39</v>
      </c>
      <c r="K1347">
        <v>6</v>
      </c>
    </row>
    <row r="1348" spans="1:11" x14ac:dyDescent="0.25">
      <c r="A1348" t="s">
        <v>407</v>
      </c>
      <c r="B1348" t="s">
        <v>135</v>
      </c>
      <c r="C1348" t="s">
        <v>136</v>
      </c>
      <c r="D1348" t="s">
        <v>32</v>
      </c>
      <c r="E1348" t="s">
        <v>29</v>
      </c>
      <c r="F1348">
        <v>0.67008993734622835</v>
      </c>
      <c r="G1348">
        <v>0.69017987469245667</v>
      </c>
      <c r="H1348">
        <v>0.65</v>
      </c>
      <c r="I1348">
        <v>354782399200</v>
      </c>
      <c r="J1348">
        <v>16.3</v>
      </c>
      <c r="K1348">
        <v>7</v>
      </c>
    </row>
    <row r="1349" spans="1:11" x14ac:dyDescent="0.25">
      <c r="A1349" t="s">
        <v>407</v>
      </c>
      <c r="B1349" t="s">
        <v>176</v>
      </c>
      <c r="C1349" t="s">
        <v>177</v>
      </c>
      <c r="D1349" t="s">
        <v>32</v>
      </c>
      <c r="E1349" t="s">
        <v>33</v>
      </c>
      <c r="F1349">
        <v>0.66173327289190143</v>
      </c>
      <c r="G1349">
        <v>0.87346654578380289</v>
      </c>
      <c r="H1349">
        <v>0.45</v>
      </c>
      <c r="I1349">
        <v>4330574220</v>
      </c>
      <c r="J1349">
        <v>9.35</v>
      </c>
      <c r="K1349">
        <v>8</v>
      </c>
    </row>
    <row r="1350" spans="1:11" x14ac:dyDescent="0.25">
      <c r="A1350" t="s">
        <v>407</v>
      </c>
      <c r="B1350" t="s">
        <v>290</v>
      </c>
      <c r="C1350" t="s">
        <v>291</v>
      </c>
      <c r="D1350" t="s">
        <v>14</v>
      </c>
      <c r="E1350" t="s">
        <v>292</v>
      </c>
      <c r="F1350">
        <v>0.65202057299258087</v>
      </c>
      <c r="G1350">
        <v>0.80404114598516174</v>
      </c>
      <c r="H1350">
        <v>0.5</v>
      </c>
      <c r="I1350">
        <v>6476922600</v>
      </c>
      <c r="J1350">
        <v>235.8</v>
      </c>
      <c r="K1350">
        <v>9</v>
      </c>
    </row>
    <row r="1351" spans="1:11" x14ac:dyDescent="0.25">
      <c r="A1351" t="s">
        <v>407</v>
      </c>
      <c r="B1351" t="s">
        <v>309</v>
      </c>
      <c r="C1351" t="s">
        <v>310</v>
      </c>
      <c r="D1351" t="s">
        <v>32</v>
      </c>
      <c r="E1351" t="s">
        <v>33</v>
      </c>
      <c r="F1351">
        <v>0.64242355474937229</v>
      </c>
      <c r="G1351">
        <v>0.93484710949874461</v>
      </c>
      <c r="H1351">
        <v>0.35</v>
      </c>
      <c r="I1351">
        <v>281922571900</v>
      </c>
      <c r="J1351">
        <v>14.35</v>
      </c>
      <c r="K1351">
        <v>10</v>
      </c>
    </row>
    <row r="1352" spans="1:11" x14ac:dyDescent="0.25">
      <c r="A1352" t="s">
        <v>407</v>
      </c>
      <c r="B1352" t="s">
        <v>171</v>
      </c>
      <c r="C1352" t="s">
        <v>172</v>
      </c>
      <c r="D1352" t="s">
        <v>32</v>
      </c>
      <c r="E1352" t="s">
        <v>33</v>
      </c>
      <c r="F1352">
        <v>0.63014929836744626</v>
      </c>
      <c r="G1352">
        <v>0.9602985967348926</v>
      </c>
      <c r="H1352">
        <v>0.3</v>
      </c>
      <c r="I1352">
        <v>17302029960</v>
      </c>
      <c r="J1352">
        <v>8.3000000000000007</v>
      </c>
      <c r="K1352">
        <v>11</v>
      </c>
    </row>
    <row r="1353" spans="1:11" x14ac:dyDescent="0.25">
      <c r="A1353" t="s">
        <v>407</v>
      </c>
      <c r="B1353" t="s">
        <v>405</v>
      </c>
      <c r="C1353" t="s">
        <v>406</v>
      </c>
      <c r="D1353" t="s">
        <v>32</v>
      </c>
      <c r="E1353" t="s">
        <v>160</v>
      </c>
      <c r="F1353">
        <v>0.61474307058661004</v>
      </c>
      <c r="G1353">
        <v>0.77948614117322002</v>
      </c>
      <c r="H1353">
        <v>0.45</v>
      </c>
      <c r="I1353">
        <v>2468307480</v>
      </c>
      <c r="J1353">
        <v>12.45</v>
      </c>
      <c r="K1353">
        <v>12</v>
      </c>
    </row>
    <row r="1354" spans="1:11" x14ac:dyDescent="0.25">
      <c r="A1354" t="s">
        <v>407</v>
      </c>
      <c r="B1354" t="s">
        <v>183</v>
      </c>
      <c r="C1354" t="s">
        <v>184</v>
      </c>
      <c r="D1354" t="s">
        <v>32</v>
      </c>
      <c r="E1354" t="s">
        <v>33</v>
      </c>
      <c r="F1354">
        <v>0.61320759369291067</v>
      </c>
      <c r="G1354">
        <v>0.57641518738582143</v>
      </c>
      <c r="H1354">
        <v>0.65</v>
      </c>
      <c r="I1354">
        <v>5105644180</v>
      </c>
      <c r="J1354">
        <v>2.2999999999999998</v>
      </c>
      <c r="K1354">
        <v>13</v>
      </c>
    </row>
    <row r="1355" spans="1:11" x14ac:dyDescent="0.25">
      <c r="A1355" t="s">
        <v>407</v>
      </c>
      <c r="B1355" t="s">
        <v>408</v>
      </c>
      <c r="C1355" t="s">
        <v>409</v>
      </c>
      <c r="D1355" t="s">
        <v>32</v>
      </c>
      <c r="E1355" t="s">
        <v>317</v>
      </c>
      <c r="F1355">
        <v>0.6114024263317358</v>
      </c>
      <c r="G1355">
        <v>0.72280485266347161</v>
      </c>
      <c r="H1355">
        <v>0.5</v>
      </c>
      <c r="I1355">
        <v>19248210400</v>
      </c>
      <c r="J1355">
        <v>24.1</v>
      </c>
      <c r="K1355">
        <v>14</v>
      </c>
    </row>
    <row r="1356" spans="1:11" x14ac:dyDescent="0.25">
      <c r="A1356" t="s">
        <v>407</v>
      </c>
      <c r="B1356" t="s">
        <v>410</v>
      </c>
      <c r="C1356" t="s">
        <v>411</v>
      </c>
      <c r="D1356" t="s">
        <v>32</v>
      </c>
      <c r="E1356" t="s">
        <v>26</v>
      </c>
      <c r="F1356">
        <v>0.60680104531100487</v>
      </c>
      <c r="G1356">
        <v>0.91360209062200981</v>
      </c>
      <c r="H1356">
        <v>0.3</v>
      </c>
      <c r="I1356">
        <v>2841137520</v>
      </c>
      <c r="J1356">
        <v>5.24</v>
      </c>
      <c r="K1356">
        <v>15</v>
      </c>
    </row>
    <row r="1357" spans="1:11" x14ac:dyDescent="0.25">
      <c r="A1357" t="s">
        <v>407</v>
      </c>
      <c r="B1357" t="s">
        <v>403</v>
      </c>
      <c r="C1357" t="s">
        <v>404</v>
      </c>
      <c r="D1357" t="s">
        <v>32</v>
      </c>
      <c r="E1357" t="s">
        <v>33</v>
      </c>
      <c r="F1357">
        <v>0.60604465494776716</v>
      </c>
      <c r="G1357">
        <v>0.96208930989553432</v>
      </c>
      <c r="H1357">
        <v>0.25</v>
      </c>
      <c r="I1357">
        <v>2060854300</v>
      </c>
      <c r="J1357">
        <v>2.75</v>
      </c>
      <c r="K1357">
        <v>16</v>
      </c>
    </row>
    <row r="1358" spans="1:11" x14ac:dyDescent="0.25">
      <c r="A1358" t="s">
        <v>407</v>
      </c>
      <c r="B1358" t="s">
        <v>273</v>
      </c>
      <c r="C1358" t="s">
        <v>274</v>
      </c>
      <c r="D1358" t="s">
        <v>32</v>
      </c>
      <c r="E1358" t="s">
        <v>275</v>
      </c>
      <c r="F1358">
        <v>0.60118140668904552</v>
      </c>
      <c r="G1358">
        <v>0.70236281337809092</v>
      </c>
      <c r="H1358">
        <v>0.5</v>
      </c>
      <c r="I1358">
        <v>2086985600</v>
      </c>
      <c r="J1358">
        <v>37.200000000000003</v>
      </c>
      <c r="K1358">
        <v>17</v>
      </c>
    </row>
    <row r="1359" spans="1:11" x14ac:dyDescent="0.25">
      <c r="A1359" t="s">
        <v>407</v>
      </c>
      <c r="B1359" t="s">
        <v>82</v>
      </c>
      <c r="C1359" t="s">
        <v>83</v>
      </c>
      <c r="D1359" t="s">
        <v>32</v>
      </c>
      <c r="E1359" t="s">
        <v>39</v>
      </c>
      <c r="F1359">
        <v>0.59223666449277879</v>
      </c>
      <c r="G1359">
        <v>0.83447332898555759</v>
      </c>
      <c r="H1359">
        <v>0.35</v>
      </c>
      <c r="I1359">
        <v>35547256400</v>
      </c>
      <c r="J1359">
        <v>18.649999999999999</v>
      </c>
      <c r="K1359">
        <v>18</v>
      </c>
    </row>
    <row r="1360" spans="1:11" x14ac:dyDescent="0.25">
      <c r="A1360" t="s">
        <v>407</v>
      </c>
      <c r="B1360" t="s">
        <v>103</v>
      </c>
      <c r="C1360" t="s">
        <v>104</v>
      </c>
      <c r="D1360" t="s">
        <v>32</v>
      </c>
      <c r="E1360" t="s">
        <v>39</v>
      </c>
      <c r="F1360">
        <v>0.59032449876103354</v>
      </c>
      <c r="G1360">
        <v>0.73064899752206713</v>
      </c>
      <c r="H1360">
        <v>0.45</v>
      </c>
      <c r="I1360">
        <v>32372830800</v>
      </c>
      <c r="J1360">
        <v>26.75</v>
      </c>
      <c r="K1360">
        <v>19</v>
      </c>
    </row>
    <row r="1361" spans="1:11" x14ac:dyDescent="0.25">
      <c r="A1361" t="s">
        <v>407</v>
      </c>
      <c r="B1361" t="s">
        <v>263</v>
      </c>
      <c r="C1361" t="s">
        <v>264</v>
      </c>
      <c r="D1361" t="s">
        <v>32</v>
      </c>
      <c r="E1361" t="s">
        <v>259</v>
      </c>
      <c r="F1361">
        <v>0.58235380243366941</v>
      </c>
      <c r="G1361">
        <v>0.86470760486733877</v>
      </c>
      <c r="H1361">
        <v>0.3</v>
      </c>
      <c r="I1361">
        <v>109991136100</v>
      </c>
      <c r="J1361">
        <v>38.700000000000003</v>
      </c>
      <c r="K1361">
        <v>20</v>
      </c>
    </row>
    <row r="1362" spans="1:11" x14ac:dyDescent="0.25">
      <c r="A1362" t="s">
        <v>412</v>
      </c>
      <c r="B1362" t="s">
        <v>237</v>
      </c>
      <c r="C1362" t="s">
        <v>238</v>
      </c>
      <c r="D1362" t="s">
        <v>32</v>
      </c>
      <c r="E1362" t="s">
        <v>33</v>
      </c>
      <c r="F1362">
        <v>0.86123227999134988</v>
      </c>
      <c r="G1362">
        <v>0.87246455998269989</v>
      </c>
      <c r="H1362">
        <v>0.85</v>
      </c>
      <c r="I1362">
        <v>588893114000</v>
      </c>
      <c r="J1362">
        <v>72.099999999999994</v>
      </c>
      <c r="K1362">
        <v>1</v>
      </c>
    </row>
    <row r="1363" spans="1:11" x14ac:dyDescent="0.25">
      <c r="A1363" t="s">
        <v>412</v>
      </c>
      <c r="B1363" t="s">
        <v>186</v>
      </c>
      <c r="C1363" t="s">
        <v>187</v>
      </c>
      <c r="D1363" t="s">
        <v>32</v>
      </c>
      <c r="E1363" t="s">
        <v>74</v>
      </c>
      <c r="F1363">
        <v>0.82904192122570264</v>
      </c>
      <c r="G1363">
        <v>0.90808384245140528</v>
      </c>
      <c r="H1363">
        <v>0.75</v>
      </c>
      <c r="I1363">
        <v>16381923400</v>
      </c>
      <c r="J1363">
        <v>13.8</v>
      </c>
      <c r="K1363">
        <v>2</v>
      </c>
    </row>
    <row r="1364" spans="1:11" x14ac:dyDescent="0.25">
      <c r="A1364" t="s">
        <v>412</v>
      </c>
      <c r="B1364" t="s">
        <v>179</v>
      </c>
      <c r="C1364" t="s">
        <v>180</v>
      </c>
      <c r="D1364" t="s">
        <v>32</v>
      </c>
      <c r="E1364" t="s">
        <v>124</v>
      </c>
      <c r="F1364">
        <v>0.81415785857345546</v>
      </c>
      <c r="G1364">
        <v>0.87831571714691081</v>
      </c>
      <c r="H1364">
        <v>0.75</v>
      </c>
      <c r="I1364">
        <v>421000461700</v>
      </c>
      <c r="J1364">
        <v>34</v>
      </c>
      <c r="K1364">
        <v>3</v>
      </c>
    </row>
    <row r="1365" spans="1:11" x14ac:dyDescent="0.25">
      <c r="A1365" t="s">
        <v>412</v>
      </c>
      <c r="B1365" t="s">
        <v>384</v>
      </c>
      <c r="C1365" t="s">
        <v>385</v>
      </c>
      <c r="D1365" t="s">
        <v>14</v>
      </c>
      <c r="E1365" t="s">
        <v>26</v>
      </c>
      <c r="F1365">
        <v>0.73869757539412162</v>
      </c>
      <c r="G1365">
        <v>0.97739515078824335</v>
      </c>
      <c r="H1365">
        <v>0.5</v>
      </c>
      <c r="I1365">
        <v>4504770800</v>
      </c>
      <c r="J1365">
        <v>9.4</v>
      </c>
      <c r="K1365">
        <v>4</v>
      </c>
    </row>
    <row r="1366" spans="1:11" x14ac:dyDescent="0.25">
      <c r="A1366" t="s">
        <v>412</v>
      </c>
      <c r="B1366" t="s">
        <v>263</v>
      </c>
      <c r="C1366" t="s">
        <v>264</v>
      </c>
      <c r="D1366" t="s">
        <v>32</v>
      </c>
      <c r="E1366" t="s">
        <v>259</v>
      </c>
      <c r="F1366">
        <v>0.72666479982585641</v>
      </c>
      <c r="G1366">
        <v>0.90332959965171267</v>
      </c>
      <c r="H1366">
        <v>0.55000000000000004</v>
      </c>
      <c r="I1366">
        <v>111155804600</v>
      </c>
      <c r="J1366">
        <v>39.299999999999997</v>
      </c>
      <c r="K1366">
        <v>5</v>
      </c>
    </row>
    <row r="1367" spans="1:11" x14ac:dyDescent="0.25">
      <c r="A1367" t="s">
        <v>412</v>
      </c>
      <c r="B1367" t="s">
        <v>232</v>
      </c>
      <c r="C1367" t="s">
        <v>233</v>
      </c>
      <c r="D1367" t="s">
        <v>32</v>
      </c>
      <c r="E1367" t="s">
        <v>26</v>
      </c>
      <c r="F1367">
        <v>0.71643651443916112</v>
      </c>
      <c r="G1367">
        <v>0.93287302887832224</v>
      </c>
      <c r="H1367">
        <v>0.5</v>
      </c>
      <c r="I1367">
        <v>6307960720</v>
      </c>
      <c r="J1367">
        <v>10.8</v>
      </c>
      <c r="K1367">
        <v>6</v>
      </c>
    </row>
    <row r="1368" spans="1:11" x14ac:dyDescent="0.25">
      <c r="A1368" t="s">
        <v>412</v>
      </c>
      <c r="B1368" t="s">
        <v>340</v>
      </c>
      <c r="C1368" t="s">
        <v>341</v>
      </c>
      <c r="D1368" t="s">
        <v>14</v>
      </c>
      <c r="E1368" t="s">
        <v>74</v>
      </c>
      <c r="F1368">
        <v>0.71140376833785579</v>
      </c>
      <c r="G1368">
        <v>0.92280753667571158</v>
      </c>
      <c r="H1368">
        <v>0.5</v>
      </c>
      <c r="I1368">
        <v>2147278400</v>
      </c>
      <c r="J1368">
        <v>39.4</v>
      </c>
      <c r="K1368">
        <v>7</v>
      </c>
    </row>
    <row r="1369" spans="1:11" x14ac:dyDescent="0.25">
      <c r="A1369" t="s">
        <v>412</v>
      </c>
      <c r="B1369" t="s">
        <v>143</v>
      </c>
      <c r="C1369" t="s">
        <v>144</v>
      </c>
      <c r="D1369" t="s">
        <v>32</v>
      </c>
      <c r="E1369" t="s">
        <v>26</v>
      </c>
      <c r="F1369">
        <v>0.65050802292412868</v>
      </c>
      <c r="G1369">
        <v>0.95101604584825739</v>
      </c>
      <c r="H1369">
        <v>0.35</v>
      </c>
      <c r="I1369">
        <v>32248918900</v>
      </c>
      <c r="J1369">
        <v>23.95</v>
      </c>
      <c r="K1369">
        <v>8</v>
      </c>
    </row>
    <row r="1370" spans="1:11" x14ac:dyDescent="0.25">
      <c r="A1370" t="s">
        <v>412</v>
      </c>
      <c r="B1370" t="s">
        <v>103</v>
      </c>
      <c r="C1370" t="s">
        <v>104</v>
      </c>
      <c r="D1370" t="s">
        <v>32</v>
      </c>
      <c r="E1370" t="s">
        <v>39</v>
      </c>
      <c r="F1370">
        <v>0.6474765960406561</v>
      </c>
      <c r="G1370">
        <v>0.69495319208131223</v>
      </c>
      <c r="H1370">
        <v>0.6</v>
      </c>
      <c r="I1370">
        <v>32658925600</v>
      </c>
      <c r="J1370">
        <v>26.6</v>
      </c>
      <c r="K1370">
        <v>9</v>
      </c>
    </row>
    <row r="1371" spans="1:11" x14ac:dyDescent="0.25">
      <c r="A1371" t="s">
        <v>412</v>
      </c>
      <c r="B1371" t="s">
        <v>410</v>
      </c>
      <c r="C1371" t="s">
        <v>411</v>
      </c>
      <c r="D1371" t="s">
        <v>32</v>
      </c>
      <c r="E1371" t="s">
        <v>26</v>
      </c>
      <c r="F1371">
        <v>0.63828070948569293</v>
      </c>
      <c r="G1371">
        <v>0.87656141897138584</v>
      </c>
      <c r="H1371">
        <v>0.4</v>
      </c>
      <c r="I1371">
        <v>2874441840</v>
      </c>
      <c r="J1371">
        <v>5.24</v>
      </c>
      <c r="K1371">
        <v>10</v>
      </c>
    </row>
    <row r="1372" spans="1:11" x14ac:dyDescent="0.25">
      <c r="A1372" t="s">
        <v>412</v>
      </c>
      <c r="B1372" t="s">
        <v>290</v>
      </c>
      <c r="C1372" t="s">
        <v>291</v>
      </c>
      <c r="D1372" t="s">
        <v>14</v>
      </c>
      <c r="E1372" t="s">
        <v>292</v>
      </c>
      <c r="F1372">
        <v>0.63507388326444603</v>
      </c>
      <c r="G1372">
        <v>0.82014776652889199</v>
      </c>
      <c r="H1372">
        <v>0.45</v>
      </c>
      <c r="I1372">
        <v>6612040600</v>
      </c>
      <c r="J1372">
        <v>235.6</v>
      </c>
      <c r="K1372">
        <v>11</v>
      </c>
    </row>
    <row r="1373" spans="1:11" x14ac:dyDescent="0.25">
      <c r="A1373" t="s">
        <v>412</v>
      </c>
      <c r="B1373" t="s">
        <v>183</v>
      </c>
      <c r="C1373" t="s">
        <v>184</v>
      </c>
      <c r="D1373" t="s">
        <v>32</v>
      </c>
      <c r="E1373" t="s">
        <v>33</v>
      </c>
      <c r="F1373">
        <v>0.63426164441341149</v>
      </c>
      <c r="G1373">
        <v>0.66852328882682299</v>
      </c>
      <c r="H1373">
        <v>0.6</v>
      </c>
      <c r="I1373">
        <v>5198062380</v>
      </c>
      <c r="J1373">
        <v>2.2999999999999998</v>
      </c>
      <c r="K1373">
        <v>12</v>
      </c>
    </row>
    <row r="1374" spans="1:11" x14ac:dyDescent="0.25">
      <c r="A1374" t="s">
        <v>412</v>
      </c>
      <c r="B1374" t="s">
        <v>413</v>
      </c>
      <c r="C1374" t="s">
        <v>414</v>
      </c>
      <c r="D1374" t="s">
        <v>32</v>
      </c>
      <c r="E1374" t="s">
        <v>415</v>
      </c>
      <c r="F1374">
        <v>0.63060177467934464</v>
      </c>
      <c r="G1374">
        <v>0.86120354935868937</v>
      </c>
      <c r="H1374">
        <v>0.4</v>
      </c>
      <c r="I1374">
        <v>2032178240</v>
      </c>
      <c r="J1374">
        <v>5.82</v>
      </c>
      <c r="K1374">
        <v>13</v>
      </c>
    </row>
    <row r="1375" spans="1:11" x14ac:dyDescent="0.25">
      <c r="A1375" t="s">
        <v>412</v>
      </c>
      <c r="B1375" t="s">
        <v>403</v>
      </c>
      <c r="C1375" t="s">
        <v>404</v>
      </c>
      <c r="D1375" t="s">
        <v>32</v>
      </c>
      <c r="E1375" t="s">
        <v>33</v>
      </c>
      <c r="F1375">
        <v>0.6263734091982941</v>
      </c>
      <c r="G1375">
        <v>0.95274681839658826</v>
      </c>
      <c r="H1375">
        <v>0.3</v>
      </c>
      <c r="I1375">
        <v>2135373800</v>
      </c>
      <c r="J1375">
        <v>2.75</v>
      </c>
      <c r="K1375">
        <v>14</v>
      </c>
    </row>
    <row r="1376" spans="1:11" x14ac:dyDescent="0.25">
      <c r="A1376" t="s">
        <v>412</v>
      </c>
      <c r="B1376" t="s">
        <v>287</v>
      </c>
      <c r="C1376" t="s">
        <v>288</v>
      </c>
      <c r="D1376" t="s">
        <v>14</v>
      </c>
      <c r="E1376" t="s">
        <v>59</v>
      </c>
      <c r="F1376">
        <v>0.60801805058410918</v>
      </c>
      <c r="G1376">
        <v>0.86603610116821839</v>
      </c>
      <c r="H1376">
        <v>0.35</v>
      </c>
      <c r="I1376">
        <v>59486198000</v>
      </c>
      <c r="J1376">
        <v>25.1</v>
      </c>
      <c r="K1376">
        <v>15</v>
      </c>
    </row>
    <row r="1377" spans="1:11" x14ac:dyDescent="0.25">
      <c r="A1377" t="s">
        <v>412</v>
      </c>
      <c r="B1377" t="s">
        <v>171</v>
      </c>
      <c r="C1377" t="s">
        <v>172</v>
      </c>
      <c r="D1377" t="s">
        <v>32</v>
      </c>
      <c r="E1377" t="s">
        <v>33</v>
      </c>
      <c r="F1377">
        <v>0.60755540639043759</v>
      </c>
      <c r="G1377">
        <v>0.96511081278087529</v>
      </c>
      <c r="H1377">
        <v>0.25</v>
      </c>
      <c r="I1377">
        <v>17990260560</v>
      </c>
      <c r="J1377">
        <v>8.5</v>
      </c>
      <c r="K1377">
        <v>16</v>
      </c>
    </row>
    <row r="1378" spans="1:11" x14ac:dyDescent="0.25">
      <c r="A1378" t="s">
        <v>412</v>
      </c>
      <c r="B1378" t="s">
        <v>397</v>
      </c>
      <c r="C1378" t="s">
        <v>398</v>
      </c>
      <c r="D1378" t="s">
        <v>32</v>
      </c>
      <c r="E1378" t="s">
        <v>42</v>
      </c>
      <c r="F1378">
        <v>0.60035634090565382</v>
      </c>
      <c r="G1378">
        <v>0.60071268181130755</v>
      </c>
      <c r="H1378">
        <v>0.6</v>
      </c>
      <c r="I1378">
        <v>2756980300</v>
      </c>
      <c r="J1378">
        <v>15.1</v>
      </c>
      <c r="K1378">
        <v>17</v>
      </c>
    </row>
    <row r="1379" spans="1:11" x14ac:dyDescent="0.25">
      <c r="A1379" t="s">
        <v>412</v>
      </c>
      <c r="B1379" t="s">
        <v>82</v>
      </c>
      <c r="C1379" t="s">
        <v>83</v>
      </c>
      <c r="D1379" t="s">
        <v>32</v>
      </c>
      <c r="E1379" t="s">
        <v>39</v>
      </c>
      <c r="F1379">
        <v>0.59080256054025648</v>
      </c>
      <c r="G1379">
        <v>0.8316051210805131</v>
      </c>
      <c r="H1379">
        <v>0.35</v>
      </c>
      <c r="I1379">
        <v>35617010700</v>
      </c>
      <c r="J1379">
        <v>18.7</v>
      </c>
      <c r="K1379">
        <v>18</v>
      </c>
    </row>
    <row r="1380" spans="1:11" x14ac:dyDescent="0.25">
      <c r="A1380" t="s">
        <v>412</v>
      </c>
      <c r="B1380" t="s">
        <v>88</v>
      </c>
      <c r="C1380" t="s">
        <v>89</v>
      </c>
      <c r="D1380" t="s">
        <v>32</v>
      </c>
      <c r="E1380" t="s">
        <v>33</v>
      </c>
      <c r="F1380">
        <v>0.58743267020821444</v>
      </c>
      <c r="G1380">
        <v>0.92486534041642876</v>
      </c>
      <c r="H1380">
        <v>0.25</v>
      </c>
      <c r="I1380">
        <v>97909949880</v>
      </c>
      <c r="J1380">
        <v>15.5</v>
      </c>
      <c r="K1380">
        <v>19</v>
      </c>
    </row>
    <row r="1381" spans="1:11" x14ac:dyDescent="0.25">
      <c r="A1381" t="s">
        <v>412</v>
      </c>
      <c r="B1381" t="s">
        <v>229</v>
      </c>
      <c r="C1381" t="s">
        <v>230</v>
      </c>
      <c r="D1381" t="s">
        <v>18</v>
      </c>
      <c r="E1381" t="s">
        <v>29</v>
      </c>
      <c r="F1381">
        <v>0.58517950620266668</v>
      </c>
      <c r="G1381">
        <v>0.9703590124053334</v>
      </c>
      <c r="H1381">
        <v>0.2</v>
      </c>
      <c r="I1381">
        <v>40965134200</v>
      </c>
      <c r="J1381">
        <v>27</v>
      </c>
      <c r="K1381">
        <v>20</v>
      </c>
    </row>
    <row r="1382" spans="1:11" x14ac:dyDescent="0.25">
      <c r="A1382" t="s">
        <v>416</v>
      </c>
      <c r="B1382" t="s">
        <v>186</v>
      </c>
      <c r="C1382" t="s">
        <v>187</v>
      </c>
      <c r="D1382" t="s">
        <v>32</v>
      </c>
      <c r="E1382" t="s">
        <v>74</v>
      </c>
      <c r="F1382">
        <v>0.83225232405407712</v>
      </c>
      <c r="G1382">
        <v>0.91450464810815424</v>
      </c>
      <c r="H1382">
        <v>0.75</v>
      </c>
      <c r="I1382">
        <v>16549185000</v>
      </c>
      <c r="J1382">
        <v>13.9</v>
      </c>
      <c r="K1382">
        <v>1</v>
      </c>
    </row>
    <row r="1383" spans="1:11" x14ac:dyDescent="0.25">
      <c r="A1383" t="s">
        <v>416</v>
      </c>
      <c r="B1383" t="s">
        <v>237</v>
      </c>
      <c r="C1383" t="s">
        <v>238</v>
      </c>
      <c r="D1383" t="s">
        <v>32</v>
      </c>
      <c r="E1383" t="s">
        <v>33</v>
      </c>
      <c r="F1383">
        <v>0.80619401040686045</v>
      </c>
      <c r="G1383">
        <v>0.8623880208137209</v>
      </c>
      <c r="H1383">
        <v>0.75</v>
      </c>
      <c r="I1383">
        <v>587485630000</v>
      </c>
      <c r="J1383">
        <v>70</v>
      </c>
      <c r="K1383">
        <v>2</v>
      </c>
    </row>
    <row r="1384" spans="1:11" x14ac:dyDescent="0.25">
      <c r="A1384" t="s">
        <v>416</v>
      </c>
      <c r="B1384" t="s">
        <v>179</v>
      </c>
      <c r="C1384" t="s">
        <v>180</v>
      </c>
      <c r="D1384" t="s">
        <v>32</v>
      </c>
      <c r="E1384" t="s">
        <v>124</v>
      </c>
      <c r="F1384">
        <v>0.79492707719697098</v>
      </c>
      <c r="G1384">
        <v>0.889854154393942</v>
      </c>
      <c r="H1384">
        <v>0.7</v>
      </c>
      <c r="I1384">
        <v>422953485300</v>
      </c>
      <c r="J1384">
        <v>34.5</v>
      </c>
      <c r="K1384">
        <v>3</v>
      </c>
    </row>
    <row r="1385" spans="1:11" x14ac:dyDescent="0.25">
      <c r="A1385" t="s">
        <v>416</v>
      </c>
      <c r="B1385" t="s">
        <v>263</v>
      </c>
      <c r="C1385" t="s">
        <v>264</v>
      </c>
      <c r="D1385" t="s">
        <v>32</v>
      </c>
      <c r="E1385" t="s">
        <v>259</v>
      </c>
      <c r="F1385">
        <v>0.78810908595732443</v>
      </c>
      <c r="G1385">
        <v>0.92621817191464884</v>
      </c>
      <c r="H1385">
        <v>0.65</v>
      </c>
      <c r="I1385">
        <v>112632412600</v>
      </c>
      <c r="J1385">
        <v>40.299999999999997</v>
      </c>
      <c r="K1385">
        <v>4</v>
      </c>
    </row>
    <row r="1386" spans="1:11" x14ac:dyDescent="0.25">
      <c r="A1386" t="s">
        <v>416</v>
      </c>
      <c r="B1386" t="s">
        <v>384</v>
      </c>
      <c r="C1386" t="s">
        <v>385</v>
      </c>
      <c r="D1386" t="s">
        <v>14</v>
      </c>
      <c r="E1386" t="s">
        <v>26</v>
      </c>
      <c r="F1386">
        <v>0.77029952912947297</v>
      </c>
      <c r="G1386">
        <v>0.99059905825894601</v>
      </c>
      <c r="H1386">
        <v>0.55000000000000004</v>
      </c>
      <c r="I1386">
        <v>5081229800</v>
      </c>
      <c r="J1386">
        <v>9.6999999999999993</v>
      </c>
      <c r="K1386">
        <v>5</v>
      </c>
    </row>
    <row r="1387" spans="1:11" x14ac:dyDescent="0.25">
      <c r="A1387" t="s">
        <v>416</v>
      </c>
      <c r="B1387" t="s">
        <v>181</v>
      </c>
      <c r="C1387" t="s">
        <v>182</v>
      </c>
      <c r="D1387" t="s">
        <v>32</v>
      </c>
      <c r="E1387" t="s">
        <v>26</v>
      </c>
      <c r="F1387">
        <v>0.75626611564610768</v>
      </c>
      <c r="G1387">
        <v>0.86253223129221546</v>
      </c>
      <c r="H1387">
        <v>0.65</v>
      </c>
      <c r="I1387">
        <v>14731153200</v>
      </c>
      <c r="J1387">
        <v>14.2</v>
      </c>
      <c r="K1387">
        <v>6</v>
      </c>
    </row>
    <row r="1388" spans="1:11" x14ac:dyDescent="0.25">
      <c r="A1388" t="s">
        <v>416</v>
      </c>
      <c r="B1388" t="s">
        <v>135</v>
      </c>
      <c r="C1388" t="s">
        <v>136</v>
      </c>
      <c r="D1388" t="s">
        <v>32</v>
      </c>
      <c r="E1388" t="s">
        <v>29</v>
      </c>
      <c r="F1388">
        <v>0.74104038332279765</v>
      </c>
      <c r="G1388">
        <v>0.73208076664559518</v>
      </c>
      <c r="H1388">
        <v>0.75</v>
      </c>
      <c r="I1388">
        <v>352260899100</v>
      </c>
      <c r="J1388">
        <v>16.5</v>
      </c>
      <c r="K1388">
        <v>7</v>
      </c>
    </row>
    <row r="1389" spans="1:11" x14ac:dyDescent="0.25">
      <c r="A1389" t="s">
        <v>416</v>
      </c>
      <c r="B1389" t="s">
        <v>287</v>
      </c>
      <c r="C1389" t="s">
        <v>288</v>
      </c>
      <c r="D1389" t="s">
        <v>14</v>
      </c>
      <c r="E1389" t="s">
        <v>59</v>
      </c>
      <c r="F1389">
        <v>0.72250884611490584</v>
      </c>
      <c r="G1389">
        <v>0.89501769222981153</v>
      </c>
      <c r="H1389">
        <v>0.55000000000000004</v>
      </c>
      <c r="I1389">
        <v>60179723400</v>
      </c>
      <c r="J1389">
        <v>25.7</v>
      </c>
      <c r="K1389">
        <v>8</v>
      </c>
    </row>
    <row r="1390" spans="1:11" x14ac:dyDescent="0.25">
      <c r="A1390" t="s">
        <v>416</v>
      </c>
      <c r="B1390" t="s">
        <v>410</v>
      </c>
      <c r="C1390" t="s">
        <v>411</v>
      </c>
      <c r="D1390" t="s">
        <v>32</v>
      </c>
      <c r="E1390" t="s">
        <v>26</v>
      </c>
      <c r="F1390">
        <v>0.70056408320156671</v>
      </c>
      <c r="G1390">
        <v>0.80112816640313333</v>
      </c>
      <c r="H1390">
        <v>0.6</v>
      </c>
      <c r="I1390">
        <v>2894270120</v>
      </c>
      <c r="J1390">
        <v>5.2</v>
      </c>
      <c r="K1390">
        <v>9</v>
      </c>
    </row>
    <row r="1391" spans="1:11" x14ac:dyDescent="0.25">
      <c r="A1391" t="s">
        <v>416</v>
      </c>
      <c r="B1391" t="s">
        <v>143</v>
      </c>
      <c r="C1391" t="s">
        <v>144</v>
      </c>
      <c r="D1391" t="s">
        <v>32</v>
      </c>
      <c r="E1391" t="s">
        <v>26</v>
      </c>
      <c r="F1391">
        <v>0.67911440111634236</v>
      </c>
      <c r="G1391">
        <v>0.9582288022326847</v>
      </c>
      <c r="H1391">
        <v>0.4</v>
      </c>
      <c r="I1391">
        <v>33761005700</v>
      </c>
      <c r="J1391">
        <v>24.4</v>
      </c>
      <c r="K1391">
        <v>10</v>
      </c>
    </row>
    <row r="1392" spans="1:11" x14ac:dyDescent="0.25">
      <c r="A1392" t="s">
        <v>416</v>
      </c>
      <c r="B1392" t="s">
        <v>340</v>
      </c>
      <c r="C1392" t="s">
        <v>341</v>
      </c>
      <c r="D1392" t="s">
        <v>14</v>
      </c>
      <c r="E1392" t="s">
        <v>74</v>
      </c>
      <c r="F1392">
        <v>0.6733039723286991</v>
      </c>
      <c r="G1392">
        <v>0.8466079446573983</v>
      </c>
      <c r="H1392">
        <v>0.5</v>
      </c>
      <c r="I1392">
        <v>2150517400</v>
      </c>
      <c r="J1392">
        <v>39.5</v>
      </c>
      <c r="K1392">
        <v>11</v>
      </c>
    </row>
    <row r="1393" spans="1:11" x14ac:dyDescent="0.25">
      <c r="A1393" t="s">
        <v>416</v>
      </c>
      <c r="B1393" t="s">
        <v>103</v>
      </c>
      <c r="C1393" t="s">
        <v>104</v>
      </c>
      <c r="D1393" t="s">
        <v>32</v>
      </c>
      <c r="E1393" t="s">
        <v>39</v>
      </c>
      <c r="F1393">
        <v>0.66395429679647888</v>
      </c>
      <c r="G1393">
        <v>0.72790859359295779</v>
      </c>
      <c r="H1393">
        <v>0.6</v>
      </c>
      <c r="I1393">
        <v>32683367200</v>
      </c>
      <c r="J1393">
        <v>26.8</v>
      </c>
      <c r="K1393">
        <v>12</v>
      </c>
    </row>
    <row r="1394" spans="1:11" x14ac:dyDescent="0.25">
      <c r="A1394" t="s">
        <v>416</v>
      </c>
      <c r="B1394" t="s">
        <v>232</v>
      </c>
      <c r="C1394" t="s">
        <v>233</v>
      </c>
      <c r="D1394" t="s">
        <v>32</v>
      </c>
      <c r="E1394" t="s">
        <v>26</v>
      </c>
      <c r="F1394">
        <v>0.65797692297067212</v>
      </c>
      <c r="G1394">
        <v>0.91595384594134421</v>
      </c>
      <c r="H1394">
        <v>0.4</v>
      </c>
      <c r="I1394">
        <v>6426910840</v>
      </c>
      <c r="J1394">
        <v>10.7</v>
      </c>
      <c r="K1394">
        <v>13</v>
      </c>
    </row>
    <row r="1395" spans="1:11" x14ac:dyDescent="0.25">
      <c r="A1395" t="s">
        <v>416</v>
      </c>
      <c r="B1395" t="s">
        <v>152</v>
      </c>
      <c r="C1395" t="s">
        <v>153</v>
      </c>
      <c r="D1395" t="s">
        <v>32</v>
      </c>
      <c r="E1395" t="s">
        <v>74</v>
      </c>
      <c r="F1395">
        <v>0.65212682194862814</v>
      </c>
      <c r="G1395">
        <v>0.90425364389725627</v>
      </c>
      <c r="H1395">
        <v>0.4</v>
      </c>
      <c r="I1395">
        <v>647553907400</v>
      </c>
      <c r="J1395">
        <v>45</v>
      </c>
      <c r="K1395">
        <v>14</v>
      </c>
    </row>
    <row r="1396" spans="1:11" x14ac:dyDescent="0.25">
      <c r="A1396" t="s">
        <v>416</v>
      </c>
      <c r="B1396" t="s">
        <v>413</v>
      </c>
      <c r="C1396" t="s">
        <v>414</v>
      </c>
      <c r="D1396" t="s">
        <v>32</v>
      </c>
      <c r="E1396" t="s">
        <v>415</v>
      </c>
      <c r="F1396">
        <v>0.62449155897213782</v>
      </c>
      <c r="G1396">
        <v>0.84898311794427572</v>
      </c>
      <c r="H1396">
        <v>0.4</v>
      </c>
      <c r="I1396">
        <v>2038599720</v>
      </c>
      <c r="J1396">
        <v>5.86</v>
      </c>
      <c r="K1396">
        <v>15</v>
      </c>
    </row>
    <row r="1397" spans="1:11" x14ac:dyDescent="0.25">
      <c r="A1397" t="s">
        <v>416</v>
      </c>
      <c r="B1397" t="s">
        <v>360</v>
      </c>
      <c r="C1397" t="s">
        <v>361</v>
      </c>
      <c r="D1397" t="s">
        <v>18</v>
      </c>
      <c r="E1397" t="s">
        <v>59</v>
      </c>
      <c r="F1397">
        <v>0.62235364149037875</v>
      </c>
      <c r="G1397">
        <v>0.74470728298075739</v>
      </c>
      <c r="H1397">
        <v>0.5</v>
      </c>
      <c r="I1397">
        <v>20795089800</v>
      </c>
      <c r="J1397">
        <v>21.7</v>
      </c>
      <c r="K1397">
        <v>16</v>
      </c>
    </row>
    <row r="1398" spans="1:11" x14ac:dyDescent="0.25">
      <c r="A1398" t="s">
        <v>416</v>
      </c>
      <c r="B1398" t="s">
        <v>88</v>
      </c>
      <c r="C1398" t="s">
        <v>89</v>
      </c>
      <c r="D1398" t="s">
        <v>32</v>
      </c>
      <c r="E1398" t="s">
        <v>33</v>
      </c>
      <c r="F1398">
        <v>0.62000990614661933</v>
      </c>
      <c r="G1398">
        <v>0.94001981229323861</v>
      </c>
      <c r="H1398">
        <v>0.3</v>
      </c>
      <c r="I1398">
        <v>98360105880</v>
      </c>
      <c r="J1398">
        <v>15.5</v>
      </c>
      <c r="K1398">
        <v>17</v>
      </c>
    </row>
    <row r="1399" spans="1:11" x14ac:dyDescent="0.25">
      <c r="A1399" t="s">
        <v>416</v>
      </c>
      <c r="B1399" t="s">
        <v>405</v>
      </c>
      <c r="C1399" t="s">
        <v>406</v>
      </c>
      <c r="D1399" t="s">
        <v>32</v>
      </c>
      <c r="E1399" t="s">
        <v>160</v>
      </c>
      <c r="F1399">
        <v>0.61258207182673952</v>
      </c>
      <c r="G1399">
        <v>0.77516414365347897</v>
      </c>
      <c r="H1399">
        <v>0.45</v>
      </c>
      <c r="I1399">
        <v>2564863480</v>
      </c>
      <c r="J1399">
        <v>12.45</v>
      </c>
      <c r="K1399">
        <v>18</v>
      </c>
    </row>
    <row r="1400" spans="1:11" x14ac:dyDescent="0.25">
      <c r="A1400" t="s">
        <v>416</v>
      </c>
      <c r="B1400" t="s">
        <v>183</v>
      </c>
      <c r="C1400" t="s">
        <v>184</v>
      </c>
      <c r="D1400" t="s">
        <v>32</v>
      </c>
      <c r="E1400" t="s">
        <v>33</v>
      </c>
      <c r="F1400">
        <v>0.60127103432021367</v>
      </c>
      <c r="G1400">
        <v>0.60254206864042725</v>
      </c>
      <c r="H1400">
        <v>0.6</v>
      </c>
      <c r="I1400">
        <v>4829113380</v>
      </c>
      <c r="J1400">
        <v>2.2999999999999998</v>
      </c>
      <c r="K1400">
        <v>19</v>
      </c>
    </row>
    <row r="1401" spans="1:11" x14ac:dyDescent="0.25">
      <c r="A1401" t="s">
        <v>416</v>
      </c>
      <c r="B1401" t="s">
        <v>273</v>
      </c>
      <c r="C1401" t="s">
        <v>274</v>
      </c>
      <c r="D1401" t="s">
        <v>32</v>
      </c>
      <c r="E1401" t="s">
        <v>275</v>
      </c>
      <c r="F1401">
        <v>0.58098757936353995</v>
      </c>
      <c r="G1401">
        <v>0.71197515872707984</v>
      </c>
      <c r="H1401">
        <v>0.45</v>
      </c>
      <c r="I1401">
        <v>2172410800</v>
      </c>
      <c r="J1401">
        <v>37.549999999999997</v>
      </c>
      <c r="K1401">
        <v>20</v>
      </c>
    </row>
    <row r="1402" spans="1:11" x14ac:dyDescent="0.25">
      <c r="A1402" t="s">
        <v>417</v>
      </c>
      <c r="B1402" t="s">
        <v>179</v>
      </c>
      <c r="C1402" t="s">
        <v>180</v>
      </c>
      <c r="D1402" t="s">
        <v>32</v>
      </c>
      <c r="E1402" t="s">
        <v>124</v>
      </c>
      <c r="F1402">
        <v>0.82581459450283967</v>
      </c>
      <c r="G1402">
        <v>0.85162918900567919</v>
      </c>
      <c r="H1402">
        <v>0.8</v>
      </c>
      <c r="I1402">
        <v>425652505900</v>
      </c>
      <c r="J1402">
        <v>33.9</v>
      </c>
      <c r="K1402">
        <v>1</v>
      </c>
    </row>
    <row r="1403" spans="1:11" x14ac:dyDescent="0.25">
      <c r="A1403" t="s">
        <v>417</v>
      </c>
      <c r="B1403" t="s">
        <v>186</v>
      </c>
      <c r="C1403" t="s">
        <v>187</v>
      </c>
      <c r="D1403" t="s">
        <v>32</v>
      </c>
      <c r="E1403" t="s">
        <v>74</v>
      </c>
      <c r="F1403">
        <v>0.77188306962898667</v>
      </c>
      <c r="G1403">
        <v>0.89376613925797321</v>
      </c>
      <c r="H1403">
        <v>0.65</v>
      </c>
      <c r="I1403">
        <v>16689005000</v>
      </c>
      <c r="J1403">
        <v>13.7</v>
      </c>
      <c r="K1403">
        <v>2</v>
      </c>
    </row>
    <row r="1404" spans="1:11" x14ac:dyDescent="0.25">
      <c r="A1404" t="s">
        <v>417</v>
      </c>
      <c r="B1404" t="s">
        <v>384</v>
      </c>
      <c r="C1404" t="s">
        <v>385</v>
      </c>
      <c r="D1404" t="s">
        <v>14</v>
      </c>
      <c r="E1404" t="s">
        <v>26</v>
      </c>
      <c r="F1404">
        <v>0.76537696746602679</v>
      </c>
      <c r="G1404">
        <v>0.98075393493205354</v>
      </c>
      <c r="H1404">
        <v>0.55000000000000004</v>
      </c>
      <c r="I1404">
        <v>5228868400</v>
      </c>
      <c r="J1404">
        <v>9.6</v>
      </c>
      <c r="K1404">
        <v>3</v>
      </c>
    </row>
    <row r="1405" spans="1:11" x14ac:dyDescent="0.25">
      <c r="A1405" t="s">
        <v>417</v>
      </c>
      <c r="B1405" t="s">
        <v>103</v>
      </c>
      <c r="C1405" t="s">
        <v>104</v>
      </c>
      <c r="D1405" t="s">
        <v>32</v>
      </c>
      <c r="E1405" t="s">
        <v>39</v>
      </c>
      <c r="F1405">
        <v>0.69738302725567158</v>
      </c>
      <c r="G1405">
        <v>0.7947660545113433</v>
      </c>
      <c r="H1405">
        <v>0.6</v>
      </c>
      <c r="I1405">
        <v>33477987200</v>
      </c>
      <c r="J1405">
        <v>26.8</v>
      </c>
      <c r="K1405">
        <v>4</v>
      </c>
    </row>
    <row r="1406" spans="1:11" x14ac:dyDescent="0.25">
      <c r="A1406" t="s">
        <v>417</v>
      </c>
      <c r="B1406" t="s">
        <v>92</v>
      </c>
      <c r="C1406" t="s">
        <v>93</v>
      </c>
      <c r="D1406" t="s">
        <v>14</v>
      </c>
      <c r="E1406" t="s">
        <v>59</v>
      </c>
      <c r="F1406">
        <v>0.66982772615704755</v>
      </c>
      <c r="G1406">
        <v>0.43965545231409509</v>
      </c>
      <c r="H1406">
        <v>0.9</v>
      </c>
      <c r="I1406">
        <v>16048500200</v>
      </c>
      <c r="J1406">
        <v>12.2</v>
      </c>
      <c r="K1406">
        <v>5</v>
      </c>
    </row>
    <row r="1407" spans="1:11" x14ac:dyDescent="0.25">
      <c r="A1407" t="s">
        <v>417</v>
      </c>
      <c r="B1407" t="s">
        <v>360</v>
      </c>
      <c r="C1407" t="s">
        <v>361</v>
      </c>
      <c r="D1407" t="s">
        <v>18</v>
      </c>
      <c r="E1407" t="s">
        <v>59</v>
      </c>
      <c r="F1407">
        <v>0.6672037627203794</v>
      </c>
      <c r="G1407">
        <v>0.78440752544075876</v>
      </c>
      <c r="H1407">
        <v>0.55000000000000004</v>
      </c>
      <c r="I1407">
        <v>21433001000</v>
      </c>
      <c r="J1407">
        <v>21.7</v>
      </c>
      <c r="K1407">
        <v>6</v>
      </c>
    </row>
    <row r="1408" spans="1:11" x14ac:dyDescent="0.25">
      <c r="A1408" t="s">
        <v>417</v>
      </c>
      <c r="B1408" t="s">
        <v>237</v>
      </c>
      <c r="C1408" t="s">
        <v>238</v>
      </c>
      <c r="D1408" t="s">
        <v>32</v>
      </c>
      <c r="E1408" t="s">
        <v>33</v>
      </c>
      <c r="F1408">
        <v>0.66074409919088528</v>
      </c>
      <c r="G1408">
        <v>0.82148819838177045</v>
      </c>
      <c r="H1408">
        <v>0.5</v>
      </c>
      <c r="I1408">
        <v>585414820000</v>
      </c>
      <c r="J1408">
        <v>68.400000000000006</v>
      </c>
      <c r="K1408">
        <v>7</v>
      </c>
    </row>
    <row r="1409" spans="1:11" x14ac:dyDescent="0.25">
      <c r="A1409" t="s">
        <v>417</v>
      </c>
      <c r="B1409" t="s">
        <v>410</v>
      </c>
      <c r="C1409" t="s">
        <v>411</v>
      </c>
      <c r="D1409" t="s">
        <v>32</v>
      </c>
      <c r="E1409" t="s">
        <v>26</v>
      </c>
      <c r="F1409">
        <v>0.65198761220852186</v>
      </c>
      <c r="G1409">
        <v>0.70397522441704374</v>
      </c>
      <c r="H1409">
        <v>0.6</v>
      </c>
      <c r="I1409">
        <v>2904313400</v>
      </c>
      <c r="J1409">
        <v>5.16</v>
      </c>
      <c r="K1409">
        <v>8</v>
      </c>
    </row>
    <row r="1410" spans="1:11" x14ac:dyDescent="0.25">
      <c r="A1410" t="s">
        <v>417</v>
      </c>
      <c r="B1410" t="s">
        <v>403</v>
      </c>
      <c r="C1410" t="s">
        <v>404</v>
      </c>
      <c r="D1410" t="s">
        <v>32</v>
      </c>
      <c r="E1410" t="s">
        <v>33</v>
      </c>
      <c r="F1410">
        <v>0.64836941347727417</v>
      </c>
      <c r="G1410">
        <v>0.94673882695454836</v>
      </c>
      <c r="H1410">
        <v>0.35</v>
      </c>
      <c r="I1410">
        <v>2247805180</v>
      </c>
      <c r="J1410">
        <v>2.78</v>
      </c>
      <c r="K1410">
        <v>9</v>
      </c>
    </row>
    <row r="1411" spans="1:11" x14ac:dyDescent="0.25">
      <c r="A1411" t="s">
        <v>417</v>
      </c>
      <c r="B1411" t="s">
        <v>88</v>
      </c>
      <c r="C1411" t="s">
        <v>89</v>
      </c>
      <c r="D1411" t="s">
        <v>32</v>
      </c>
      <c r="E1411" t="s">
        <v>33</v>
      </c>
      <c r="F1411">
        <v>0.64047536186370357</v>
      </c>
      <c r="G1411">
        <v>0.93095072372740728</v>
      </c>
      <c r="H1411">
        <v>0.35</v>
      </c>
      <c r="I1411">
        <v>100844537880</v>
      </c>
      <c r="J1411">
        <v>15.3</v>
      </c>
      <c r="K1411">
        <v>10</v>
      </c>
    </row>
    <row r="1412" spans="1:11" x14ac:dyDescent="0.25">
      <c r="A1412" t="s">
        <v>417</v>
      </c>
      <c r="B1412" t="s">
        <v>371</v>
      </c>
      <c r="C1412" t="s">
        <v>372</v>
      </c>
      <c r="D1412" t="s">
        <v>18</v>
      </c>
      <c r="E1412" t="s">
        <v>33</v>
      </c>
      <c r="F1412">
        <v>0.63240898907894449</v>
      </c>
      <c r="G1412">
        <v>0.96481797815788906</v>
      </c>
      <c r="H1412">
        <v>0.3</v>
      </c>
      <c r="I1412">
        <v>195217115800</v>
      </c>
      <c r="J1412">
        <v>17.399999999999999</v>
      </c>
      <c r="K1412">
        <v>11</v>
      </c>
    </row>
    <row r="1413" spans="1:11" x14ac:dyDescent="0.25">
      <c r="A1413" t="s">
        <v>417</v>
      </c>
      <c r="B1413" t="s">
        <v>340</v>
      </c>
      <c r="C1413" t="s">
        <v>341</v>
      </c>
      <c r="D1413" t="s">
        <v>14</v>
      </c>
      <c r="E1413" t="s">
        <v>74</v>
      </c>
      <c r="F1413">
        <v>0.6300681969740356</v>
      </c>
      <c r="G1413">
        <v>0.86013639394807129</v>
      </c>
      <c r="H1413">
        <v>0.4</v>
      </c>
      <c r="I1413">
        <v>2155684600</v>
      </c>
      <c r="J1413">
        <v>39.6</v>
      </c>
      <c r="K1413">
        <v>12</v>
      </c>
    </row>
    <row r="1414" spans="1:11" x14ac:dyDescent="0.25">
      <c r="A1414" t="s">
        <v>417</v>
      </c>
      <c r="B1414" t="s">
        <v>70</v>
      </c>
      <c r="C1414" t="s">
        <v>71</v>
      </c>
      <c r="D1414" t="s">
        <v>32</v>
      </c>
      <c r="E1414" t="s">
        <v>33</v>
      </c>
      <c r="F1414">
        <v>0.62416338690170237</v>
      </c>
      <c r="G1414">
        <v>0.9483267738034048</v>
      </c>
      <c r="H1414">
        <v>0.3</v>
      </c>
      <c r="I1414">
        <v>26572143780</v>
      </c>
      <c r="J1414">
        <v>7.3</v>
      </c>
      <c r="K1414">
        <v>13</v>
      </c>
    </row>
    <row r="1415" spans="1:11" x14ac:dyDescent="0.25">
      <c r="A1415" t="s">
        <v>417</v>
      </c>
      <c r="B1415" t="s">
        <v>135</v>
      </c>
      <c r="C1415" t="s">
        <v>136</v>
      </c>
      <c r="D1415" t="s">
        <v>32</v>
      </c>
      <c r="E1415" t="s">
        <v>29</v>
      </c>
      <c r="F1415">
        <v>0.62396103150301885</v>
      </c>
      <c r="G1415">
        <v>0.69792206300603754</v>
      </c>
      <c r="H1415">
        <v>0.55000000000000004</v>
      </c>
      <c r="I1415">
        <v>357038373400</v>
      </c>
      <c r="J1415">
        <v>16.149999999999999</v>
      </c>
      <c r="K1415">
        <v>14</v>
      </c>
    </row>
    <row r="1416" spans="1:11" x14ac:dyDescent="0.25">
      <c r="A1416" t="s">
        <v>417</v>
      </c>
      <c r="B1416" t="s">
        <v>171</v>
      </c>
      <c r="C1416" t="s">
        <v>172</v>
      </c>
      <c r="D1416" t="s">
        <v>32</v>
      </c>
      <c r="E1416" t="s">
        <v>33</v>
      </c>
      <c r="F1416">
        <v>0.61635331627099998</v>
      </c>
      <c r="G1416">
        <v>0.98270663254199997</v>
      </c>
      <c r="H1416">
        <v>0.25</v>
      </c>
      <c r="I1416">
        <v>20081622780</v>
      </c>
      <c r="J1416">
        <v>9</v>
      </c>
      <c r="K1416">
        <v>15</v>
      </c>
    </row>
    <row r="1417" spans="1:11" x14ac:dyDescent="0.25">
      <c r="A1417" t="s">
        <v>417</v>
      </c>
      <c r="B1417" t="s">
        <v>266</v>
      </c>
      <c r="C1417" t="s">
        <v>267</v>
      </c>
      <c r="D1417" t="s">
        <v>32</v>
      </c>
      <c r="E1417" t="s">
        <v>59</v>
      </c>
      <c r="F1417">
        <v>0.61554596816309803</v>
      </c>
      <c r="G1417">
        <v>0.53109193632619611</v>
      </c>
      <c r="H1417">
        <v>0.7</v>
      </c>
      <c r="I1417">
        <v>39792934900</v>
      </c>
      <c r="J1417">
        <v>43.9</v>
      </c>
      <c r="K1417">
        <v>16</v>
      </c>
    </row>
    <row r="1418" spans="1:11" x14ac:dyDescent="0.25">
      <c r="A1418" t="s">
        <v>417</v>
      </c>
      <c r="B1418" t="s">
        <v>397</v>
      </c>
      <c r="C1418" t="s">
        <v>398</v>
      </c>
      <c r="D1418" t="s">
        <v>32</v>
      </c>
      <c r="E1418" t="s">
        <v>42</v>
      </c>
      <c r="F1418">
        <v>0.60519541679999544</v>
      </c>
      <c r="G1418">
        <v>0.66039083359999085</v>
      </c>
      <c r="H1418">
        <v>0.55000000000000004</v>
      </c>
      <c r="I1418">
        <v>2771912200</v>
      </c>
      <c r="J1418">
        <v>15.2</v>
      </c>
      <c r="K1418">
        <v>17</v>
      </c>
    </row>
    <row r="1419" spans="1:11" x14ac:dyDescent="0.25">
      <c r="A1419" t="s">
        <v>417</v>
      </c>
      <c r="B1419" t="s">
        <v>280</v>
      </c>
      <c r="C1419" t="s">
        <v>281</v>
      </c>
      <c r="D1419" t="s">
        <v>18</v>
      </c>
      <c r="E1419" t="s">
        <v>26</v>
      </c>
      <c r="F1419">
        <v>0.60461099828950071</v>
      </c>
      <c r="G1419">
        <v>0.85922199657900156</v>
      </c>
      <c r="H1419">
        <v>0.35</v>
      </c>
      <c r="I1419">
        <v>5972076400</v>
      </c>
      <c r="J1419">
        <v>6.3</v>
      </c>
      <c r="K1419">
        <v>18</v>
      </c>
    </row>
    <row r="1420" spans="1:11" x14ac:dyDescent="0.25">
      <c r="A1420" t="s">
        <v>417</v>
      </c>
      <c r="B1420" t="s">
        <v>418</v>
      </c>
      <c r="C1420" t="s">
        <v>419</v>
      </c>
      <c r="D1420" t="s">
        <v>32</v>
      </c>
      <c r="E1420" t="s">
        <v>74</v>
      </c>
      <c r="F1420">
        <v>0.60423178018699863</v>
      </c>
      <c r="G1420">
        <v>0.45846356037399733</v>
      </c>
      <c r="H1420">
        <v>0.75</v>
      </c>
      <c r="I1420">
        <v>134518531080</v>
      </c>
      <c r="J1420">
        <v>10.15</v>
      </c>
      <c r="K1420">
        <v>19</v>
      </c>
    </row>
    <row r="1421" spans="1:11" x14ac:dyDescent="0.25">
      <c r="A1421" t="s">
        <v>417</v>
      </c>
      <c r="B1421" t="s">
        <v>287</v>
      </c>
      <c r="C1421" t="s">
        <v>288</v>
      </c>
      <c r="D1421" t="s">
        <v>14</v>
      </c>
      <c r="E1421" t="s">
        <v>59</v>
      </c>
      <c r="F1421">
        <v>0.59948022783542243</v>
      </c>
      <c r="G1421">
        <v>0.94896045567084486</v>
      </c>
      <c r="H1421">
        <v>0.25</v>
      </c>
      <c r="I1421">
        <v>62487230600</v>
      </c>
      <c r="J1421">
        <v>26.6</v>
      </c>
      <c r="K1421">
        <v>20</v>
      </c>
    </row>
    <row r="1422" spans="1:11" x14ac:dyDescent="0.25">
      <c r="A1422" t="s">
        <v>420</v>
      </c>
      <c r="B1422" t="s">
        <v>179</v>
      </c>
      <c r="C1422" t="s">
        <v>180</v>
      </c>
      <c r="D1422" t="s">
        <v>32</v>
      </c>
      <c r="E1422" t="s">
        <v>124</v>
      </c>
      <c r="F1422">
        <v>0.7619185344798467</v>
      </c>
      <c r="G1422">
        <v>0.87383706895969349</v>
      </c>
      <c r="H1422">
        <v>0.65</v>
      </c>
      <c r="I1422">
        <v>415019699500</v>
      </c>
      <c r="J1422">
        <v>35</v>
      </c>
      <c r="K1422">
        <v>1</v>
      </c>
    </row>
    <row r="1423" spans="1:11" x14ac:dyDescent="0.25">
      <c r="A1423" t="s">
        <v>420</v>
      </c>
      <c r="B1423" t="s">
        <v>384</v>
      </c>
      <c r="C1423" t="s">
        <v>385</v>
      </c>
      <c r="D1423" t="s">
        <v>14</v>
      </c>
      <c r="E1423" t="s">
        <v>26</v>
      </c>
      <c r="F1423">
        <v>0.74262524177272682</v>
      </c>
      <c r="G1423">
        <v>0.98525048354545353</v>
      </c>
      <c r="H1423">
        <v>0.5</v>
      </c>
      <c r="I1423">
        <v>5520406800</v>
      </c>
      <c r="J1423">
        <v>9.8000000000000007</v>
      </c>
      <c r="K1423">
        <v>2</v>
      </c>
    </row>
    <row r="1424" spans="1:11" x14ac:dyDescent="0.25">
      <c r="A1424" t="s">
        <v>420</v>
      </c>
      <c r="B1424" t="s">
        <v>360</v>
      </c>
      <c r="C1424" t="s">
        <v>361</v>
      </c>
      <c r="D1424" t="s">
        <v>18</v>
      </c>
      <c r="E1424" t="s">
        <v>59</v>
      </c>
      <c r="F1424">
        <v>0.68553549757834509</v>
      </c>
      <c r="G1424">
        <v>0.87107099515669018</v>
      </c>
      <c r="H1424">
        <v>0.5</v>
      </c>
      <c r="I1424">
        <v>22360267800</v>
      </c>
      <c r="J1424">
        <v>22.7</v>
      </c>
      <c r="K1424">
        <v>3</v>
      </c>
    </row>
    <row r="1425" spans="1:11" x14ac:dyDescent="0.25">
      <c r="A1425" t="s">
        <v>420</v>
      </c>
      <c r="B1425" t="s">
        <v>309</v>
      </c>
      <c r="C1425" t="s">
        <v>310</v>
      </c>
      <c r="D1425" t="s">
        <v>32</v>
      </c>
      <c r="E1425" t="s">
        <v>33</v>
      </c>
      <c r="F1425">
        <v>0.6796605208313965</v>
      </c>
      <c r="G1425">
        <v>0.95932104166279297</v>
      </c>
      <c r="H1425">
        <v>0.4</v>
      </c>
      <c r="I1425">
        <v>310666374200</v>
      </c>
      <c r="J1425">
        <v>14.9</v>
      </c>
      <c r="K1425">
        <v>4</v>
      </c>
    </row>
    <row r="1426" spans="1:11" x14ac:dyDescent="0.25">
      <c r="A1426" t="s">
        <v>420</v>
      </c>
      <c r="B1426" t="s">
        <v>263</v>
      </c>
      <c r="C1426" t="s">
        <v>264</v>
      </c>
      <c r="D1426" t="s">
        <v>32</v>
      </c>
      <c r="E1426" t="s">
        <v>259</v>
      </c>
      <c r="F1426">
        <v>0.66655620724879894</v>
      </c>
      <c r="G1426">
        <v>0.83311241449759776</v>
      </c>
      <c r="H1426">
        <v>0.5</v>
      </c>
      <c r="I1426">
        <v>117198129700</v>
      </c>
      <c r="J1426">
        <v>37.9</v>
      </c>
      <c r="K1426">
        <v>5</v>
      </c>
    </row>
    <row r="1427" spans="1:11" x14ac:dyDescent="0.25">
      <c r="A1427" t="s">
        <v>420</v>
      </c>
      <c r="B1427" t="s">
        <v>135</v>
      </c>
      <c r="C1427" t="s">
        <v>136</v>
      </c>
      <c r="D1427" t="s">
        <v>32</v>
      </c>
      <c r="E1427" t="s">
        <v>29</v>
      </c>
      <c r="F1427">
        <v>0.65281187414599662</v>
      </c>
      <c r="G1427">
        <v>0.75562374829199319</v>
      </c>
      <c r="H1427">
        <v>0.55000000000000004</v>
      </c>
      <c r="I1427">
        <v>359108071800</v>
      </c>
      <c r="J1427">
        <v>16.8</v>
      </c>
      <c r="K1427">
        <v>6</v>
      </c>
    </row>
    <row r="1428" spans="1:11" x14ac:dyDescent="0.25">
      <c r="A1428" t="s">
        <v>420</v>
      </c>
      <c r="B1428" t="s">
        <v>421</v>
      </c>
      <c r="C1428" t="s">
        <v>422</v>
      </c>
      <c r="D1428" t="s">
        <v>32</v>
      </c>
      <c r="E1428" t="s">
        <v>36</v>
      </c>
      <c r="F1428">
        <v>0.65090588703419328</v>
      </c>
      <c r="G1428">
        <v>0.90181177406838642</v>
      </c>
      <c r="H1428">
        <v>0.4</v>
      </c>
      <c r="I1428">
        <v>14828757800</v>
      </c>
      <c r="J1428">
        <v>28.55</v>
      </c>
      <c r="K1428">
        <v>7</v>
      </c>
    </row>
    <row r="1429" spans="1:11" x14ac:dyDescent="0.25">
      <c r="A1429" t="s">
        <v>420</v>
      </c>
      <c r="B1429" t="s">
        <v>103</v>
      </c>
      <c r="C1429" t="s">
        <v>104</v>
      </c>
      <c r="D1429" t="s">
        <v>32</v>
      </c>
      <c r="E1429" t="s">
        <v>39</v>
      </c>
      <c r="F1429">
        <v>0.64963866091521849</v>
      </c>
      <c r="G1429">
        <v>0.74927732183043683</v>
      </c>
      <c r="H1429">
        <v>0.55000000000000004</v>
      </c>
      <c r="I1429">
        <v>34039640200</v>
      </c>
      <c r="J1429">
        <v>27.05</v>
      </c>
      <c r="K1429">
        <v>8</v>
      </c>
    </row>
    <row r="1430" spans="1:11" x14ac:dyDescent="0.25">
      <c r="A1430" t="s">
        <v>420</v>
      </c>
      <c r="B1430" t="s">
        <v>186</v>
      </c>
      <c r="C1430" t="s">
        <v>187</v>
      </c>
      <c r="D1430" t="s">
        <v>32</v>
      </c>
      <c r="E1430" t="s">
        <v>74</v>
      </c>
      <c r="F1430">
        <v>0.64750657831833225</v>
      </c>
      <c r="G1430">
        <v>0.84501315663666443</v>
      </c>
      <c r="H1430">
        <v>0.45</v>
      </c>
      <c r="I1430">
        <v>16681736200</v>
      </c>
      <c r="J1430">
        <v>13.8</v>
      </c>
      <c r="K1430">
        <v>9</v>
      </c>
    </row>
    <row r="1431" spans="1:11" x14ac:dyDescent="0.25">
      <c r="A1431" t="s">
        <v>420</v>
      </c>
      <c r="B1431" t="s">
        <v>403</v>
      </c>
      <c r="C1431" t="s">
        <v>404</v>
      </c>
      <c r="D1431" t="s">
        <v>32</v>
      </c>
      <c r="E1431" t="s">
        <v>33</v>
      </c>
      <c r="F1431">
        <v>0.63705200133143913</v>
      </c>
      <c r="G1431">
        <v>0.9241040026628784</v>
      </c>
      <c r="H1431">
        <v>0.35</v>
      </c>
      <c r="I1431">
        <v>2290743680</v>
      </c>
      <c r="J1431">
        <v>2.75</v>
      </c>
      <c r="K1431">
        <v>10</v>
      </c>
    </row>
    <row r="1432" spans="1:11" x14ac:dyDescent="0.25">
      <c r="A1432" t="s">
        <v>420</v>
      </c>
      <c r="B1432" t="s">
        <v>301</v>
      </c>
      <c r="C1432" t="s">
        <v>302</v>
      </c>
      <c r="D1432" t="s">
        <v>32</v>
      </c>
      <c r="E1432" t="s">
        <v>74</v>
      </c>
      <c r="F1432">
        <v>0.62868850119861786</v>
      </c>
      <c r="G1432">
        <v>0.95737700239723567</v>
      </c>
      <c r="H1432">
        <v>0.3</v>
      </c>
      <c r="I1432">
        <v>8478273800</v>
      </c>
      <c r="J1432">
        <v>17.2</v>
      </c>
      <c r="K1432">
        <v>11</v>
      </c>
    </row>
    <row r="1433" spans="1:11" x14ac:dyDescent="0.25">
      <c r="A1433" t="s">
        <v>420</v>
      </c>
      <c r="B1433" t="s">
        <v>410</v>
      </c>
      <c r="C1433" t="s">
        <v>411</v>
      </c>
      <c r="D1433" t="s">
        <v>32</v>
      </c>
      <c r="E1433" t="s">
        <v>26</v>
      </c>
      <c r="F1433">
        <v>0.62842778765205087</v>
      </c>
      <c r="G1433">
        <v>0.65685557530410177</v>
      </c>
      <c r="H1433">
        <v>0.6</v>
      </c>
      <c r="I1433">
        <v>2915494800</v>
      </c>
      <c r="J1433">
        <v>5.2</v>
      </c>
      <c r="K1433">
        <v>12</v>
      </c>
    </row>
    <row r="1434" spans="1:11" x14ac:dyDescent="0.25">
      <c r="A1434" t="s">
        <v>420</v>
      </c>
      <c r="B1434" t="s">
        <v>423</v>
      </c>
      <c r="C1434" t="s">
        <v>424</v>
      </c>
      <c r="D1434" t="s">
        <v>32</v>
      </c>
      <c r="E1434" t="s">
        <v>382</v>
      </c>
      <c r="F1434">
        <v>0.6179817970641438</v>
      </c>
      <c r="G1434">
        <v>0.83596359412828758</v>
      </c>
      <c r="H1434">
        <v>0.4</v>
      </c>
      <c r="I1434">
        <v>125639678300</v>
      </c>
      <c r="J1434">
        <v>21.85</v>
      </c>
      <c r="K1434">
        <v>13</v>
      </c>
    </row>
    <row r="1435" spans="1:11" x14ac:dyDescent="0.25">
      <c r="A1435" t="s">
        <v>420</v>
      </c>
      <c r="B1435" t="s">
        <v>397</v>
      </c>
      <c r="C1435" t="s">
        <v>398</v>
      </c>
      <c r="D1435" t="s">
        <v>32</v>
      </c>
      <c r="E1435" t="s">
        <v>42</v>
      </c>
      <c r="F1435">
        <v>0.61428108899115397</v>
      </c>
      <c r="G1435">
        <v>0.77856217798230787</v>
      </c>
      <c r="H1435">
        <v>0.45</v>
      </c>
      <c r="I1435">
        <v>2845283000</v>
      </c>
      <c r="J1435">
        <v>15.8</v>
      </c>
      <c r="K1435">
        <v>14</v>
      </c>
    </row>
    <row r="1436" spans="1:11" x14ac:dyDescent="0.25">
      <c r="A1436" t="s">
        <v>420</v>
      </c>
      <c r="B1436" t="s">
        <v>425</v>
      </c>
      <c r="C1436" t="s">
        <v>426</v>
      </c>
      <c r="D1436" t="s">
        <v>32</v>
      </c>
      <c r="E1436" t="s">
        <v>427</v>
      </c>
      <c r="F1436">
        <v>0.6073881550655289</v>
      </c>
      <c r="G1436">
        <v>0.81477631013105767</v>
      </c>
      <c r="H1436">
        <v>0.4</v>
      </c>
      <c r="I1436">
        <v>58135996100</v>
      </c>
      <c r="J1436">
        <v>19.5</v>
      </c>
      <c r="K1436">
        <v>15</v>
      </c>
    </row>
    <row r="1437" spans="1:11" x14ac:dyDescent="0.25">
      <c r="A1437" t="s">
        <v>420</v>
      </c>
      <c r="B1437" t="s">
        <v>88</v>
      </c>
      <c r="C1437" t="s">
        <v>89</v>
      </c>
      <c r="D1437" t="s">
        <v>32</v>
      </c>
      <c r="E1437" t="s">
        <v>33</v>
      </c>
      <c r="F1437">
        <v>0.60282642399849462</v>
      </c>
      <c r="G1437">
        <v>0.90565284799698931</v>
      </c>
      <c r="H1437">
        <v>0.3</v>
      </c>
      <c r="I1437">
        <v>101753313980</v>
      </c>
      <c r="J1437">
        <v>15.3</v>
      </c>
      <c r="K1437">
        <v>16</v>
      </c>
    </row>
    <row r="1438" spans="1:11" x14ac:dyDescent="0.25">
      <c r="A1438" t="s">
        <v>420</v>
      </c>
      <c r="B1438" t="s">
        <v>340</v>
      </c>
      <c r="C1438" t="s">
        <v>341</v>
      </c>
      <c r="D1438" t="s">
        <v>14</v>
      </c>
      <c r="E1438" t="s">
        <v>74</v>
      </c>
      <c r="F1438">
        <v>0.60142763750110206</v>
      </c>
      <c r="G1438">
        <v>0.80285527500220399</v>
      </c>
      <c r="H1438">
        <v>0.4</v>
      </c>
      <c r="I1438">
        <v>2156928600</v>
      </c>
      <c r="J1438">
        <v>39.700000000000003</v>
      </c>
      <c r="K1438">
        <v>17</v>
      </c>
    </row>
    <row r="1439" spans="1:11" x14ac:dyDescent="0.25">
      <c r="A1439" t="s">
        <v>420</v>
      </c>
      <c r="B1439" t="s">
        <v>92</v>
      </c>
      <c r="C1439" t="s">
        <v>93</v>
      </c>
      <c r="D1439" t="s">
        <v>14</v>
      </c>
      <c r="E1439" t="s">
        <v>59</v>
      </c>
      <c r="F1439">
        <v>0.59398957485832826</v>
      </c>
      <c r="G1439">
        <v>0.43797914971665652</v>
      </c>
      <c r="H1439">
        <v>0.75</v>
      </c>
      <c r="I1439">
        <v>15910443400</v>
      </c>
      <c r="J1439">
        <v>12.5</v>
      </c>
      <c r="K1439">
        <v>18</v>
      </c>
    </row>
    <row r="1440" spans="1:11" x14ac:dyDescent="0.25">
      <c r="A1440" t="s">
        <v>420</v>
      </c>
      <c r="B1440" t="s">
        <v>152</v>
      </c>
      <c r="C1440" t="s">
        <v>153</v>
      </c>
      <c r="D1440" t="s">
        <v>32</v>
      </c>
      <c r="E1440" t="s">
        <v>74</v>
      </c>
      <c r="F1440">
        <v>0.58861730394205158</v>
      </c>
      <c r="G1440">
        <v>0.87723460788410323</v>
      </c>
      <c r="H1440">
        <v>0.3</v>
      </c>
      <c r="I1440">
        <v>651715176000</v>
      </c>
      <c r="J1440">
        <v>45.5</v>
      </c>
      <c r="K1440">
        <v>19</v>
      </c>
    </row>
    <row r="1441" spans="1:11" x14ac:dyDescent="0.25">
      <c r="A1441" t="s">
        <v>420</v>
      </c>
      <c r="B1441" t="s">
        <v>171</v>
      </c>
      <c r="C1441" t="s">
        <v>172</v>
      </c>
      <c r="D1441" t="s">
        <v>32</v>
      </c>
      <c r="E1441" t="s">
        <v>33</v>
      </c>
      <c r="F1441">
        <v>0.5863684946315374</v>
      </c>
      <c r="G1441">
        <v>0.97273698926307473</v>
      </c>
      <c r="H1441">
        <v>0.2</v>
      </c>
      <c r="I1441">
        <v>20853506020</v>
      </c>
      <c r="J1441">
        <v>8.99</v>
      </c>
      <c r="K1441">
        <v>20</v>
      </c>
    </row>
    <row r="1442" spans="1:11" x14ac:dyDescent="0.25">
      <c r="A1442" t="s">
        <v>428</v>
      </c>
      <c r="B1442" t="s">
        <v>179</v>
      </c>
      <c r="C1442" t="s">
        <v>180</v>
      </c>
      <c r="D1442" t="s">
        <v>32</v>
      </c>
      <c r="E1442" t="s">
        <v>124</v>
      </c>
      <c r="F1442">
        <v>0.78959314054950591</v>
      </c>
      <c r="G1442">
        <v>0.82918628109901182</v>
      </c>
      <c r="H1442">
        <v>0.75</v>
      </c>
      <c r="I1442">
        <v>401073781600</v>
      </c>
      <c r="J1442">
        <v>34.799999999999997</v>
      </c>
      <c r="K1442">
        <v>1</v>
      </c>
    </row>
    <row r="1443" spans="1:11" x14ac:dyDescent="0.25">
      <c r="A1443" t="s">
        <v>428</v>
      </c>
      <c r="B1443" t="s">
        <v>309</v>
      </c>
      <c r="C1443" t="s">
        <v>310</v>
      </c>
      <c r="D1443" t="s">
        <v>32</v>
      </c>
      <c r="E1443" t="s">
        <v>33</v>
      </c>
      <c r="F1443">
        <v>0.78673537663974935</v>
      </c>
      <c r="G1443">
        <v>0.97347075327949883</v>
      </c>
      <c r="H1443">
        <v>0.6</v>
      </c>
      <c r="I1443">
        <v>320218594200</v>
      </c>
      <c r="J1443">
        <v>15.45</v>
      </c>
      <c r="K1443">
        <v>2</v>
      </c>
    </row>
    <row r="1444" spans="1:11" x14ac:dyDescent="0.25">
      <c r="A1444" t="s">
        <v>428</v>
      </c>
      <c r="B1444" t="s">
        <v>410</v>
      </c>
      <c r="C1444" t="s">
        <v>411</v>
      </c>
      <c r="D1444" t="s">
        <v>32</v>
      </c>
      <c r="E1444" t="s">
        <v>26</v>
      </c>
      <c r="F1444">
        <v>0.72954115843559053</v>
      </c>
      <c r="G1444">
        <v>0.60908231687118108</v>
      </c>
      <c r="H1444">
        <v>0.85</v>
      </c>
      <c r="I1444">
        <v>2942233600</v>
      </c>
      <c r="J1444">
        <v>5.2</v>
      </c>
      <c r="K1444">
        <v>3</v>
      </c>
    </row>
    <row r="1445" spans="1:11" x14ac:dyDescent="0.25">
      <c r="A1445" t="s">
        <v>428</v>
      </c>
      <c r="B1445" t="s">
        <v>384</v>
      </c>
      <c r="C1445" t="s">
        <v>385</v>
      </c>
      <c r="D1445" t="s">
        <v>14</v>
      </c>
      <c r="E1445" t="s">
        <v>26</v>
      </c>
      <c r="F1445">
        <v>0.71485602634644141</v>
      </c>
      <c r="G1445">
        <v>0.97971205269288275</v>
      </c>
      <c r="H1445">
        <v>0.45</v>
      </c>
      <c r="I1445">
        <v>5750804200</v>
      </c>
      <c r="J1445">
        <v>9.6999999999999993</v>
      </c>
      <c r="K1445">
        <v>4</v>
      </c>
    </row>
    <row r="1446" spans="1:11" x14ac:dyDescent="0.25">
      <c r="A1446" t="s">
        <v>428</v>
      </c>
      <c r="B1446" t="s">
        <v>421</v>
      </c>
      <c r="C1446" t="s">
        <v>422</v>
      </c>
      <c r="D1446" t="s">
        <v>32</v>
      </c>
      <c r="E1446" t="s">
        <v>36</v>
      </c>
      <c r="F1446">
        <v>0.70299082068206309</v>
      </c>
      <c r="G1446">
        <v>0.95598164136412622</v>
      </c>
      <c r="H1446">
        <v>0.45</v>
      </c>
      <c r="I1446">
        <v>16544852200</v>
      </c>
      <c r="J1446">
        <v>30.1</v>
      </c>
      <c r="K1446">
        <v>5</v>
      </c>
    </row>
    <row r="1447" spans="1:11" x14ac:dyDescent="0.25">
      <c r="A1447" t="s">
        <v>428</v>
      </c>
      <c r="B1447" t="s">
        <v>135</v>
      </c>
      <c r="C1447" t="s">
        <v>136</v>
      </c>
      <c r="D1447" t="s">
        <v>32</v>
      </c>
      <c r="E1447" t="s">
        <v>29</v>
      </c>
      <c r="F1447">
        <v>0.68908146024524686</v>
      </c>
      <c r="G1447">
        <v>0.72816292049049358</v>
      </c>
      <c r="H1447">
        <v>0.65</v>
      </c>
      <c r="I1447">
        <v>357033755700</v>
      </c>
      <c r="J1447">
        <v>16.75</v>
      </c>
      <c r="K1447">
        <v>6</v>
      </c>
    </row>
    <row r="1448" spans="1:11" x14ac:dyDescent="0.25">
      <c r="A1448" t="s">
        <v>428</v>
      </c>
      <c r="B1448" t="s">
        <v>285</v>
      </c>
      <c r="C1448" t="s">
        <v>286</v>
      </c>
      <c r="D1448" t="s">
        <v>18</v>
      </c>
      <c r="E1448" t="s">
        <v>26</v>
      </c>
      <c r="F1448">
        <v>0.67247691802366549</v>
      </c>
      <c r="G1448">
        <v>0.89495383604733092</v>
      </c>
      <c r="H1448">
        <v>0.45</v>
      </c>
      <c r="I1448">
        <v>39053875800</v>
      </c>
      <c r="J1448">
        <v>81</v>
      </c>
      <c r="K1448">
        <v>7</v>
      </c>
    </row>
    <row r="1449" spans="1:11" x14ac:dyDescent="0.25">
      <c r="A1449" t="s">
        <v>428</v>
      </c>
      <c r="B1449" t="s">
        <v>403</v>
      </c>
      <c r="C1449" t="s">
        <v>404</v>
      </c>
      <c r="D1449" t="s">
        <v>32</v>
      </c>
      <c r="E1449" t="s">
        <v>33</v>
      </c>
      <c r="F1449">
        <v>0.67233100428289516</v>
      </c>
      <c r="G1449">
        <v>0.9446620085657903</v>
      </c>
      <c r="H1449">
        <v>0.4</v>
      </c>
      <c r="I1449">
        <v>2342258240</v>
      </c>
      <c r="J1449">
        <v>2.79</v>
      </c>
      <c r="K1449">
        <v>8</v>
      </c>
    </row>
    <row r="1450" spans="1:11" x14ac:dyDescent="0.25">
      <c r="A1450" t="s">
        <v>428</v>
      </c>
      <c r="B1450" t="s">
        <v>103</v>
      </c>
      <c r="C1450" t="s">
        <v>104</v>
      </c>
      <c r="D1450" t="s">
        <v>32</v>
      </c>
      <c r="E1450" t="s">
        <v>39</v>
      </c>
      <c r="F1450">
        <v>0.65723063114042612</v>
      </c>
      <c r="G1450">
        <v>0.71446126228085227</v>
      </c>
      <c r="H1450">
        <v>0.6</v>
      </c>
      <c r="I1450">
        <v>33969757200</v>
      </c>
      <c r="J1450">
        <v>26.95</v>
      </c>
      <c r="K1450">
        <v>9</v>
      </c>
    </row>
    <row r="1451" spans="1:11" x14ac:dyDescent="0.25">
      <c r="A1451" t="s">
        <v>428</v>
      </c>
      <c r="B1451" t="s">
        <v>186</v>
      </c>
      <c r="C1451" t="s">
        <v>187</v>
      </c>
      <c r="D1451" t="s">
        <v>32</v>
      </c>
      <c r="E1451" t="s">
        <v>74</v>
      </c>
      <c r="F1451">
        <v>0.65297156794988498</v>
      </c>
      <c r="G1451">
        <v>0.85594313589977</v>
      </c>
      <c r="H1451">
        <v>0.45</v>
      </c>
      <c r="I1451">
        <v>16296154800</v>
      </c>
      <c r="J1451">
        <v>13.9</v>
      </c>
      <c r="K1451">
        <v>10</v>
      </c>
    </row>
    <row r="1452" spans="1:11" x14ac:dyDescent="0.25">
      <c r="A1452" t="s">
        <v>428</v>
      </c>
      <c r="B1452" t="s">
        <v>340</v>
      </c>
      <c r="C1452" t="s">
        <v>341</v>
      </c>
      <c r="D1452" t="s">
        <v>14</v>
      </c>
      <c r="E1452" t="s">
        <v>74</v>
      </c>
      <c r="F1452">
        <v>0.65148538300532999</v>
      </c>
      <c r="G1452">
        <v>0.85297076601066002</v>
      </c>
      <c r="H1452">
        <v>0.45</v>
      </c>
      <c r="I1452">
        <v>2157892600</v>
      </c>
      <c r="J1452">
        <v>41</v>
      </c>
      <c r="K1452">
        <v>11</v>
      </c>
    </row>
    <row r="1453" spans="1:11" x14ac:dyDescent="0.25">
      <c r="A1453" t="s">
        <v>428</v>
      </c>
      <c r="B1453" t="s">
        <v>263</v>
      </c>
      <c r="C1453" t="s">
        <v>264</v>
      </c>
      <c r="D1453" t="s">
        <v>32</v>
      </c>
      <c r="E1453" t="s">
        <v>259</v>
      </c>
      <c r="F1453">
        <v>0.63482470687024206</v>
      </c>
      <c r="G1453">
        <v>0.8696494137404841</v>
      </c>
      <c r="H1453">
        <v>0.4</v>
      </c>
      <c r="I1453">
        <v>117308054100</v>
      </c>
      <c r="J1453">
        <v>38.950000000000003</v>
      </c>
      <c r="K1453">
        <v>12</v>
      </c>
    </row>
    <row r="1454" spans="1:11" x14ac:dyDescent="0.25">
      <c r="A1454" t="s">
        <v>428</v>
      </c>
      <c r="B1454" t="s">
        <v>377</v>
      </c>
      <c r="C1454" t="s">
        <v>378</v>
      </c>
      <c r="D1454" t="s">
        <v>32</v>
      </c>
      <c r="E1454" t="s">
        <v>33</v>
      </c>
      <c r="F1454">
        <v>0.63260656661246462</v>
      </c>
      <c r="G1454">
        <v>0.61521313322492921</v>
      </c>
      <c r="H1454">
        <v>0.65</v>
      </c>
      <c r="I1454">
        <v>2787313420</v>
      </c>
      <c r="J1454">
        <v>4.4000000000000004</v>
      </c>
      <c r="K1454">
        <v>13</v>
      </c>
    </row>
    <row r="1455" spans="1:11" x14ac:dyDescent="0.25">
      <c r="A1455" t="s">
        <v>428</v>
      </c>
      <c r="B1455" t="s">
        <v>88</v>
      </c>
      <c r="C1455" t="s">
        <v>89</v>
      </c>
      <c r="D1455" t="s">
        <v>32</v>
      </c>
      <c r="E1455" t="s">
        <v>33</v>
      </c>
      <c r="F1455">
        <v>0.63140026516114567</v>
      </c>
      <c r="G1455">
        <v>0.91280053032229136</v>
      </c>
      <c r="H1455">
        <v>0.35</v>
      </c>
      <c r="I1455">
        <v>101192048580</v>
      </c>
      <c r="J1455">
        <v>15.5</v>
      </c>
      <c r="K1455">
        <v>14</v>
      </c>
    </row>
    <row r="1456" spans="1:11" x14ac:dyDescent="0.25">
      <c r="A1456" t="s">
        <v>428</v>
      </c>
      <c r="B1456" t="s">
        <v>176</v>
      </c>
      <c r="C1456" t="s">
        <v>177</v>
      </c>
      <c r="D1456" t="s">
        <v>32</v>
      </c>
      <c r="E1456" t="s">
        <v>33</v>
      </c>
      <c r="F1456">
        <v>0.63021635246823338</v>
      </c>
      <c r="G1456">
        <v>0.76043270493646664</v>
      </c>
      <c r="H1456">
        <v>0.5</v>
      </c>
      <c r="I1456">
        <v>4644903900</v>
      </c>
      <c r="J1456">
        <v>9.3000000000000007</v>
      </c>
      <c r="K1456">
        <v>15</v>
      </c>
    </row>
    <row r="1457" spans="1:11" x14ac:dyDescent="0.25">
      <c r="A1457" t="s">
        <v>428</v>
      </c>
      <c r="B1457" t="s">
        <v>360</v>
      </c>
      <c r="C1457" t="s">
        <v>361</v>
      </c>
      <c r="D1457" t="s">
        <v>18</v>
      </c>
      <c r="E1457" t="s">
        <v>59</v>
      </c>
      <c r="F1457">
        <v>0.62956092920643991</v>
      </c>
      <c r="G1457">
        <v>0.90912185841287985</v>
      </c>
      <c r="H1457">
        <v>0.35</v>
      </c>
      <c r="I1457">
        <v>23389798200</v>
      </c>
      <c r="J1457">
        <v>23.3</v>
      </c>
      <c r="K1457">
        <v>16</v>
      </c>
    </row>
    <row r="1458" spans="1:11" x14ac:dyDescent="0.25">
      <c r="A1458" t="s">
        <v>428</v>
      </c>
      <c r="B1458" t="s">
        <v>229</v>
      </c>
      <c r="C1458" t="s">
        <v>230</v>
      </c>
      <c r="D1458" t="s">
        <v>18</v>
      </c>
      <c r="E1458" t="s">
        <v>29</v>
      </c>
      <c r="F1458">
        <v>0.62328640188717011</v>
      </c>
      <c r="G1458">
        <v>0.94657280377434017</v>
      </c>
      <c r="H1458">
        <v>0.3</v>
      </c>
      <c r="I1458">
        <v>46242715200</v>
      </c>
      <c r="J1458">
        <v>27.8</v>
      </c>
      <c r="K1458">
        <v>17</v>
      </c>
    </row>
    <row r="1459" spans="1:11" x14ac:dyDescent="0.25">
      <c r="A1459" t="s">
        <v>428</v>
      </c>
      <c r="B1459" t="s">
        <v>82</v>
      </c>
      <c r="C1459" t="s">
        <v>83</v>
      </c>
      <c r="D1459" t="s">
        <v>32</v>
      </c>
      <c r="E1459" t="s">
        <v>39</v>
      </c>
      <c r="F1459">
        <v>0.62125654768155547</v>
      </c>
      <c r="G1459">
        <v>0.84251309536311081</v>
      </c>
      <c r="H1459">
        <v>0.4</v>
      </c>
      <c r="I1459">
        <v>35040933200</v>
      </c>
      <c r="J1459">
        <v>19</v>
      </c>
      <c r="K1459">
        <v>18</v>
      </c>
    </row>
    <row r="1460" spans="1:11" x14ac:dyDescent="0.25">
      <c r="A1460" t="s">
        <v>428</v>
      </c>
      <c r="B1460" t="s">
        <v>152</v>
      </c>
      <c r="C1460" t="s">
        <v>153</v>
      </c>
      <c r="D1460" t="s">
        <v>32</v>
      </c>
      <c r="E1460" t="s">
        <v>74</v>
      </c>
      <c r="F1460">
        <v>0.61955619859414757</v>
      </c>
      <c r="G1460">
        <v>0.88911239718829504</v>
      </c>
      <c r="H1460">
        <v>0.35</v>
      </c>
      <c r="I1460">
        <v>653408332000</v>
      </c>
      <c r="J1460">
        <v>46</v>
      </c>
      <c r="K1460">
        <v>19</v>
      </c>
    </row>
    <row r="1461" spans="1:11" x14ac:dyDescent="0.25">
      <c r="A1461" t="s">
        <v>428</v>
      </c>
      <c r="B1461" t="s">
        <v>397</v>
      </c>
      <c r="C1461" t="s">
        <v>398</v>
      </c>
      <c r="D1461" t="s">
        <v>32</v>
      </c>
      <c r="E1461" t="s">
        <v>42</v>
      </c>
      <c r="F1461">
        <v>0.61943228842298359</v>
      </c>
      <c r="G1461">
        <v>0.68886457684596714</v>
      </c>
      <c r="H1461">
        <v>0.55000000000000004</v>
      </c>
      <c r="I1461">
        <v>2882472800</v>
      </c>
      <c r="J1461">
        <v>15.6</v>
      </c>
      <c r="K1461">
        <v>20</v>
      </c>
    </row>
    <row r="1462" spans="1:11" x14ac:dyDescent="0.25">
      <c r="A1462" t="s">
        <v>429</v>
      </c>
      <c r="B1462" t="s">
        <v>179</v>
      </c>
      <c r="C1462" t="s">
        <v>180</v>
      </c>
      <c r="D1462" t="s">
        <v>32</v>
      </c>
      <c r="E1462" t="s">
        <v>124</v>
      </c>
      <c r="F1462">
        <v>0.85316872093702922</v>
      </c>
      <c r="G1462">
        <v>0.80633744187405842</v>
      </c>
      <c r="H1462">
        <v>0.9</v>
      </c>
      <c r="I1462">
        <v>392015069200</v>
      </c>
      <c r="J1462">
        <v>34.9</v>
      </c>
      <c r="K1462">
        <v>1</v>
      </c>
    </row>
    <row r="1463" spans="1:11" x14ac:dyDescent="0.25">
      <c r="A1463" t="s">
        <v>429</v>
      </c>
      <c r="B1463" t="s">
        <v>340</v>
      </c>
      <c r="C1463" t="s">
        <v>341</v>
      </c>
      <c r="D1463" t="s">
        <v>14</v>
      </c>
      <c r="E1463" t="s">
        <v>74</v>
      </c>
      <c r="F1463">
        <v>0.78382916602162078</v>
      </c>
      <c r="G1463">
        <v>0.9676583320432417</v>
      </c>
      <c r="H1463">
        <v>0.6</v>
      </c>
      <c r="I1463">
        <v>2254814200</v>
      </c>
      <c r="J1463">
        <v>43.5</v>
      </c>
      <c r="K1463">
        <v>2</v>
      </c>
    </row>
    <row r="1464" spans="1:11" x14ac:dyDescent="0.25">
      <c r="A1464" t="s">
        <v>429</v>
      </c>
      <c r="B1464" t="s">
        <v>309</v>
      </c>
      <c r="C1464" t="s">
        <v>310</v>
      </c>
      <c r="D1464" t="s">
        <v>32</v>
      </c>
      <c r="E1464" t="s">
        <v>33</v>
      </c>
      <c r="F1464">
        <v>0.78229931185992752</v>
      </c>
      <c r="G1464">
        <v>0.96459862371985494</v>
      </c>
      <c r="H1464">
        <v>0.6</v>
      </c>
      <c r="I1464">
        <v>326414381800</v>
      </c>
      <c r="J1464">
        <v>15.6</v>
      </c>
      <c r="K1464">
        <v>3</v>
      </c>
    </row>
    <row r="1465" spans="1:11" x14ac:dyDescent="0.25">
      <c r="A1465" t="s">
        <v>429</v>
      </c>
      <c r="B1465" t="s">
        <v>152</v>
      </c>
      <c r="C1465" t="s">
        <v>153</v>
      </c>
      <c r="D1465" t="s">
        <v>32</v>
      </c>
      <c r="E1465" t="s">
        <v>74</v>
      </c>
      <c r="F1465">
        <v>0.72846900493508449</v>
      </c>
      <c r="G1465">
        <v>0.90693800987016893</v>
      </c>
      <c r="H1465">
        <v>0.55000000000000004</v>
      </c>
      <c r="I1465">
        <v>599055052000</v>
      </c>
      <c r="J1465">
        <v>47.2</v>
      </c>
      <c r="K1465">
        <v>4</v>
      </c>
    </row>
    <row r="1466" spans="1:11" x14ac:dyDescent="0.25">
      <c r="A1466" t="s">
        <v>429</v>
      </c>
      <c r="B1466" t="s">
        <v>403</v>
      </c>
      <c r="C1466" t="s">
        <v>404</v>
      </c>
      <c r="D1466" t="s">
        <v>32</v>
      </c>
      <c r="E1466" t="s">
        <v>33</v>
      </c>
      <c r="F1466">
        <v>0.72199358565153982</v>
      </c>
      <c r="G1466">
        <v>0.94398717130307952</v>
      </c>
      <c r="H1466">
        <v>0.5</v>
      </c>
      <c r="I1466">
        <v>2392227040</v>
      </c>
      <c r="J1466">
        <v>2.8</v>
      </c>
      <c r="K1466">
        <v>5</v>
      </c>
    </row>
    <row r="1467" spans="1:11" x14ac:dyDescent="0.25">
      <c r="A1467" t="s">
        <v>429</v>
      </c>
      <c r="B1467" t="s">
        <v>410</v>
      </c>
      <c r="C1467" t="s">
        <v>411</v>
      </c>
      <c r="D1467" t="s">
        <v>32</v>
      </c>
      <c r="E1467" t="s">
        <v>26</v>
      </c>
      <c r="F1467">
        <v>0.71237576069576014</v>
      </c>
      <c r="G1467">
        <v>0.52475152139152026</v>
      </c>
      <c r="H1467">
        <v>0.9</v>
      </c>
      <c r="I1467">
        <v>2945699920</v>
      </c>
      <c r="J1467">
        <v>5.2</v>
      </c>
      <c r="K1467">
        <v>6</v>
      </c>
    </row>
    <row r="1468" spans="1:11" x14ac:dyDescent="0.25">
      <c r="A1468" t="s">
        <v>429</v>
      </c>
      <c r="B1468" t="s">
        <v>397</v>
      </c>
      <c r="C1468" t="s">
        <v>398</v>
      </c>
      <c r="D1468" t="s">
        <v>32</v>
      </c>
      <c r="E1468" t="s">
        <v>42</v>
      </c>
      <c r="F1468">
        <v>0.67069468927152853</v>
      </c>
      <c r="G1468">
        <v>0.64138937854305711</v>
      </c>
      <c r="H1468">
        <v>0.7</v>
      </c>
      <c r="I1468">
        <v>2751452700</v>
      </c>
      <c r="J1468">
        <v>15.5</v>
      </c>
      <c r="K1468">
        <v>7</v>
      </c>
    </row>
    <row r="1469" spans="1:11" x14ac:dyDescent="0.25">
      <c r="A1469" t="s">
        <v>429</v>
      </c>
      <c r="B1469" t="s">
        <v>263</v>
      </c>
      <c r="C1469" t="s">
        <v>264</v>
      </c>
      <c r="D1469" t="s">
        <v>32</v>
      </c>
      <c r="E1469" t="s">
        <v>259</v>
      </c>
      <c r="F1469">
        <v>0.66052046887818161</v>
      </c>
      <c r="G1469">
        <v>0.77104093775636329</v>
      </c>
      <c r="H1469">
        <v>0.55000000000000004</v>
      </c>
      <c r="I1469">
        <v>118063216800</v>
      </c>
      <c r="J1469">
        <v>38.549999999999997</v>
      </c>
      <c r="K1469">
        <v>8</v>
      </c>
    </row>
    <row r="1470" spans="1:11" x14ac:dyDescent="0.25">
      <c r="A1470" t="s">
        <v>429</v>
      </c>
      <c r="B1470" t="s">
        <v>377</v>
      </c>
      <c r="C1470" t="s">
        <v>378</v>
      </c>
      <c r="D1470" t="s">
        <v>32</v>
      </c>
      <c r="E1470" t="s">
        <v>33</v>
      </c>
      <c r="F1470">
        <v>0.64368956581755232</v>
      </c>
      <c r="G1470">
        <v>0.73737913163510449</v>
      </c>
      <c r="H1470">
        <v>0.55000000000000004</v>
      </c>
      <c r="I1470">
        <v>2809874800</v>
      </c>
      <c r="J1470">
        <v>4.59</v>
      </c>
      <c r="K1470">
        <v>9</v>
      </c>
    </row>
    <row r="1471" spans="1:11" x14ac:dyDescent="0.25">
      <c r="A1471" t="s">
        <v>429</v>
      </c>
      <c r="B1471" t="s">
        <v>384</v>
      </c>
      <c r="C1471" t="s">
        <v>385</v>
      </c>
      <c r="D1471" t="s">
        <v>14</v>
      </c>
      <c r="E1471" t="s">
        <v>26</v>
      </c>
      <c r="F1471">
        <v>0.63639357960256959</v>
      </c>
      <c r="G1471">
        <v>0.97278715920513914</v>
      </c>
      <c r="H1471">
        <v>0.3</v>
      </c>
      <c r="I1471">
        <v>5896407000</v>
      </c>
      <c r="J1471">
        <v>9.3000000000000007</v>
      </c>
      <c r="K1471">
        <v>10</v>
      </c>
    </row>
    <row r="1472" spans="1:11" x14ac:dyDescent="0.25">
      <c r="A1472" t="s">
        <v>429</v>
      </c>
      <c r="B1472" t="s">
        <v>301</v>
      </c>
      <c r="C1472" t="s">
        <v>302</v>
      </c>
      <c r="D1472" t="s">
        <v>32</v>
      </c>
      <c r="E1472" t="s">
        <v>74</v>
      </c>
      <c r="F1472">
        <v>0.624033375890235</v>
      </c>
      <c r="G1472">
        <v>0.94806675178046995</v>
      </c>
      <c r="H1472">
        <v>0.3</v>
      </c>
      <c r="I1472">
        <v>8670450600</v>
      </c>
      <c r="J1472">
        <v>17.3</v>
      </c>
      <c r="K1472">
        <v>11</v>
      </c>
    </row>
    <row r="1473" spans="1:11" x14ac:dyDescent="0.25">
      <c r="A1473" t="s">
        <v>429</v>
      </c>
      <c r="B1473" t="s">
        <v>82</v>
      </c>
      <c r="C1473" t="s">
        <v>83</v>
      </c>
      <c r="D1473" t="s">
        <v>32</v>
      </c>
      <c r="E1473" t="s">
        <v>39</v>
      </c>
      <c r="F1473">
        <v>0.60855118623381654</v>
      </c>
      <c r="G1473">
        <v>0.81710237246763306</v>
      </c>
      <c r="H1473">
        <v>0.4</v>
      </c>
      <c r="I1473">
        <v>34175771200</v>
      </c>
      <c r="J1473">
        <v>19</v>
      </c>
      <c r="K1473">
        <v>12</v>
      </c>
    </row>
    <row r="1474" spans="1:11" x14ac:dyDescent="0.25">
      <c r="A1474" t="s">
        <v>429</v>
      </c>
      <c r="B1474" t="s">
        <v>421</v>
      </c>
      <c r="C1474" t="s">
        <v>422</v>
      </c>
      <c r="D1474" t="s">
        <v>32</v>
      </c>
      <c r="E1474" t="s">
        <v>36</v>
      </c>
      <c r="F1474">
        <v>0.602963784423592</v>
      </c>
      <c r="G1474">
        <v>0.85592756884718413</v>
      </c>
      <c r="H1474">
        <v>0.35</v>
      </c>
      <c r="I1474">
        <v>17663878200</v>
      </c>
      <c r="J1474">
        <v>28</v>
      </c>
      <c r="K1474">
        <v>13</v>
      </c>
    </row>
    <row r="1475" spans="1:11" x14ac:dyDescent="0.25">
      <c r="A1475" t="s">
        <v>429</v>
      </c>
      <c r="B1475" t="s">
        <v>229</v>
      </c>
      <c r="C1475" t="s">
        <v>230</v>
      </c>
      <c r="D1475" t="s">
        <v>18</v>
      </c>
      <c r="E1475" t="s">
        <v>29</v>
      </c>
      <c r="F1475">
        <v>0.60013174702603977</v>
      </c>
      <c r="G1475">
        <v>0.95026349405207955</v>
      </c>
      <c r="H1475">
        <v>0.25</v>
      </c>
      <c r="I1475">
        <v>47544238800</v>
      </c>
      <c r="J1475">
        <v>27.7</v>
      </c>
      <c r="K1475">
        <v>14</v>
      </c>
    </row>
    <row r="1476" spans="1:11" x14ac:dyDescent="0.25">
      <c r="A1476" t="s">
        <v>429</v>
      </c>
      <c r="B1476" t="s">
        <v>103</v>
      </c>
      <c r="C1476" t="s">
        <v>104</v>
      </c>
      <c r="D1476" t="s">
        <v>32</v>
      </c>
      <c r="E1476" t="s">
        <v>39</v>
      </c>
      <c r="F1476">
        <v>0.59973962460272945</v>
      </c>
      <c r="G1476">
        <v>0.6994792492054589</v>
      </c>
      <c r="H1476">
        <v>0.5</v>
      </c>
      <c r="I1476">
        <v>33413243800</v>
      </c>
      <c r="J1476">
        <v>26.65</v>
      </c>
      <c r="K1476">
        <v>15</v>
      </c>
    </row>
    <row r="1477" spans="1:11" x14ac:dyDescent="0.25">
      <c r="A1477" t="s">
        <v>429</v>
      </c>
      <c r="B1477" t="s">
        <v>88</v>
      </c>
      <c r="C1477" t="s">
        <v>89</v>
      </c>
      <c r="D1477" t="s">
        <v>32</v>
      </c>
      <c r="E1477" t="s">
        <v>33</v>
      </c>
      <c r="F1477">
        <v>0.59600101090782731</v>
      </c>
      <c r="G1477">
        <v>0.89200202181565469</v>
      </c>
      <c r="H1477">
        <v>0.3</v>
      </c>
      <c r="I1477">
        <v>102222741980</v>
      </c>
      <c r="J1477">
        <v>15.25</v>
      </c>
      <c r="K1477">
        <v>16</v>
      </c>
    </row>
    <row r="1478" spans="1:11" x14ac:dyDescent="0.25">
      <c r="A1478" t="s">
        <v>429</v>
      </c>
      <c r="B1478" t="s">
        <v>423</v>
      </c>
      <c r="C1478" t="s">
        <v>424</v>
      </c>
      <c r="D1478" t="s">
        <v>32</v>
      </c>
      <c r="E1478" t="s">
        <v>382</v>
      </c>
      <c r="F1478">
        <v>0.58585549839375817</v>
      </c>
      <c r="G1478">
        <v>0.67171099678751633</v>
      </c>
      <c r="H1478">
        <v>0.5</v>
      </c>
      <c r="I1478">
        <v>134238442800</v>
      </c>
      <c r="J1478">
        <v>21.35</v>
      </c>
      <c r="K1478">
        <v>17</v>
      </c>
    </row>
    <row r="1479" spans="1:11" x14ac:dyDescent="0.25">
      <c r="A1479" t="s">
        <v>429</v>
      </c>
      <c r="B1479" t="s">
        <v>135</v>
      </c>
      <c r="C1479" t="s">
        <v>136</v>
      </c>
      <c r="D1479" t="s">
        <v>32</v>
      </c>
      <c r="E1479" t="s">
        <v>29</v>
      </c>
      <c r="F1479">
        <v>0.57690034954447977</v>
      </c>
      <c r="G1479">
        <v>0.65380069908895944</v>
      </c>
      <c r="H1479">
        <v>0.5</v>
      </c>
      <c r="I1479">
        <v>351052542300</v>
      </c>
      <c r="J1479">
        <v>16.5</v>
      </c>
      <c r="K1479">
        <v>18</v>
      </c>
    </row>
    <row r="1480" spans="1:11" x14ac:dyDescent="0.25">
      <c r="A1480" t="s">
        <v>429</v>
      </c>
      <c r="B1480" t="s">
        <v>287</v>
      </c>
      <c r="C1480" t="s">
        <v>288</v>
      </c>
      <c r="D1480" t="s">
        <v>14</v>
      </c>
      <c r="E1480" t="s">
        <v>59</v>
      </c>
      <c r="F1480">
        <v>0.57522289662416337</v>
      </c>
      <c r="G1480">
        <v>0.95044579324832668</v>
      </c>
      <c r="H1480">
        <v>0.2</v>
      </c>
      <c r="I1480">
        <v>64423956600</v>
      </c>
      <c r="J1480">
        <v>28.5</v>
      </c>
      <c r="K1480">
        <v>19</v>
      </c>
    </row>
    <row r="1481" spans="1:11" x14ac:dyDescent="0.25">
      <c r="A1481" t="s">
        <v>429</v>
      </c>
      <c r="B1481" t="s">
        <v>430</v>
      </c>
      <c r="C1481" t="s">
        <v>431</v>
      </c>
      <c r="D1481" t="s">
        <v>32</v>
      </c>
      <c r="E1481" t="s">
        <v>317</v>
      </c>
      <c r="F1481">
        <v>0.57118487858523914</v>
      </c>
      <c r="G1481">
        <v>0.84236975717047835</v>
      </c>
      <c r="H1481">
        <v>0.3</v>
      </c>
      <c r="I1481">
        <v>69418304300</v>
      </c>
      <c r="J1481">
        <v>41</v>
      </c>
      <c r="K1481">
        <v>20</v>
      </c>
    </row>
    <row r="1482" spans="1:11" x14ac:dyDescent="0.25">
      <c r="A1482" t="s">
        <v>432</v>
      </c>
      <c r="B1482" t="s">
        <v>179</v>
      </c>
      <c r="C1482" t="s">
        <v>180</v>
      </c>
      <c r="D1482" t="s">
        <v>32</v>
      </c>
      <c r="E1482" t="s">
        <v>124</v>
      </c>
      <c r="F1482">
        <v>0.84400777454573972</v>
      </c>
      <c r="G1482">
        <v>0.83801554909147946</v>
      </c>
      <c r="H1482">
        <v>0.85</v>
      </c>
      <c r="I1482">
        <v>388863458800</v>
      </c>
      <c r="J1482">
        <v>35</v>
      </c>
      <c r="K1482">
        <v>1</v>
      </c>
    </row>
    <row r="1483" spans="1:11" x14ac:dyDescent="0.25">
      <c r="A1483" t="s">
        <v>432</v>
      </c>
      <c r="B1483" t="s">
        <v>340</v>
      </c>
      <c r="C1483" t="s">
        <v>341</v>
      </c>
      <c r="D1483" t="s">
        <v>14</v>
      </c>
      <c r="E1483" t="s">
        <v>74</v>
      </c>
      <c r="F1483">
        <v>0.75591314000099707</v>
      </c>
      <c r="G1483">
        <v>0.96182628000199422</v>
      </c>
      <c r="H1483">
        <v>0.55000000000000004</v>
      </c>
      <c r="I1483">
        <v>2271619000</v>
      </c>
      <c r="J1483">
        <v>43.8</v>
      </c>
      <c r="K1483">
        <v>2</v>
      </c>
    </row>
    <row r="1484" spans="1:11" x14ac:dyDescent="0.25">
      <c r="A1484" t="s">
        <v>432</v>
      </c>
      <c r="B1484" t="s">
        <v>309</v>
      </c>
      <c r="C1484" t="s">
        <v>310</v>
      </c>
      <c r="D1484" t="s">
        <v>32</v>
      </c>
      <c r="E1484" t="s">
        <v>33</v>
      </c>
      <c r="F1484">
        <v>0.75026901434913706</v>
      </c>
      <c r="G1484">
        <v>0.95053802869827408</v>
      </c>
      <c r="H1484">
        <v>0.55000000000000004</v>
      </c>
      <c r="I1484">
        <v>328613058300</v>
      </c>
      <c r="J1484">
        <v>15.55</v>
      </c>
      <c r="K1484">
        <v>3</v>
      </c>
    </row>
    <row r="1485" spans="1:11" x14ac:dyDescent="0.25">
      <c r="A1485" t="s">
        <v>432</v>
      </c>
      <c r="B1485" t="s">
        <v>403</v>
      </c>
      <c r="C1485" t="s">
        <v>404</v>
      </c>
      <c r="D1485" t="s">
        <v>32</v>
      </c>
      <c r="E1485" t="s">
        <v>33</v>
      </c>
      <c r="F1485">
        <v>0.74058091952172989</v>
      </c>
      <c r="G1485">
        <v>0.98116183904345977</v>
      </c>
      <c r="H1485">
        <v>0.5</v>
      </c>
      <c r="I1485">
        <v>2524741040</v>
      </c>
      <c r="J1485">
        <v>2.95</v>
      </c>
      <c r="K1485">
        <v>4</v>
      </c>
    </row>
    <row r="1486" spans="1:11" x14ac:dyDescent="0.25">
      <c r="A1486" t="s">
        <v>432</v>
      </c>
      <c r="B1486" t="s">
        <v>152</v>
      </c>
      <c r="C1486" t="s">
        <v>153</v>
      </c>
      <c r="D1486" t="s">
        <v>32</v>
      </c>
      <c r="E1486" t="s">
        <v>74</v>
      </c>
      <c r="F1486">
        <v>0.71869638702936567</v>
      </c>
      <c r="G1486">
        <v>0.88739277405873129</v>
      </c>
      <c r="H1486">
        <v>0.55000000000000004</v>
      </c>
      <c r="I1486">
        <v>578202251100</v>
      </c>
      <c r="J1486">
        <v>47.15</v>
      </c>
      <c r="K1486">
        <v>5</v>
      </c>
    </row>
    <row r="1487" spans="1:11" x14ac:dyDescent="0.25">
      <c r="A1487" t="s">
        <v>432</v>
      </c>
      <c r="B1487" t="s">
        <v>94</v>
      </c>
      <c r="C1487" t="s">
        <v>95</v>
      </c>
      <c r="D1487" t="s">
        <v>32</v>
      </c>
      <c r="E1487" t="s">
        <v>33</v>
      </c>
      <c r="F1487">
        <v>0.71333941736934026</v>
      </c>
      <c r="G1487">
        <v>0.97667883473868056</v>
      </c>
      <c r="H1487">
        <v>0.45</v>
      </c>
      <c r="I1487">
        <v>5025057040</v>
      </c>
      <c r="J1487">
        <v>2.64</v>
      </c>
      <c r="K1487">
        <v>6</v>
      </c>
    </row>
    <row r="1488" spans="1:11" x14ac:dyDescent="0.25">
      <c r="A1488" t="s">
        <v>432</v>
      </c>
      <c r="B1488" t="s">
        <v>377</v>
      </c>
      <c r="C1488" t="s">
        <v>378</v>
      </c>
      <c r="D1488" t="s">
        <v>32</v>
      </c>
      <c r="E1488" t="s">
        <v>33</v>
      </c>
      <c r="F1488">
        <v>0.69829848988820453</v>
      </c>
      <c r="G1488">
        <v>0.7965969797764092</v>
      </c>
      <c r="H1488">
        <v>0.6</v>
      </c>
      <c r="I1488">
        <v>2849013540</v>
      </c>
      <c r="J1488">
        <v>4.72</v>
      </c>
      <c r="K1488">
        <v>7</v>
      </c>
    </row>
    <row r="1489" spans="1:11" x14ac:dyDescent="0.25">
      <c r="A1489" t="s">
        <v>432</v>
      </c>
      <c r="B1489" t="s">
        <v>229</v>
      </c>
      <c r="C1489" t="s">
        <v>230</v>
      </c>
      <c r="D1489" t="s">
        <v>18</v>
      </c>
      <c r="E1489" t="s">
        <v>29</v>
      </c>
      <c r="F1489">
        <v>0.67406508220805539</v>
      </c>
      <c r="G1489">
        <v>0.94813016441611064</v>
      </c>
      <c r="H1489">
        <v>0.4</v>
      </c>
      <c r="I1489">
        <v>48439863600</v>
      </c>
      <c r="J1489">
        <v>28.5</v>
      </c>
      <c r="K1489">
        <v>8</v>
      </c>
    </row>
    <row r="1490" spans="1:11" x14ac:dyDescent="0.25">
      <c r="A1490" t="s">
        <v>432</v>
      </c>
      <c r="B1490" t="s">
        <v>360</v>
      </c>
      <c r="C1490" t="s">
        <v>361</v>
      </c>
      <c r="D1490" t="s">
        <v>18</v>
      </c>
      <c r="E1490" t="s">
        <v>59</v>
      </c>
      <c r="F1490">
        <v>0.66718109152590399</v>
      </c>
      <c r="G1490">
        <v>0.78436218305180794</v>
      </c>
      <c r="H1490">
        <v>0.55000000000000004</v>
      </c>
      <c r="I1490">
        <v>23852459400</v>
      </c>
      <c r="J1490">
        <v>22.6</v>
      </c>
      <c r="K1490">
        <v>9</v>
      </c>
    </row>
    <row r="1491" spans="1:11" x14ac:dyDescent="0.25">
      <c r="A1491" t="s">
        <v>432</v>
      </c>
      <c r="B1491" t="s">
        <v>70</v>
      </c>
      <c r="C1491" t="s">
        <v>71</v>
      </c>
      <c r="D1491" t="s">
        <v>32</v>
      </c>
      <c r="E1491" t="s">
        <v>33</v>
      </c>
      <c r="F1491">
        <v>0.65125215932485192</v>
      </c>
      <c r="G1491">
        <v>0.85250431864970377</v>
      </c>
      <c r="H1491">
        <v>0.45</v>
      </c>
      <c r="I1491">
        <v>27023554880</v>
      </c>
      <c r="J1491">
        <v>7.2</v>
      </c>
      <c r="K1491">
        <v>10</v>
      </c>
    </row>
    <row r="1492" spans="1:11" x14ac:dyDescent="0.25">
      <c r="A1492" t="s">
        <v>432</v>
      </c>
      <c r="B1492" t="s">
        <v>410</v>
      </c>
      <c r="C1492" t="s">
        <v>411</v>
      </c>
      <c r="D1492" t="s">
        <v>32</v>
      </c>
      <c r="E1492" t="s">
        <v>26</v>
      </c>
      <c r="F1492">
        <v>0.64079948287732291</v>
      </c>
      <c r="G1492">
        <v>0.48159896575464572</v>
      </c>
      <c r="H1492">
        <v>0.8</v>
      </c>
      <c r="I1492">
        <v>2976882360</v>
      </c>
      <c r="J1492">
        <v>5.14</v>
      </c>
      <c r="K1492">
        <v>11</v>
      </c>
    </row>
    <row r="1493" spans="1:11" x14ac:dyDescent="0.25">
      <c r="A1493" t="s">
        <v>432</v>
      </c>
      <c r="B1493" t="s">
        <v>397</v>
      </c>
      <c r="C1493" t="s">
        <v>398</v>
      </c>
      <c r="D1493" t="s">
        <v>32</v>
      </c>
      <c r="E1493" t="s">
        <v>42</v>
      </c>
      <c r="F1493">
        <v>0.64058481703718351</v>
      </c>
      <c r="G1493">
        <v>0.63116963407436688</v>
      </c>
      <c r="H1493">
        <v>0.65</v>
      </c>
      <c r="I1493">
        <v>2573954300</v>
      </c>
      <c r="J1493">
        <v>15.45</v>
      </c>
      <c r="K1493">
        <v>12</v>
      </c>
    </row>
    <row r="1494" spans="1:11" x14ac:dyDescent="0.25">
      <c r="A1494" t="s">
        <v>432</v>
      </c>
      <c r="B1494" t="s">
        <v>384</v>
      </c>
      <c r="C1494" t="s">
        <v>385</v>
      </c>
      <c r="D1494" t="s">
        <v>14</v>
      </c>
      <c r="E1494" t="s">
        <v>26</v>
      </c>
      <c r="F1494">
        <v>0.63296076520819411</v>
      </c>
      <c r="G1494">
        <v>0.96592153041638817</v>
      </c>
      <c r="H1494">
        <v>0.3</v>
      </c>
      <c r="I1494">
        <v>5948465000</v>
      </c>
      <c r="J1494">
        <v>9.4</v>
      </c>
      <c r="K1494">
        <v>13</v>
      </c>
    </row>
    <row r="1495" spans="1:11" x14ac:dyDescent="0.25">
      <c r="A1495" t="s">
        <v>432</v>
      </c>
      <c r="B1495" t="s">
        <v>287</v>
      </c>
      <c r="C1495" t="s">
        <v>288</v>
      </c>
      <c r="D1495" t="s">
        <v>14</v>
      </c>
      <c r="E1495" t="s">
        <v>59</v>
      </c>
      <c r="F1495">
        <v>0.61830513841372281</v>
      </c>
      <c r="G1495">
        <v>0.93661027682744558</v>
      </c>
      <c r="H1495">
        <v>0.3</v>
      </c>
      <c r="I1495">
        <v>64769159800</v>
      </c>
      <c r="J1495">
        <v>28.3</v>
      </c>
      <c r="K1495">
        <v>14</v>
      </c>
    </row>
    <row r="1496" spans="1:11" x14ac:dyDescent="0.25">
      <c r="A1496" t="s">
        <v>432</v>
      </c>
      <c r="B1496" t="s">
        <v>301</v>
      </c>
      <c r="C1496" t="s">
        <v>302</v>
      </c>
      <c r="D1496" t="s">
        <v>32</v>
      </c>
      <c r="E1496" t="s">
        <v>74</v>
      </c>
      <c r="F1496">
        <v>0.61293900380074973</v>
      </c>
      <c r="G1496">
        <v>0.92587800760149941</v>
      </c>
      <c r="H1496">
        <v>0.3</v>
      </c>
      <c r="I1496">
        <v>8828832000</v>
      </c>
      <c r="J1496">
        <v>17.100000000000001</v>
      </c>
      <c r="K1496">
        <v>15</v>
      </c>
    </row>
    <row r="1497" spans="1:11" x14ac:dyDescent="0.25">
      <c r="A1497" t="s">
        <v>432</v>
      </c>
      <c r="B1497" t="s">
        <v>430</v>
      </c>
      <c r="C1497" t="s">
        <v>431</v>
      </c>
      <c r="D1497" t="s">
        <v>32</v>
      </c>
      <c r="E1497" t="s">
        <v>317</v>
      </c>
      <c r="F1497">
        <v>0.60634565289224884</v>
      </c>
      <c r="G1497">
        <v>0.9626913057844978</v>
      </c>
      <c r="H1497">
        <v>0.25</v>
      </c>
      <c r="I1497">
        <v>72955545400</v>
      </c>
      <c r="J1497">
        <v>43.85</v>
      </c>
      <c r="K1497">
        <v>16</v>
      </c>
    </row>
    <row r="1498" spans="1:11" x14ac:dyDescent="0.25">
      <c r="A1498" t="s">
        <v>432</v>
      </c>
      <c r="B1498" t="s">
        <v>423</v>
      </c>
      <c r="C1498" t="s">
        <v>424</v>
      </c>
      <c r="D1498" t="s">
        <v>32</v>
      </c>
      <c r="E1498" t="s">
        <v>382</v>
      </c>
      <c r="F1498">
        <v>0.60394000724184538</v>
      </c>
      <c r="G1498">
        <v>0.65788001448369071</v>
      </c>
      <c r="H1498">
        <v>0.55000000000000004</v>
      </c>
      <c r="I1498">
        <v>133879888800</v>
      </c>
      <c r="J1498">
        <v>21.3</v>
      </c>
      <c r="K1498">
        <v>17</v>
      </c>
    </row>
    <row r="1499" spans="1:11" x14ac:dyDescent="0.25">
      <c r="A1499" t="s">
        <v>432</v>
      </c>
      <c r="B1499" t="s">
        <v>82</v>
      </c>
      <c r="C1499" t="s">
        <v>83</v>
      </c>
      <c r="D1499" t="s">
        <v>32</v>
      </c>
      <c r="E1499" t="s">
        <v>39</v>
      </c>
      <c r="F1499">
        <v>0.57800940254147481</v>
      </c>
      <c r="G1499">
        <v>0.80601880508294976</v>
      </c>
      <c r="H1499">
        <v>0.35</v>
      </c>
      <c r="I1499">
        <v>33776701800</v>
      </c>
      <c r="J1499">
        <v>19.100000000000001</v>
      </c>
      <c r="K1499">
        <v>18</v>
      </c>
    </row>
    <row r="1500" spans="1:11" x14ac:dyDescent="0.25">
      <c r="A1500" t="s">
        <v>432</v>
      </c>
      <c r="B1500" t="s">
        <v>433</v>
      </c>
      <c r="C1500" t="s">
        <v>434</v>
      </c>
      <c r="D1500" t="s">
        <v>18</v>
      </c>
      <c r="E1500" t="s">
        <v>382</v>
      </c>
      <c r="F1500">
        <v>0.55515970879731835</v>
      </c>
      <c r="G1500">
        <v>0.96031941759463668</v>
      </c>
      <c r="H1500">
        <v>0.15</v>
      </c>
      <c r="I1500">
        <v>10872080400</v>
      </c>
      <c r="J1500">
        <v>12.4</v>
      </c>
      <c r="K1500">
        <v>19</v>
      </c>
    </row>
    <row r="1501" spans="1:11" x14ac:dyDescent="0.25">
      <c r="A1501" t="s">
        <v>432</v>
      </c>
      <c r="B1501" t="s">
        <v>88</v>
      </c>
      <c r="C1501" t="s">
        <v>89</v>
      </c>
      <c r="D1501" t="s">
        <v>32</v>
      </c>
      <c r="E1501" t="s">
        <v>33</v>
      </c>
      <c r="F1501">
        <v>0.54850959443583758</v>
      </c>
      <c r="G1501">
        <v>0.84701918887167504</v>
      </c>
      <c r="H1501">
        <v>0.25</v>
      </c>
      <c r="I1501">
        <v>100678945180</v>
      </c>
      <c r="J1501">
        <v>15.05</v>
      </c>
      <c r="K1501">
        <v>20</v>
      </c>
    </row>
    <row r="1502" spans="1:11" x14ac:dyDescent="0.25">
      <c r="A1502" t="s">
        <v>435</v>
      </c>
      <c r="B1502" t="s">
        <v>179</v>
      </c>
      <c r="C1502" t="s">
        <v>180</v>
      </c>
      <c r="D1502" t="s">
        <v>32</v>
      </c>
      <c r="E1502" t="s">
        <v>124</v>
      </c>
      <c r="F1502">
        <v>0.83030231099887897</v>
      </c>
      <c r="G1502">
        <v>0.81060462199775807</v>
      </c>
      <c r="H1502">
        <v>0.85</v>
      </c>
      <c r="I1502">
        <v>391059796900</v>
      </c>
      <c r="J1502">
        <v>35.1</v>
      </c>
      <c r="K1502">
        <v>1</v>
      </c>
    </row>
    <row r="1503" spans="1:11" x14ac:dyDescent="0.25">
      <c r="A1503" t="s">
        <v>435</v>
      </c>
      <c r="B1503" t="s">
        <v>397</v>
      </c>
      <c r="C1503" t="s">
        <v>398</v>
      </c>
      <c r="D1503" t="s">
        <v>32</v>
      </c>
      <c r="E1503" t="s">
        <v>42</v>
      </c>
      <c r="F1503">
        <v>0.75792504977334529</v>
      </c>
      <c r="G1503">
        <v>0.81585009954669063</v>
      </c>
      <c r="H1503">
        <v>0.7</v>
      </c>
      <c r="I1503">
        <v>2674445700</v>
      </c>
      <c r="J1503">
        <v>15.7</v>
      </c>
      <c r="K1503">
        <v>2</v>
      </c>
    </row>
    <row r="1504" spans="1:11" x14ac:dyDescent="0.25">
      <c r="A1504" t="s">
        <v>435</v>
      </c>
      <c r="B1504" t="s">
        <v>340</v>
      </c>
      <c r="C1504" t="s">
        <v>341</v>
      </c>
      <c r="D1504" t="s">
        <v>14</v>
      </c>
      <c r="E1504" t="s">
        <v>74</v>
      </c>
      <c r="F1504">
        <v>0.7536650658258498</v>
      </c>
      <c r="G1504">
        <v>0.95733013165169956</v>
      </c>
      <c r="H1504">
        <v>0.55000000000000004</v>
      </c>
      <c r="I1504">
        <v>2266305200</v>
      </c>
      <c r="J1504">
        <v>43.7</v>
      </c>
      <c r="K1504">
        <v>3</v>
      </c>
    </row>
    <row r="1505" spans="1:11" x14ac:dyDescent="0.25">
      <c r="A1505" t="s">
        <v>435</v>
      </c>
      <c r="B1505" t="s">
        <v>403</v>
      </c>
      <c r="C1505" t="s">
        <v>404</v>
      </c>
      <c r="D1505" t="s">
        <v>32</v>
      </c>
      <c r="E1505" t="s">
        <v>33</v>
      </c>
      <c r="F1505">
        <v>0.72635069219180237</v>
      </c>
      <c r="G1505">
        <v>0.95270138438360485</v>
      </c>
      <c r="H1505">
        <v>0.5</v>
      </c>
      <c r="I1505">
        <v>2568110080</v>
      </c>
      <c r="J1505">
        <v>2.86</v>
      </c>
      <c r="K1505">
        <v>4</v>
      </c>
    </row>
    <row r="1506" spans="1:11" x14ac:dyDescent="0.25">
      <c r="A1506" t="s">
        <v>435</v>
      </c>
      <c r="B1506" t="s">
        <v>309</v>
      </c>
      <c r="C1506" t="s">
        <v>310</v>
      </c>
      <c r="D1506" t="s">
        <v>32</v>
      </c>
      <c r="E1506" t="s">
        <v>33</v>
      </c>
      <c r="F1506">
        <v>0.72513386149143955</v>
      </c>
      <c r="G1506">
        <v>0.9502677229828792</v>
      </c>
      <c r="H1506">
        <v>0.5</v>
      </c>
      <c r="I1506">
        <v>334636907740</v>
      </c>
      <c r="J1506">
        <v>15.45</v>
      </c>
      <c r="K1506">
        <v>5</v>
      </c>
    </row>
    <row r="1507" spans="1:11" x14ac:dyDescent="0.25">
      <c r="A1507" t="s">
        <v>435</v>
      </c>
      <c r="B1507" t="s">
        <v>94</v>
      </c>
      <c r="C1507" t="s">
        <v>95</v>
      </c>
      <c r="D1507" t="s">
        <v>32</v>
      </c>
      <c r="E1507" t="s">
        <v>33</v>
      </c>
      <c r="F1507">
        <v>0.70252520359804771</v>
      </c>
      <c r="G1507">
        <v>0.95505040719609535</v>
      </c>
      <c r="H1507">
        <v>0.45</v>
      </c>
      <c r="I1507">
        <v>5174606060</v>
      </c>
      <c r="J1507">
        <v>2.57</v>
      </c>
      <c r="K1507">
        <v>6</v>
      </c>
    </row>
    <row r="1508" spans="1:11" x14ac:dyDescent="0.25">
      <c r="A1508" t="s">
        <v>435</v>
      </c>
      <c r="B1508" t="s">
        <v>384</v>
      </c>
      <c r="C1508" t="s">
        <v>385</v>
      </c>
      <c r="D1508" t="s">
        <v>14</v>
      </c>
      <c r="E1508" t="s">
        <v>26</v>
      </c>
      <c r="F1508">
        <v>0.68275490695834573</v>
      </c>
      <c r="G1508">
        <v>0.96550981391669144</v>
      </c>
      <c r="H1508">
        <v>0.4</v>
      </c>
      <c r="I1508">
        <v>6020272000</v>
      </c>
      <c r="J1508">
        <v>9.4</v>
      </c>
      <c r="K1508">
        <v>7</v>
      </c>
    </row>
    <row r="1509" spans="1:11" x14ac:dyDescent="0.25">
      <c r="A1509" t="s">
        <v>435</v>
      </c>
      <c r="B1509" t="s">
        <v>70</v>
      </c>
      <c r="C1509" t="s">
        <v>71</v>
      </c>
      <c r="D1509" t="s">
        <v>32</v>
      </c>
      <c r="E1509" t="s">
        <v>33</v>
      </c>
      <c r="F1509">
        <v>0.67758378760559035</v>
      </c>
      <c r="G1509">
        <v>0.75516757521118072</v>
      </c>
      <c r="H1509">
        <v>0.6</v>
      </c>
      <c r="I1509">
        <v>27177757020</v>
      </c>
      <c r="J1509">
        <v>7.12</v>
      </c>
      <c r="K1509">
        <v>8</v>
      </c>
    </row>
    <row r="1510" spans="1:11" x14ac:dyDescent="0.25">
      <c r="A1510" t="s">
        <v>435</v>
      </c>
      <c r="B1510" t="s">
        <v>377</v>
      </c>
      <c r="C1510" t="s">
        <v>378</v>
      </c>
      <c r="D1510" t="s">
        <v>32</v>
      </c>
      <c r="E1510" t="s">
        <v>33</v>
      </c>
      <c r="F1510">
        <v>0.66750054854133944</v>
      </c>
      <c r="G1510">
        <v>0.7350010970826788</v>
      </c>
      <c r="H1510">
        <v>0.6</v>
      </c>
      <c r="I1510">
        <v>2880248580</v>
      </c>
      <c r="J1510">
        <v>4.51</v>
      </c>
      <c r="K1510">
        <v>9</v>
      </c>
    </row>
    <row r="1511" spans="1:11" x14ac:dyDescent="0.25">
      <c r="A1511" t="s">
        <v>435</v>
      </c>
      <c r="B1511" t="s">
        <v>122</v>
      </c>
      <c r="C1511" t="s">
        <v>123</v>
      </c>
      <c r="D1511" t="s">
        <v>32</v>
      </c>
      <c r="E1511" t="s">
        <v>124</v>
      </c>
      <c r="F1511">
        <v>0.65869295350763046</v>
      </c>
      <c r="G1511">
        <v>0.76738590701526099</v>
      </c>
      <c r="H1511">
        <v>0.55000000000000004</v>
      </c>
      <c r="I1511">
        <v>102036228400</v>
      </c>
      <c r="J1511">
        <v>98.5</v>
      </c>
      <c r="K1511">
        <v>10</v>
      </c>
    </row>
    <row r="1512" spans="1:11" x14ac:dyDescent="0.25">
      <c r="A1512" t="s">
        <v>435</v>
      </c>
      <c r="B1512" t="s">
        <v>360</v>
      </c>
      <c r="C1512" t="s">
        <v>361</v>
      </c>
      <c r="D1512" t="s">
        <v>18</v>
      </c>
      <c r="E1512" t="s">
        <v>59</v>
      </c>
      <c r="F1512">
        <v>0.65841315259471089</v>
      </c>
      <c r="G1512">
        <v>0.76682630518942174</v>
      </c>
      <c r="H1512">
        <v>0.55000000000000004</v>
      </c>
      <c r="I1512">
        <v>24152584400</v>
      </c>
      <c r="J1512">
        <v>22.6</v>
      </c>
      <c r="K1512">
        <v>11</v>
      </c>
    </row>
    <row r="1513" spans="1:11" x14ac:dyDescent="0.25">
      <c r="A1513" t="s">
        <v>435</v>
      </c>
      <c r="B1513" t="s">
        <v>229</v>
      </c>
      <c r="C1513" t="s">
        <v>230</v>
      </c>
      <c r="D1513" t="s">
        <v>18</v>
      </c>
      <c r="E1513" t="s">
        <v>29</v>
      </c>
      <c r="F1513">
        <v>0.65353154351097498</v>
      </c>
      <c r="G1513">
        <v>0.95706308702194998</v>
      </c>
      <c r="H1513">
        <v>0.35</v>
      </c>
      <c r="I1513">
        <v>50697414600</v>
      </c>
      <c r="J1513">
        <v>29.5</v>
      </c>
      <c r="K1513">
        <v>12</v>
      </c>
    </row>
    <row r="1514" spans="1:11" x14ac:dyDescent="0.25">
      <c r="A1514" t="s">
        <v>435</v>
      </c>
      <c r="B1514" t="s">
        <v>82</v>
      </c>
      <c r="C1514" t="s">
        <v>83</v>
      </c>
      <c r="D1514" t="s">
        <v>32</v>
      </c>
      <c r="E1514" t="s">
        <v>39</v>
      </c>
      <c r="F1514">
        <v>0.62692430922596587</v>
      </c>
      <c r="G1514">
        <v>0.80384861845193178</v>
      </c>
      <c r="H1514">
        <v>0.45</v>
      </c>
      <c r="I1514">
        <v>33283601600</v>
      </c>
      <c r="J1514">
        <v>19</v>
      </c>
      <c r="K1514">
        <v>13</v>
      </c>
    </row>
    <row r="1515" spans="1:11" x14ac:dyDescent="0.25">
      <c r="A1515" t="s">
        <v>435</v>
      </c>
      <c r="B1515" t="s">
        <v>186</v>
      </c>
      <c r="C1515" t="s">
        <v>187</v>
      </c>
      <c r="D1515" t="s">
        <v>32</v>
      </c>
      <c r="E1515" t="s">
        <v>74</v>
      </c>
      <c r="F1515">
        <v>0.62129450291792376</v>
      </c>
      <c r="G1515">
        <v>0.94258900583584759</v>
      </c>
      <c r="H1515">
        <v>0.3</v>
      </c>
      <c r="I1515">
        <v>16091095000</v>
      </c>
      <c r="J1515">
        <v>14.7</v>
      </c>
      <c r="K1515">
        <v>14</v>
      </c>
    </row>
    <row r="1516" spans="1:11" x14ac:dyDescent="0.25">
      <c r="A1516" t="s">
        <v>435</v>
      </c>
      <c r="B1516" t="s">
        <v>152</v>
      </c>
      <c r="C1516" t="s">
        <v>153</v>
      </c>
      <c r="D1516" t="s">
        <v>32</v>
      </c>
      <c r="E1516" t="s">
        <v>74</v>
      </c>
      <c r="F1516">
        <v>0.60993363561357905</v>
      </c>
      <c r="G1516">
        <v>0.86986727122715812</v>
      </c>
      <c r="H1516">
        <v>0.35</v>
      </c>
      <c r="I1516">
        <v>553318557900</v>
      </c>
      <c r="J1516">
        <v>46.6</v>
      </c>
      <c r="K1516">
        <v>15</v>
      </c>
    </row>
    <row r="1517" spans="1:11" x14ac:dyDescent="0.25">
      <c r="A1517" t="s">
        <v>435</v>
      </c>
      <c r="B1517" t="s">
        <v>301</v>
      </c>
      <c r="C1517" t="s">
        <v>302</v>
      </c>
      <c r="D1517" t="s">
        <v>32</v>
      </c>
      <c r="E1517" t="s">
        <v>74</v>
      </c>
      <c r="F1517">
        <v>0.59883455057426294</v>
      </c>
      <c r="G1517">
        <v>0.94766910114852598</v>
      </c>
      <c r="H1517">
        <v>0.25</v>
      </c>
      <c r="I1517">
        <v>9104735600</v>
      </c>
      <c r="J1517">
        <v>17.5</v>
      </c>
      <c r="K1517">
        <v>16</v>
      </c>
    </row>
    <row r="1518" spans="1:11" x14ac:dyDescent="0.25">
      <c r="A1518" t="s">
        <v>435</v>
      </c>
      <c r="B1518" t="s">
        <v>430</v>
      </c>
      <c r="C1518" t="s">
        <v>431</v>
      </c>
      <c r="D1518" t="s">
        <v>32</v>
      </c>
      <c r="E1518" t="s">
        <v>317</v>
      </c>
      <c r="F1518">
        <v>0.59627522902431029</v>
      </c>
      <c r="G1518">
        <v>0.94255045804862048</v>
      </c>
      <c r="H1518">
        <v>0.25</v>
      </c>
      <c r="I1518">
        <v>74922608600</v>
      </c>
      <c r="J1518">
        <v>44.5</v>
      </c>
      <c r="K1518">
        <v>17</v>
      </c>
    </row>
    <row r="1519" spans="1:11" x14ac:dyDescent="0.25">
      <c r="A1519" t="s">
        <v>435</v>
      </c>
      <c r="B1519" t="s">
        <v>287</v>
      </c>
      <c r="C1519" t="s">
        <v>288</v>
      </c>
      <c r="D1519" t="s">
        <v>14</v>
      </c>
      <c r="E1519" t="s">
        <v>59</v>
      </c>
      <c r="F1519">
        <v>0.59187250396472202</v>
      </c>
      <c r="G1519">
        <v>0.8837450079294441</v>
      </c>
      <c r="H1519">
        <v>0.3</v>
      </c>
      <c r="I1519">
        <v>64137187800</v>
      </c>
      <c r="J1519">
        <v>27.8</v>
      </c>
      <c r="K1519">
        <v>18</v>
      </c>
    </row>
    <row r="1520" spans="1:11" x14ac:dyDescent="0.25">
      <c r="A1520" t="s">
        <v>435</v>
      </c>
      <c r="B1520" t="s">
        <v>436</v>
      </c>
      <c r="C1520" t="s">
        <v>437</v>
      </c>
      <c r="D1520" t="s">
        <v>18</v>
      </c>
      <c r="E1520" t="s">
        <v>26</v>
      </c>
      <c r="F1520">
        <v>0.58557673099145169</v>
      </c>
      <c r="G1520">
        <v>0.67115346198290338</v>
      </c>
      <c r="H1520">
        <v>0.5</v>
      </c>
      <c r="I1520">
        <v>13548678400</v>
      </c>
      <c r="J1520">
        <v>6.1</v>
      </c>
      <c r="K1520">
        <v>19</v>
      </c>
    </row>
    <row r="1521" spans="1:11" x14ac:dyDescent="0.25">
      <c r="A1521" t="s">
        <v>435</v>
      </c>
      <c r="B1521" t="s">
        <v>188</v>
      </c>
      <c r="C1521" t="s">
        <v>189</v>
      </c>
      <c r="D1521" t="s">
        <v>32</v>
      </c>
      <c r="E1521" t="s">
        <v>29</v>
      </c>
      <c r="F1521">
        <v>0.57834806748842205</v>
      </c>
      <c r="G1521">
        <v>0.556696134976844</v>
      </c>
      <c r="H1521">
        <v>0.6</v>
      </c>
      <c r="I1521">
        <v>10095204980</v>
      </c>
      <c r="J1521">
        <v>12.1</v>
      </c>
      <c r="K1521">
        <v>20</v>
      </c>
    </row>
    <row r="1522" spans="1:11" x14ac:dyDescent="0.25">
      <c r="A1522" t="s">
        <v>438</v>
      </c>
      <c r="B1522" t="s">
        <v>340</v>
      </c>
      <c r="C1522" t="s">
        <v>341</v>
      </c>
      <c r="D1522" t="s">
        <v>14</v>
      </c>
      <c r="E1522" t="s">
        <v>74</v>
      </c>
      <c r="F1522">
        <v>0.71790114842557073</v>
      </c>
      <c r="G1522">
        <v>0.88580229685114142</v>
      </c>
      <c r="H1522">
        <v>0.55000000000000004</v>
      </c>
      <c r="I1522">
        <v>2266137600</v>
      </c>
      <c r="J1522">
        <v>43.6</v>
      </c>
      <c r="K1522">
        <v>1</v>
      </c>
    </row>
    <row r="1523" spans="1:11" x14ac:dyDescent="0.25">
      <c r="A1523" t="s">
        <v>438</v>
      </c>
      <c r="B1523" t="s">
        <v>179</v>
      </c>
      <c r="C1523" t="s">
        <v>180</v>
      </c>
      <c r="D1523" t="s">
        <v>32</v>
      </c>
      <c r="E1523" t="s">
        <v>124</v>
      </c>
      <c r="F1523">
        <v>0.69798081014920554</v>
      </c>
      <c r="G1523">
        <v>0.84596162029841115</v>
      </c>
      <c r="H1523">
        <v>0.55000000000000004</v>
      </c>
      <c r="I1523">
        <v>394351241800</v>
      </c>
      <c r="J1523">
        <v>35.9</v>
      </c>
      <c r="K1523">
        <v>2</v>
      </c>
    </row>
    <row r="1524" spans="1:11" x14ac:dyDescent="0.25">
      <c r="A1524" t="s">
        <v>438</v>
      </c>
      <c r="B1524" t="s">
        <v>94</v>
      </c>
      <c r="C1524" t="s">
        <v>95</v>
      </c>
      <c r="D1524" t="s">
        <v>32</v>
      </c>
      <c r="E1524" t="s">
        <v>33</v>
      </c>
      <c r="F1524">
        <v>0.67230584120075954</v>
      </c>
      <c r="G1524">
        <v>0.89461168240151911</v>
      </c>
      <c r="H1524">
        <v>0.45</v>
      </c>
      <c r="I1524">
        <v>5282823060</v>
      </c>
      <c r="J1524">
        <v>2.4500000000000002</v>
      </c>
      <c r="K1524">
        <v>3</v>
      </c>
    </row>
    <row r="1525" spans="1:11" x14ac:dyDescent="0.25">
      <c r="A1525" t="s">
        <v>438</v>
      </c>
      <c r="B1525" t="s">
        <v>423</v>
      </c>
      <c r="C1525" t="s">
        <v>424</v>
      </c>
      <c r="D1525" t="s">
        <v>32</v>
      </c>
      <c r="E1525" t="s">
        <v>382</v>
      </c>
      <c r="F1525">
        <v>0.67220871707429208</v>
      </c>
      <c r="G1525">
        <v>0.74441743414858408</v>
      </c>
      <c r="H1525">
        <v>0.6</v>
      </c>
      <c r="I1525">
        <v>139359017100</v>
      </c>
      <c r="J1525">
        <v>21.7</v>
      </c>
      <c r="K1525">
        <v>4</v>
      </c>
    </row>
    <row r="1526" spans="1:11" x14ac:dyDescent="0.25">
      <c r="A1526" t="s">
        <v>438</v>
      </c>
      <c r="B1526" t="s">
        <v>70</v>
      </c>
      <c r="C1526" t="s">
        <v>71</v>
      </c>
      <c r="D1526" t="s">
        <v>32</v>
      </c>
      <c r="E1526" t="s">
        <v>33</v>
      </c>
      <c r="F1526">
        <v>0.65576389954738823</v>
      </c>
      <c r="G1526">
        <v>0.71152779909477659</v>
      </c>
      <c r="H1526">
        <v>0.6</v>
      </c>
      <c r="I1526">
        <v>26902282380</v>
      </c>
      <c r="J1526">
        <v>7.05</v>
      </c>
      <c r="K1526">
        <v>5</v>
      </c>
    </row>
    <row r="1527" spans="1:11" x14ac:dyDescent="0.25">
      <c r="A1527" t="s">
        <v>438</v>
      </c>
      <c r="B1527" t="s">
        <v>229</v>
      </c>
      <c r="C1527" t="s">
        <v>230</v>
      </c>
      <c r="D1527" t="s">
        <v>18</v>
      </c>
      <c r="E1527" t="s">
        <v>29</v>
      </c>
      <c r="F1527">
        <v>0.64824038880381685</v>
      </c>
      <c r="G1527">
        <v>0.94648077760763372</v>
      </c>
      <c r="H1527">
        <v>0.35</v>
      </c>
      <c r="I1527">
        <v>53078263800</v>
      </c>
      <c r="J1527">
        <v>28.6</v>
      </c>
      <c r="K1527">
        <v>6</v>
      </c>
    </row>
    <row r="1528" spans="1:11" x14ac:dyDescent="0.25">
      <c r="A1528" t="s">
        <v>438</v>
      </c>
      <c r="B1528" t="s">
        <v>433</v>
      </c>
      <c r="C1528" t="s">
        <v>434</v>
      </c>
      <c r="D1528" t="s">
        <v>18</v>
      </c>
      <c r="E1528" t="s">
        <v>382</v>
      </c>
      <c r="F1528">
        <v>0.64165534734227059</v>
      </c>
      <c r="G1528">
        <v>0.98331069468454113</v>
      </c>
      <c r="H1528">
        <v>0.3</v>
      </c>
      <c r="I1528">
        <v>12500435800</v>
      </c>
      <c r="J1528">
        <v>13.3</v>
      </c>
      <c r="K1528">
        <v>7</v>
      </c>
    </row>
    <row r="1529" spans="1:11" x14ac:dyDescent="0.25">
      <c r="A1529" t="s">
        <v>438</v>
      </c>
      <c r="B1529" t="s">
        <v>287</v>
      </c>
      <c r="C1529" t="s">
        <v>288</v>
      </c>
      <c r="D1529" t="s">
        <v>14</v>
      </c>
      <c r="E1529" t="s">
        <v>59</v>
      </c>
      <c r="F1529">
        <v>0.63563794387580086</v>
      </c>
      <c r="G1529">
        <v>0.87127588775160181</v>
      </c>
      <c r="H1529">
        <v>0.4</v>
      </c>
      <c r="I1529">
        <v>64652573200</v>
      </c>
      <c r="J1529">
        <v>27.8</v>
      </c>
      <c r="K1529">
        <v>8</v>
      </c>
    </row>
    <row r="1530" spans="1:11" x14ac:dyDescent="0.25">
      <c r="A1530" t="s">
        <v>438</v>
      </c>
      <c r="B1530" t="s">
        <v>143</v>
      </c>
      <c r="C1530" t="s">
        <v>144</v>
      </c>
      <c r="D1530" t="s">
        <v>32</v>
      </c>
      <c r="E1530" t="s">
        <v>26</v>
      </c>
      <c r="F1530">
        <v>0.62799197278305596</v>
      </c>
      <c r="G1530">
        <v>0.95598394556611188</v>
      </c>
      <c r="H1530">
        <v>0.3</v>
      </c>
      <c r="I1530">
        <v>38822480700</v>
      </c>
      <c r="J1530">
        <v>25.1</v>
      </c>
      <c r="K1530">
        <v>9</v>
      </c>
    </row>
    <row r="1531" spans="1:11" x14ac:dyDescent="0.25">
      <c r="A1531" t="s">
        <v>438</v>
      </c>
      <c r="B1531" t="s">
        <v>82</v>
      </c>
      <c r="C1531" t="s">
        <v>83</v>
      </c>
      <c r="D1531" t="s">
        <v>32</v>
      </c>
      <c r="E1531" t="s">
        <v>39</v>
      </c>
      <c r="F1531">
        <v>0.62787185057324346</v>
      </c>
      <c r="G1531">
        <v>0.80574370114648697</v>
      </c>
      <c r="H1531">
        <v>0.45</v>
      </c>
      <c r="I1531">
        <v>33093169000</v>
      </c>
      <c r="J1531">
        <v>19.100000000000001</v>
      </c>
      <c r="K1531">
        <v>10</v>
      </c>
    </row>
    <row r="1532" spans="1:11" x14ac:dyDescent="0.25">
      <c r="A1532" t="s">
        <v>438</v>
      </c>
      <c r="B1532" t="s">
        <v>152</v>
      </c>
      <c r="C1532" t="s">
        <v>153</v>
      </c>
      <c r="D1532" t="s">
        <v>32</v>
      </c>
      <c r="E1532" t="s">
        <v>74</v>
      </c>
      <c r="F1532">
        <v>0.619068704946103</v>
      </c>
      <c r="G1532">
        <v>0.83813740989220586</v>
      </c>
      <c r="H1532">
        <v>0.4</v>
      </c>
      <c r="I1532">
        <v>539001503900</v>
      </c>
      <c r="J1532">
        <v>46.45</v>
      </c>
      <c r="K1532">
        <v>11</v>
      </c>
    </row>
    <row r="1533" spans="1:11" x14ac:dyDescent="0.25">
      <c r="A1533" t="s">
        <v>438</v>
      </c>
      <c r="B1533" t="s">
        <v>403</v>
      </c>
      <c r="C1533" t="s">
        <v>404</v>
      </c>
      <c r="D1533" t="s">
        <v>32</v>
      </c>
      <c r="E1533" t="s">
        <v>33</v>
      </c>
      <c r="F1533">
        <v>0.61240336786966787</v>
      </c>
      <c r="G1533">
        <v>0.92480673573933569</v>
      </c>
      <c r="H1533">
        <v>0.3</v>
      </c>
      <c r="I1533">
        <v>2632097080</v>
      </c>
      <c r="J1533">
        <v>2.75</v>
      </c>
      <c r="K1533">
        <v>12</v>
      </c>
    </row>
    <row r="1534" spans="1:11" x14ac:dyDescent="0.25">
      <c r="A1534" t="s">
        <v>438</v>
      </c>
      <c r="B1534" t="s">
        <v>384</v>
      </c>
      <c r="C1534" t="s">
        <v>385</v>
      </c>
      <c r="D1534" t="s">
        <v>14</v>
      </c>
      <c r="E1534" t="s">
        <v>26</v>
      </c>
      <c r="F1534">
        <v>0.60806939058307652</v>
      </c>
      <c r="G1534">
        <v>0.96613878116615304</v>
      </c>
      <c r="H1534">
        <v>0.25</v>
      </c>
      <c r="I1534">
        <v>6273166600</v>
      </c>
      <c r="J1534">
        <v>9.1</v>
      </c>
      <c r="K1534">
        <v>13</v>
      </c>
    </row>
    <row r="1535" spans="1:11" x14ac:dyDescent="0.25">
      <c r="A1535" t="s">
        <v>438</v>
      </c>
      <c r="B1535" t="s">
        <v>122</v>
      </c>
      <c r="C1535" t="s">
        <v>123</v>
      </c>
      <c r="D1535" t="s">
        <v>32</v>
      </c>
      <c r="E1535" t="s">
        <v>124</v>
      </c>
      <c r="F1535">
        <v>0.59029253002607662</v>
      </c>
      <c r="G1535">
        <v>0.83058506005215316</v>
      </c>
      <c r="H1535">
        <v>0.35</v>
      </c>
      <c r="I1535">
        <v>104676565200</v>
      </c>
      <c r="J1535">
        <v>99.8</v>
      </c>
      <c r="K1535">
        <v>14</v>
      </c>
    </row>
    <row r="1536" spans="1:11" x14ac:dyDescent="0.25">
      <c r="A1536" t="s">
        <v>438</v>
      </c>
      <c r="B1536" t="s">
        <v>439</v>
      </c>
      <c r="C1536" t="s">
        <v>440</v>
      </c>
      <c r="D1536" t="s">
        <v>32</v>
      </c>
      <c r="E1536" t="s">
        <v>33</v>
      </c>
      <c r="F1536">
        <v>0.58161764457187981</v>
      </c>
      <c r="G1536">
        <v>0.86323528914375958</v>
      </c>
      <c r="H1536">
        <v>0.3</v>
      </c>
      <c r="I1536">
        <v>49935678200</v>
      </c>
      <c r="J1536">
        <v>6.33</v>
      </c>
      <c r="K1536">
        <v>15</v>
      </c>
    </row>
    <row r="1537" spans="1:11" x14ac:dyDescent="0.25">
      <c r="A1537" t="s">
        <v>438</v>
      </c>
      <c r="B1537" t="s">
        <v>377</v>
      </c>
      <c r="C1537" t="s">
        <v>378</v>
      </c>
      <c r="D1537" t="s">
        <v>32</v>
      </c>
      <c r="E1537" t="s">
        <v>33</v>
      </c>
      <c r="F1537">
        <v>0.57443788361712933</v>
      </c>
      <c r="G1537">
        <v>0.54887576723425857</v>
      </c>
      <c r="H1537">
        <v>0.6</v>
      </c>
      <c r="I1537">
        <v>2892763140</v>
      </c>
      <c r="J1537">
        <v>4.3899999999999997</v>
      </c>
      <c r="K1537">
        <v>16</v>
      </c>
    </row>
    <row r="1538" spans="1:11" x14ac:dyDescent="0.25">
      <c r="A1538" t="s">
        <v>438</v>
      </c>
      <c r="B1538" t="s">
        <v>436</v>
      </c>
      <c r="C1538" t="s">
        <v>437</v>
      </c>
      <c r="D1538" t="s">
        <v>18</v>
      </c>
      <c r="E1538" t="s">
        <v>26</v>
      </c>
      <c r="F1538">
        <v>0.56599822796555488</v>
      </c>
      <c r="G1538">
        <v>0.53199645593110978</v>
      </c>
      <c r="H1538">
        <v>0.6</v>
      </c>
      <c r="I1538">
        <v>13680212400</v>
      </c>
      <c r="J1538">
        <v>6</v>
      </c>
      <c r="K1538">
        <v>17</v>
      </c>
    </row>
    <row r="1539" spans="1:11" x14ac:dyDescent="0.25">
      <c r="A1539" t="s">
        <v>438</v>
      </c>
      <c r="B1539" t="s">
        <v>57</v>
      </c>
      <c r="C1539" t="s">
        <v>58</v>
      </c>
      <c r="D1539" t="s">
        <v>32</v>
      </c>
      <c r="E1539" t="s">
        <v>59</v>
      </c>
      <c r="F1539">
        <v>0.56586844464135111</v>
      </c>
      <c r="G1539">
        <v>0.88173688928270222</v>
      </c>
      <c r="H1539">
        <v>0.25</v>
      </c>
      <c r="I1539">
        <v>38214739300</v>
      </c>
      <c r="J1539">
        <v>59.1</v>
      </c>
      <c r="K1539">
        <v>18</v>
      </c>
    </row>
    <row r="1540" spans="1:11" x14ac:dyDescent="0.25">
      <c r="A1540" t="s">
        <v>438</v>
      </c>
      <c r="B1540" t="s">
        <v>441</v>
      </c>
      <c r="C1540" t="s">
        <v>442</v>
      </c>
      <c r="D1540" t="s">
        <v>14</v>
      </c>
      <c r="E1540" t="s">
        <v>443</v>
      </c>
      <c r="F1540">
        <v>0.55721828676769636</v>
      </c>
      <c r="G1540">
        <v>0.31443657353539273</v>
      </c>
      <c r="H1540">
        <v>0.8</v>
      </c>
      <c r="I1540">
        <v>38709522400</v>
      </c>
      <c r="J1540">
        <v>71</v>
      </c>
      <c r="K1540">
        <v>19</v>
      </c>
    </row>
    <row r="1541" spans="1:11" x14ac:dyDescent="0.25">
      <c r="A1541" t="s">
        <v>438</v>
      </c>
      <c r="B1541" t="s">
        <v>430</v>
      </c>
      <c r="C1541" t="s">
        <v>431</v>
      </c>
      <c r="D1541" t="s">
        <v>32</v>
      </c>
      <c r="E1541" t="s">
        <v>317</v>
      </c>
      <c r="F1541">
        <v>0.55678292458096967</v>
      </c>
      <c r="G1541">
        <v>0.91356584916193939</v>
      </c>
      <c r="H1541">
        <v>0.2</v>
      </c>
      <c r="I1541">
        <v>76504434100</v>
      </c>
      <c r="J1541">
        <v>43</v>
      </c>
      <c r="K1541">
        <v>20</v>
      </c>
    </row>
    <row r="1542" spans="1:11" x14ac:dyDescent="0.25">
      <c r="A1542" t="s">
        <v>444</v>
      </c>
      <c r="B1542" t="s">
        <v>340</v>
      </c>
      <c r="C1542" t="s">
        <v>341</v>
      </c>
      <c r="D1542" t="s">
        <v>14</v>
      </c>
      <c r="E1542" t="s">
        <v>74</v>
      </c>
      <c r="F1542">
        <v>0.75729179876915254</v>
      </c>
      <c r="G1542">
        <v>0.96458359753830514</v>
      </c>
      <c r="H1542">
        <v>0.55000000000000004</v>
      </c>
      <c r="I1542">
        <v>2245010400</v>
      </c>
      <c r="J1542">
        <v>47</v>
      </c>
      <c r="K1542">
        <v>1</v>
      </c>
    </row>
    <row r="1543" spans="1:11" x14ac:dyDescent="0.25">
      <c r="A1543" t="s">
        <v>444</v>
      </c>
      <c r="B1543" t="s">
        <v>287</v>
      </c>
      <c r="C1543" t="s">
        <v>288</v>
      </c>
      <c r="D1543" t="s">
        <v>14</v>
      </c>
      <c r="E1543" t="s">
        <v>59</v>
      </c>
      <c r="F1543">
        <v>0.71510724120363134</v>
      </c>
      <c r="G1543">
        <v>0.88021448240726263</v>
      </c>
      <c r="H1543">
        <v>0.55000000000000004</v>
      </c>
      <c r="I1543">
        <v>66368869600</v>
      </c>
      <c r="J1543">
        <v>27.4</v>
      </c>
      <c r="K1543">
        <v>2</v>
      </c>
    </row>
    <row r="1544" spans="1:11" x14ac:dyDescent="0.25">
      <c r="A1544" t="s">
        <v>444</v>
      </c>
      <c r="B1544" t="s">
        <v>70</v>
      </c>
      <c r="C1544" t="s">
        <v>71</v>
      </c>
      <c r="D1544" t="s">
        <v>32</v>
      </c>
      <c r="E1544" t="s">
        <v>33</v>
      </c>
      <c r="F1544">
        <v>0.67250303934373035</v>
      </c>
      <c r="G1544">
        <v>0.7450060786874606</v>
      </c>
      <c r="H1544">
        <v>0.6</v>
      </c>
      <c r="I1544">
        <v>27352529740</v>
      </c>
      <c r="J1544">
        <v>7.16</v>
      </c>
      <c r="K1544">
        <v>3</v>
      </c>
    </row>
    <row r="1545" spans="1:11" x14ac:dyDescent="0.25">
      <c r="A1545" t="s">
        <v>444</v>
      </c>
      <c r="B1545" t="s">
        <v>82</v>
      </c>
      <c r="C1545" t="s">
        <v>83</v>
      </c>
      <c r="D1545" t="s">
        <v>32</v>
      </c>
      <c r="E1545" t="s">
        <v>39</v>
      </c>
      <c r="F1545">
        <v>0.65056100092583924</v>
      </c>
      <c r="G1545">
        <v>0.80112200185167848</v>
      </c>
      <c r="H1545">
        <v>0.5</v>
      </c>
      <c r="I1545">
        <v>30829808800</v>
      </c>
      <c r="J1545">
        <v>19.100000000000001</v>
      </c>
      <c r="K1545">
        <v>4</v>
      </c>
    </row>
    <row r="1546" spans="1:11" x14ac:dyDescent="0.25">
      <c r="A1546" t="s">
        <v>444</v>
      </c>
      <c r="B1546" t="s">
        <v>237</v>
      </c>
      <c r="C1546" t="s">
        <v>238</v>
      </c>
      <c r="D1546" t="s">
        <v>32</v>
      </c>
      <c r="E1546" t="s">
        <v>33</v>
      </c>
      <c r="F1546">
        <v>0.64074787571431846</v>
      </c>
      <c r="G1546">
        <v>0.8814957514286369</v>
      </c>
      <c r="H1546">
        <v>0.4</v>
      </c>
      <c r="I1546">
        <v>539038363800</v>
      </c>
      <c r="J1546">
        <v>77.3</v>
      </c>
      <c r="K1546">
        <v>5</v>
      </c>
    </row>
    <row r="1547" spans="1:11" x14ac:dyDescent="0.25">
      <c r="A1547" t="s">
        <v>444</v>
      </c>
      <c r="B1547" t="s">
        <v>445</v>
      </c>
      <c r="C1547" t="s">
        <v>446</v>
      </c>
      <c r="D1547" t="s">
        <v>32</v>
      </c>
      <c r="E1547" t="s">
        <v>74</v>
      </c>
      <c r="F1547">
        <v>0.63678483839496258</v>
      </c>
      <c r="G1547">
        <v>0.87356967678992514</v>
      </c>
      <c r="H1547">
        <v>0.4</v>
      </c>
      <c r="I1547">
        <v>590544631400</v>
      </c>
      <c r="J1547">
        <v>34</v>
      </c>
      <c r="K1547">
        <v>6</v>
      </c>
    </row>
    <row r="1548" spans="1:11" x14ac:dyDescent="0.25">
      <c r="A1548" t="s">
        <v>444</v>
      </c>
      <c r="B1548" t="s">
        <v>384</v>
      </c>
      <c r="C1548" t="s">
        <v>385</v>
      </c>
      <c r="D1548" t="s">
        <v>14</v>
      </c>
      <c r="E1548" t="s">
        <v>26</v>
      </c>
      <c r="F1548">
        <v>0.62824436493400493</v>
      </c>
      <c r="G1548">
        <v>0.95648872986800981</v>
      </c>
      <c r="H1548">
        <v>0.3</v>
      </c>
      <c r="I1548">
        <v>6432529000</v>
      </c>
      <c r="J1548">
        <v>9.1999999999999993</v>
      </c>
      <c r="K1548">
        <v>7</v>
      </c>
    </row>
    <row r="1549" spans="1:11" x14ac:dyDescent="0.25">
      <c r="A1549" t="s">
        <v>444</v>
      </c>
      <c r="B1549" t="s">
        <v>229</v>
      </c>
      <c r="C1549" t="s">
        <v>230</v>
      </c>
      <c r="D1549" t="s">
        <v>18</v>
      </c>
      <c r="E1549" t="s">
        <v>29</v>
      </c>
      <c r="F1549">
        <v>0.62356517665880618</v>
      </c>
      <c r="G1549">
        <v>0.94713035331761231</v>
      </c>
      <c r="H1549">
        <v>0.3</v>
      </c>
      <c r="I1549">
        <v>53069308800</v>
      </c>
      <c r="J1549">
        <v>29.3</v>
      </c>
      <c r="K1549">
        <v>8</v>
      </c>
    </row>
    <row r="1550" spans="1:11" x14ac:dyDescent="0.25">
      <c r="A1550" t="s">
        <v>444</v>
      </c>
      <c r="B1550" t="s">
        <v>447</v>
      </c>
      <c r="C1550" t="s">
        <v>448</v>
      </c>
      <c r="D1550" t="s">
        <v>32</v>
      </c>
      <c r="E1550" t="s">
        <v>449</v>
      </c>
      <c r="F1550">
        <v>0.60981788473938847</v>
      </c>
      <c r="G1550">
        <v>0.56963576947877703</v>
      </c>
      <c r="H1550">
        <v>0.65</v>
      </c>
      <c r="I1550">
        <v>2256774900</v>
      </c>
      <c r="J1550">
        <v>29.15</v>
      </c>
      <c r="K1550">
        <v>9</v>
      </c>
    </row>
    <row r="1551" spans="1:11" x14ac:dyDescent="0.25">
      <c r="A1551" t="s">
        <v>444</v>
      </c>
      <c r="B1551" t="s">
        <v>403</v>
      </c>
      <c r="C1551" t="s">
        <v>404</v>
      </c>
      <c r="D1551" t="s">
        <v>32</v>
      </c>
      <c r="E1551" t="s">
        <v>33</v>
      </c>
      <c r="F1551">
        <v>0.60909783506458992</v>
      </c>
      <c r="G1551">
        <v>0.91819567012917991</v>
      </c>
      <c r="H1551">
        <v>0.3</v>
      </c>
      <c r="I1551">
        <v>2574009040</v>
      </c>
      <c r="J1551">
        <v>2.79</v>
      </c>
      <c r="K1551">
        <v>10</v>
      </c>
    </row>
    <row r="1552" spans="1:11" x14ac:dyDescent="0.25">
      <c r="A1552" t="s">
        <v>444</v>
      </c>
      <c r="B1552" t="s">
        <v>152</v>
      </c>
      <c r="C1552" t="s">
        <v>153</v>
      </c>
      <c r="D1552" t="s">
        <v>32</v>
      </c>
      <c r="E1552" t="s">
        <v>74</v>
      </c>
      <c r="F1552">
        <v>0.60238964741112666</v>
      </c>
      <c r="G1552">
        <v>0.85477929482225334</v>
      </c>
      <c r="H1552">
        <v>0.35</v>
      </c>
      <c r="I1552">
        <v>548613673100</v>
      </c>
      <c r="J1552">
        <v>46.5</v>
      </c>
      <c r="K1552">
        <v>11</v>
      </c>
    </row>
    <row r="1553" spans="1:11" x14ac:dyDescent="0.25">
      <c r="A1553" t="s">
        <v>444</v>
      </c>
      <c r="B1553" t="s">
        <v>171</v>
      </c>
      <c r="C1553" t="s">
        <v>172</v>
      </c>
      <c r="D1553" t="s">
        <v>32</v>
      </c>
      <c r="E1553" t="s">
        <v>33</v>
      </c>
      <c r="F1553">
        <v>0.60006701686111952</v>
      </c>
      <c r="G1553">
        <v>0.95013403372223915</v>
      </c>
      <c r="H1553">
        <v>0.25</v>
      </c>
      <c r="I1553">
        <v>22949504720</v>
      </c>
      <c r="J1553">
        <v>9</v>
      </c>
      <c r="K1553">
        <v>12</v>
      </c>
    </row>
    <row r="1554" spans="1:11" x14ac:dyDescent="0.25">
      <c r="A1554" t="s">
        <v>444</v>
      </c>
      <c r="B1554" t="s">
        <v>450</v>
      </c>
      <c r="C1554" t="s">
        <v>451</v>
      </c>
      <c r="D1554" t="s">
        <v>32</v>
      </c>
      <c r="E1554" t="s">
        <v>160</v>
      </c>
      <c r="F1554">
        <v>0.59794696879259623</v>
      </c>
      <c r="G1554">
        <v>0.74589393758519251</v>
      </c>
      <c r="H1554">
        <v>0.45</v>
      </c>
      <c r="I1554">
        <v>13255655800</v>
      </c>
      <c r="J1554">
        <v>19.45</v>
      </c>
      <c r="K1554">
        <v>13</v>
      </c>
    </row>
    <row r="1555" spans="1:11" x14ac:dyDescent="0.25">
      <c r="A1555" t="s">
        <v>444</v>
      </c>
      <c r="B1555" t="s">
        <v>179</v>
      </c>
      <c r="C1555" t="s">
        <v>180</v>
      </c>
      <c r="D1555" t="s">
        <v>32</v>
      </c>
      <c r="E1555" t="s">
        <v>124</v>
      </c>
      <c r="F1555">
        <v>0.58924313709446019</v>
      </c>
      <c r="G1555">
        <v>0.92848627418892027</v>
      </c>
      <c r="H1555">
        <v>0.25</v>
      </c>
      <c r="I1555">
        <v>414307946200</v>
      </c>
      <c r="J1555">
        <v>37.25</v>
      </c>
      <c r="K1555">
        <v>14</v>
      </c>
    </row>
    <row r="1556" spans="1:11" x14ac:dyDescent="0.25">
      <c r="A1556" t="s">
        <v>444</v>
      </c>
      <c r="B1556" t="s">
        <v>430</v>
      </c>
      <c r="C1556" t="s">
        <v>431</v>
      </c>
      <c r="D1556" t="s">
        <v>32</v>
      </c>
      <c r="E1556" t="s">
        <v>317</v>
      </c>
      <c r="F1556">
        <v>0.58566726535440461</v>
      </c>
      <c r="G1556">
        <v>0.87133453070880929</v>
      </c>
      <c r="H1556">
        <v>0.3</v>
      </c>
      <c r="I1556">
        <v>78434243100</v>
      </c>
      <c r="J1556">
        <v>43</v>
      </c>
      <c r="K1556">
        <v>15</v>
      </c>
    </row>
    <row r="1557" spans="1:11" x14ac:dyDescent="0.25">
      <c r="A1557" t="s">
        <v>444</v>
      </c>
      <c r="B1557" t="s">
        <v>441</v>
      </c>
      <c r="C1557" t="s">
        <v>442</v>
      </c>
      <c r="D1557" t="s">
        <v>14</v>
      </c>
      <c r="E1557" t="s">
        <v>443</v>
      </c>
      <c r="F1557">
        <v>0.58183396916608199</v>
      </c>
      <c r="G1557">
        <v>0.31366793833216389</v>
      </c>
      <c r="H1557">
        <v>0.85</v>
      </c>
      <c r="I1557">
        <v>38912381600</v>
      </c>
      <c r="J1557">
        <v>72</v>
      </c>
      <c r="K1557">
        <v>16</v>
      </c>
    </row>
    <row r="1558" spans="1:11" x14ac:dyDescent="0.25">
      <c r="A1558" t="s">
        <v>444</v>
      </c>
      <c r="B1558" t="s">
        <v>94</v>
      </c>
      <c r="C1558" t="s">
        <v>95</v>
      </c>
      <c r="D1558" t="s">
        <v>32</v>
      </c>
      <c r="E1558" t="s">
        <v>33</v>
      </c>
      <c r="F1558">
        <v>0.57998601867526478</v>
      </c>
      <c r="G1558">
        <v>0.90997203735052945</v>
      </c>
      <c r="H1558">
        <v>0.25</v>
      </c>
      <c r="I1558">
        <v>5396298820</v>
      </c>
      <c r="J1558">
        <v>2.54</v>
      </c>
      <c r="K1558">
        <v>17</v>
      </c>
    </row>
    <row r="1559" spans="1:11" x14ac:dyDescent="0.25">
      <c r="A1559" t="s">
        <v>444</v>
      </c>
      <c r="B1559" t="s">
        <v>397</v>
      </c>
      <c r="C1559" t="s">
        <v>398</v>
      </c>
      <c r="D1559" t="s">
        <v>32</v>
      </c>
      <c r="E1559" t="s">
        <v>42</v>
      </c>
      <c r="F1559">
        <v>0.55738423269125037</v>
      </c>
      <c r="G1559">
        <v>0.56476846538250081</v>
      </c>
      <c r="H1559">
        <v>0.55000000000000004</v>
      </c>
      <c r="I1559">
        <v>2674902500</v>
      </c>
      <c r="J1559">
        <v>15.55</v>
      </c>
      <c r="K1559">
        <v>18</v>
      </c>
    </row>
    <row r="1560" spans="1:11" x14ac:dyDescent="0.25">
      <c r="A1560" t="s">
        <v>444</v>
      </c>
      <c r="B1560" t="s">
        <v>188</v>
      </c>
      <c r="C1560" t="s">
        <v>189</v>
      </c>
      <c r="D1560" t="s">
        <v>32</v>
      </c>
      <c r="E1560" t="s">
        <v>29</v>
      </c>
      <c r="F1560">
        <v>0.55733686698734997</v>
      </c>
      <c r="G1560">
        <v>0.71467373397470002</v>
      </c>
      <c r="H1560">
        <v>0.4</v>
      </c>
      <c r="I1560">
        <v>10473408220</v>
      </c>
      <c r="J1560">
        <v>12.1</v>
      </c>
      <c r="K1560">
        <v>19</v>
      </c>
    </row>
    <row r="1561" spans="1:11" x14ac:dyDescent="0.25">
      <c r="A1561" t="s">
        <v>444</v>
      </c>
      <c r="B1561" t="s">
        <v>433</v>
      </c>
      <c r="C1561" t="s">
        <v>434</v>
      </c>
      <c r="D1561" t="s">
        <v>18</v>
      </c>
      <c r="E1561" t="s">
        <v>382</v>
      </c>
      <c r="F1561">
        <v>0.54418532949866383</v>
      </c>
      <c r="G1561">
        <v>0.93837065899732774</v>
      </c>
      <c r="H1561">
        <v>0.15</v>
      </c>
      <c r="I1561">
        <v>14123679200</v>
      </c>
      <c r="J1561">
        <v>12.1</v>
      </c>
      <c r="K1561">
        <v>20</v>
      </c>
    </row>
    <row r="1562" spans="1:11" x14ac:dyDescent="0.25">
      <c r="A1562" t="s">
        <v>452</v>
      </c>
      <c r="B1562" t="s">
        <v>340</v>
      </c>
      <c r="C1562" t="s">
        <v>341</v>
      </c>
      <c r="D1562" t="s">
        <v>14</v>
      </c>
      <c r="E1562" t="s">
        <v>74</v>
      </c>
      <c r="F1562">
        <v>0.80198100263808603</v>
      </c>
      <c r="G1562">
        <v>0.95396200527617192</v>
      </c>
      <c r="H1562">
        <v>0.65</v>
      </c>
      <c r="I1562">
        <v>2214175800</v>
      </c>
      <c r="J1562">
        <v>46.5</v>
      </c>
      <c r="K1562">
        <v>1</v>
      </c>
    </row>
    <row r="1563" spans="1:11" x14ac:dyDescent="0.25">
      <c r="A1563" t="s">
        <v>452</v>
      </c>
      <c r="B1563" t="s">
        <v>70</v>
      </c>
      <c r="C1563" t="s">
        <v>71</v>
      </c>
      <c r="D1563" t="s">
        <v>32</v>
      </c>
      <c r="E1563" t="s">
        <v>33</v>
      </c>
      <c r="F1563">
        <v>0.70215087566573575</v>
      </c>
      <c r="G1563">
        <v>0.80430175133147153</v>
      </c>
      <c r="H1563">
        <v>0.6</v>
      </c>
      <c r="I1563">
        <v>27531429940</v>
      </c>
      <c r="J1563">
        <v>7.26</v>
      </c>
      <c r="K1563">
        <v>2</v>
      </c>
    </row>
    <row r="1564" spans="1:11" x14ac:dyDescent="0.25">
      <c r="A1564" t="s">
        <v>452</v>
      </c>
      <c r="B1564" t="s">
        <v>287</v>
      </c>
      <c r="C1564" t="s">
        <v>288</v>
      </c>
      <c r="D1564" t="s">
        <v>14</v>
      </c>
      <c r="E1564" t="s">
        <v>59</v>
      </c>
      <c r="F1564">
        <v>0.69825840123699556</v>
      </c>
      <c r="G1564">
        <v>0.84651680247399108</v>
      </c>
      <c r="H1564">
        <v>0.55000000000000004</v>
      </c>
      <c r="I1564">
        <v>65875930400</v>
      </c>
      <c r="J1564">
        <v>27.6</v>
      </c>
      <c r="K1564">
        <v>3</v>
      </c>
    </row>
    <row r="1565" spans="1:11" x14ac:dyDescent="0.25">
      <c r="A1565" t="s">
        <v>452</v>
      </c>
      <c r="B1565" t="s">
        <v>229</v>
      </c>
      <c r="C1565" t="s">
        <v>230</v>
      </c>
      <c r="D1565" t="s">
        <v>18</v>
      </c>
      <c r="E1565" t="s">
        <v>29</v>
      </c>
      <c r="F1565">
        <v>0.68958041089556166</v>
      </c>
      <c r="G1565">
        <v>0.92916082179112336</v>
      </c>
      <c r="H1565">
        <v>0.45</v>
      </c>
      <c r="I1565">
        <v>55166813400</v>
      </c>
      <c r="J1565">
        <v>28.3</v>
      </c>
      <c r="K1565">
        <v>4</v>
      </c>
    </row>
    <row r="1566" spans="1:11" x14ac:dyDescent="0.25">
      <c r="A1566" t="s">
        <v>452</v>
      </c>
      <c r="B1566" t="s">
        <v>82</v>
      </c>
      <c r="C1566" t="s">
        <v>83</v>
      </c>
      <c r="D1566" t="s">
        <v>32</v>
      </c>
      <c r="E1566" t="s">
        <v>39</v>
      </c>
      <c r="F1566">
        <v>0.67008091364126399</v>
      </c>
      <c r="G1566">
        <v>0.79016182728252804</v>
      </c>
      <c r="H1566">
        <v>0.55000000000000004</v>
      </c>
      <c r="I1566">
        <v>30123490500</v>
      </c>
      <c r="J1566">
        <v>19.100000000000001</v>
      </c>
      <c r="K1566">
        <v>5</v>
      </c>
    </row>
    <row r="1567" spans="1:11" x14ac:dyDescent="0.25">
      <c r="A1567" t="s">
        <v>452</v>
      </c>
      <c r="B1567" t="s">
        <v>152</v>
      </c>
      <c r="C1567" t="s">
        <v>153</v>
      </c>
      <c r="D1567" t="s">
        <v>32</v>
      </c>
      <c r="E1567" t="s">
        <v>74</v>
      </c>
      <c r="F1567">
        <v>0.65048689638642787</v>
      </c>
      <c r="G1567">
        <v>0.85097379277285579</v>
      </c>
      <c r="H1567">
        <v>0.45</v>
      </c>
      <c r="I1567">
        <v>520113829500</v>
      </c>
      <c r="J1567">
        <v>46.8</v>
      </c>
      <c r="K1567">
        <v>6</v>
      </c>
    </row>
    <row r="1568" spans="1:11" x14ac:dyDescent="0.25">
      <c r="A1568" t="s">
        <v>452</v>
      </c>
      <c r="B1568" t="s">
        <v>453</v>
      </c>
      <c r="C1568" t="s">
        <v>454</v>
      </c>
      <c r="D1568" t="s">
        <v>32</v>
      </c>
      <c r="E1568" t="s">
        <v>33</v>
      </c>
      <c r="F1568">
        <v>0.63660349088662316</v>
      </c>
      <c r="G1568">
        <v>0.67320698177324645</v>
      </c>
      <c r="H1568">
        <v>0.6</v>
      </c>
      <c r="I1568">
        <v>7879600700</v>
      </c>
      <c r="J1568">
        <v>32.85</v>
      </c>
      <c r="K1568">
        <v>7</v>
      </c>
    </row>
    <row r="1569" spans="1:11" x14ac:dyDescent="0.25">
      <c r="A1569" t="s">
        <v>452</v>
      </c>
      <c r="B1569" t="s">
        <v>166</v>
      </c>
      <c r="C1569" t="s">
        <v>167</v>
      </c>
      <c r="D1569" t="s">
        <v>32</v>
      </c>
      <c r="E1569" t="s">
        <v>59</v>
      </c>
      <c r="F1569">
        <v>0.63421191038110303</v>
      </c>
      <c r="G1569">
        <v>0.61842382076220614</v>
      </c>
      <c r="H1569">
        <v>0.65</v>
      </c>
      <c r="I1569">
        <v>118544094300</v>
      </c>
      <c r="J1569">
        <v>30.8</v>
      </c>
      <c r="K1569">
        <v>8</v>
      </c>
    </row>
    <row r="1570" spans="1:11" x14ac:dyDescent="0.25">
      <c r="A1570" t="s">
        <v>452</v>
      </c>
      <c r="B1570" t="s">
        <v>135</v>
      </c>
      <c r="C1570" t="s">
        <v>136</v>
      </c>
      <c r="D1570" t="s">
        <v>32</v>
      </c>
      <c r="E1570" t="s">
        <v>29</v>
      </c>
      <c r="F1570">
        <v>0.63304057945753511</v>
      </c>
      <c r="G1570">
        <v>0.71608115891507029</v>
      </c>
      <c r="H1570">
        <v>0.55000000000000004</v>
      </c>
      <c r="I1570">
        <v>356107623700</v>
      </c>
      <c r="J1570">
        <v>16.95</v>
      </c>
      <c r="K1570">
        <v>9</v>
      </c>
    </row>
    <row r="1571" spans="1:11" x14ac:dyDescent="0.25">
      <c r="A1571" t="s">
        <v>452</v>
      </c>
      <c r="B1571" t="s">
        <v>403</v>
      </c>
      <c r="C1571" t="s">
        <v>404</v>
      </c>
      <c r="D1571" t="s">
        <v>32</v>
      </c>
      <c r="E1571" t="s">
        <v>33</v>
      </c>
      <c r="F1571">
        <v>0.62018682411813164</v>
      </c>
      <c r="G1571">
        <v>0.89037364823626342</v>
      </c>
      <c r="H1571">
        <v>0.35</v>
      </c>
      <c r="I1571">
        <v>2492695860</v>
      </c>
      <c r="J1571">
        <v>2.76</v>
      </c>
      <c r="K1571">
        <v>10</v>
      </c>
    </row>
    <row r="1572" spans="1:11" x14ac:dyDescent="0.25">
      <c r="A1572" t="s">
        <v>452</v>
      </c>
      <c r="B1572" t="s">
        <v>455</v>
      </c>
      <c r="C1572" t="s">
        <v>456</v>
      </c>
      <c r="D1572" t="s">
        <v>18</v>
      </c>
      <c r="E1572" t="s">
        <v>382</v>
      </c>
      <c r="F1572">
        <v>0.6157804525066759</v>
      </c>
      <c r="G1572">
        <v>0.63156090501335171</v>
      </c>
      <c r="H1572">
        <v>0.6</v>
      </c>
      <c r="I1572">
        <v>190191295600</v>
      </c>
      <c r="J1572">
        <v>32.5</v>
      </c>
      <c r="K1572">
        <v>11</v>
      </c>
    </row>
    <row r="1573" spans="1:11" x14ac:dyDescent="0.25">
      <c r="A1573" t="s">
        <v>452</v>
      </c>
      <c r="B1573" t="s">
        <v>433</v>
      </c>
      <c r="C1573" t="s">
        <v>434</v>
      </c>
      <c r="D1573" t="s">
        <v>18</v>
      </c>
      <c r="E1573" t="s">
        <v>382</v>
      </c>
      <c r="F1573">
        <v>0.61045406369484523</v>
      </c>
      <c r="G1573">
        <v>0.82090812738969043</v>
      </c>
      <c r="H1573">
        <v>0.4</v>
      </c>
      <c r="I1573">
        <v>14507906000</v>
      </c>
      <c r="J1573">
        <v>11.7</v>
      </c>
      <c r="K1573">
        <v>12</v>
      </c>
    </row>
    <row r="1574" spans="1:11" x14ac:dyDescent="0.25">
      <c r="A1574" t="s">
        <v>452</v>
      </c>
      <c r="B1574" t="s">
        <v>384</v>
      </c>
      <c r="C1574" t="s">
        <v>385</v>
      </c>
      <c r="D1574" t="s">
        <v>14</v>
      </c>
      <c r="E1574" t="s">
        <v>26</v>
      </c>
      <c r="F1574">
        <v>0.59806787998266264</v>
      </c>
      <c r="G1574">
        <v>0.94613575996532528</v>
      </c>
      <c r="H1574">
        <v>0.25</v>
      </c>
      <c r="I1574">
        <v>6604558200</v>
      </c>
      <c r="J1574">
        <v>9.3000000000000007</v>
      </c>
      <c r="K1574">
        <v>13</v>
      </c>
    </row>
    <row r="1575" spans="1:11" x14ac:dyDescent="0.25">
      <c r="A1575" t="s">
        <v>452</v>
      </c>
      <c r="B1575" t="s">
        <v>92</v>
      </c>
      <c r="C1575" t="s">
        <v>93</v>
      </c>
      <c r="D1575" t="s">
        <v>14</v>
      </c>
      <c r="E1575" t="s">
        <v>59</v>
      </c>
      <c r="F1575">
        <v>0.59773753216554093</v>
      </c>
      <c r="G1575">
        <v>0.64547506433108182</v>
      </c>
      <c r="H1575">
        <v>0.55000000000000004</v>
      </c>
      <c r="I1575">
        <v>15236394600</v>
      </c>
      <c r="J1575">
        <v>13</v>
      </c>
      <c r="K1575">
        <v>14</v>
      </c>
    </row>
    <row r="1576" spans="1:11" x14ac:dyDescent="0.25">
      <c r="A1576" t="s">
        <v>452</v>
      </c>
      <c r="B1576" t="s">
        <v>441</v>
      </c>
      <c r="C1576" t="s">
        <v>442</v>
      </c>
      <c r="D1576" t="s">
        <v>14</v>
      </c>
      <c r="E1576" t="s">
        <v>443</v>
      </c>
      <c r="F1576">
        <v>0.59164373366596279</v>
      </c>
      <c r="G1576">
        <v>0.3332874673319256</v>
      </c>
      <c r="H1576">
        <v>0.85</v>
      </c>
      <c r="I1576">
        <v>37836796800</v>
      </c>
      <c r="J1576">
        <v>71.900000000000006</v>
      </c>
      <c r="K1576">
        <v>15</v>
      </c>
    </row>
    <row r="1577" spans="1:11" x14ac:dyDescent="0.25">
      <c r="A1577" t="s">
        <v>452</v>
      </c>
      <c r="B1577" t="s">
        <v>377</v>
      </c>
      <c r="C1577" t="s">
        <v>378</v>
      </c>
      <c r="D1577" t="s">
        <v>32</v>
      </c>
      <c r="E1577" t="s">
        <v>33</v>
      </c>
      <c r="F1577">
        <v>0.59032425381583697</v>
      </c>
      <c r="G1577">
        <v>0.48064850763167399</v>
      </c>
      <c r="H1577">
        <v>0.7</v>
      </c>
      <c r="I1577">
        <v>2890692360</v>
      </c>
      <c r="J1577">
        <v>4.3600000000000003</v>
      </c>
      <c r="K1577">
        <v>16</v>
      </c>
    </row>
    <row r="1578" spans="1:11" x14ac:dyDescent="0.25">
      <c r="A1578" t="s">
        <v>452</v>
      </c>
      <c r="B1578" t="s">
        <v>171</v>
      </c>
      <c r="C1578" t="s">
        <v>172</v>
      </c>
      <c r="D1578" t="s">
        <v>32</v>
      </c>
      <c r="E1578" t="s">
        <v>33</v>
      </c>
      <c r="F1578">
        <v>0.58904562824397322</v>
      </c>
      <c r="G1578">
        <v>0.97809125648794637</v>
      </c>
      <c r="H1578">
        <v>0.2</v>
      </c>
      <c r="I1578">
        <v>24170013500</v>
      </c>
      <c r="J1578">
        <v>9.35</v>
      </c>
      <c r="K1578">
        <v>17</v>
      </c>
    </row>
    <row r="1579" spans="1:11" x14ac:dyDescent="0.25">
      <c r="A1579" t="s">
        <v>452</v>
      </c>
      <c r="B1579" t="s">
        <v>186</v>
      </c>
      <c r="C1579" t="s">
        <v>187</v>
      </c>
      <c r="D1579" t="s">
        <v>32</v>
      </c>
      <c r="E1579" t="s">
        <v>74</v>
      </c>
      <c r="F1579">
        <v>0.58748479985499502</v>
      </c>
      <c r="G1579">
        <v>0.92496959970999004</v>
      </c>
      <c r="H1579">
        <v>0.25</v>
      </c>
      <c r="I1579">
        <v>17374717000</v>
      </c>
      <c r="J1579">
        <v>14.7</v>
      </c>
      <c r="K1579">
        <v>18</v>
      </c>
    </row>
    <row r="1580" spans="1:11" x14ac:dyDescent="0.25">
      <c r="A1580" t="s">
        <v>452</v>
      </c>
      <c r="B1580" t="s">
        <v>430</v>
      </c>
      <c r="C1580" t="s">
        <v>431</v>
      </c>
      <c r="D1580" t="s">
        <v>32</v>
      </c>
      <c r="E1580" t="s">
        <v>317</v>
      </c>
      <c r="F1580">
        <v>0.58080104157424883</v>
      </c>
      <c r="G1580">
        <v>0.91160208314849778</v>
      </c>
      <c r="H1580">
        <v>0.25</v>
      </c>
      <c r="I1580">
        <v>78672069300</v>
      </c>
      <c r="J1580">
        <v>43.9</v>
      </c>
      <c r="K1580">
        <v>19</v>
      </c>
    </row>
    <row r="1581" spans="1:11" x14ac:dyDescent="0.25">
      <c r="A1581" t="s">
        <v>452</v>
      </c>
      <c r="B1581" t="s">
        <v>237</v>
      </c>
      <c r="C1581" t="s">
        <v>238</v>
      </c>
      <c r="D1581" t="s">
        <v>32</v>
      </c>
      <c r="E1581" t="s">
        <v>33</v>
      </c>
      <c r="F1581">
        <v>0.57762745811350225</v>
      </c>
      <c r="G1581">
        <v>0.85525491622700456</v>
      </c>
      <c r="H1581">
        <v>0.3</v>
      </c>
      <c r="I1581">
        <v>530978400400</v>
      </c>
      <c r="J1581">
        <v>77.900000000000006</v>
      </c>
      <c r="K1581">
        <v>20</v>
      </c>
    </row>
    <row r="1582" spans="1:11" x14ac:dyDescent="0.25">
      <c r="A1582" t="s">
        <v>457</v>
      </c>
      <c r="B1582" t="s">
        <v>340</v>
      </c>
      <c r="C1582" t="s">
        <v>341</v>
      </c>
      <c r="D1582" t="s">
        <v>14</v>
      </c>
      <c r="E1582" t="s">
        <v>74</v>
      </c>
      <c r="F1582">
        <v>0.86894754891562986</v>
      </c>
      <c r="G1582">
        <v>0.98789509783125973</v>
      </c>
      <c r="H1582">
        <v>0.75</v>
      </c>
      <c r="I1582">
        <v>2362271400</v>
      </c>
      <c r="J1582">
        <v>49.7</v>
      </c>
      <c r="K1582">
        <v>1</v>
      </c>
    </row>
    <row r="1583" spans="1:11" x14ac:dyDescent="0.25">
      <c r="A1583" t="s">
        <v>457</v>
      </c>
      <c r="B1583" t="s">
        <v>94</v>
      </c>
      <c r="C1583" t="s">
        <v>95</v>
      </c>
      <c r="D1583" t="s">
        <v>32</v>
      </c>
      <c r="E1583" t="s">
        <v>33</v>
      </c>
      <c r="F1583">
        <v>0.7108907416842194</v>
      </c>
      <c r="G1583">
        <v>0.97178148336843873</v>
      </c>
      <c r="H1583">
        <v>0.45</v>
      </c>
      <c r="I1583">
        <v>5860972440</v>
      </c>
      <c r="J1583">
        <v>2.67</v>
      </c>
      <c r="K1583">
        <v>2</v>
      </c>
    </row>
    <row r="1584" spans="1:11" x14ac:dyDescent="0.25">
      <c r="A1584" t="s">
        <v>457</v>
      </c>
      <c r="B1584" t="s">
        <v>70</v>
      </c>
      <c r="C1584" t="s">
        <v>71</v>
      </c>
      <c r="D1584" t="s">
        <v>32</v>
      </c>
      <c r="E1584" t="s">
        <v>33</v>
      </c>
      <c r="F1584">
        <v>0.70532803342669426</v>
      </c>
      <c r="G1584">
        <v>0.76065606685338849</v>
      </c>
      <c r="H1584">
        <v>0.65</v>
      </c>
      <c r="I1584">
        <v>27669733880</v>
      </c>
      <c r="J1584">
        <v>7.25</v>
      </c>
      <c r="K1584">
        <v>3</v>
      </c>
    </row>
    <row r="1585" spans="1:11" x14ac:dyDescent="0.25">
      <c r="A1585" t="s">
        <v>457</v>
      </c>
      <c r="B1585" t="s">
        <v>287</v>
      </c>
      <c r="C1585" t="s">
        <v>288</v>
      </c>
      <c r="D1585" t="s">
        <v>14</v>
      </c>
      <c r="E1585" t="s">
        <v>59</v>
      </c>
      <c r="F1585">
        <v>0.69153239974984548</v>
      </c>
      <c r="G1585">
        <v>0.83306479949969103</v>
      </c>
      <c r="H1585">
        <v>0.55000000000000004</v>
      </c>
      <c r="I1585">
        <v>65645742000</v>
      </c>
      <c r="J1585">
        <v>27.7</v>
      </c>
      <c r="K1585">
        <v>4</v>
      </c>
    </row>
    <row r="1586" spans="1:11" x14ac:dyDescent="0.25">
      <c r="A1586" t="s">
        <v>457</v>
      </c>
      <c r="B1586" t="s">
        <v>229</v>
      </c>
      <c r="C1586" t="s">
        <v>230</v>
      </c>
      <c r="D1586" t="s">
        <v>18</v>
      </c>
      <c r="E1586" t="s">
        <v>29</v>
      </c>
      <c r="F1586">
        <v>0.68394953619009158</v>
      </c>
      <c r="G1586">
        <v>0.817899072380183</v>
      </c>
      <c r="H1586">
        <v>0.55000000000000004</v>
      </c>
      <c r="I1586">
        <v>56054449800</v>
      </c>
      <c r="J1586">
        <v>26.5</v>
      </c>
      <c r="K1586">
        <v>5</v>
      </c>
    </row>
    <row r="1587" spans="1:11" x14ac:dyDescent="0.25">
      <c r="A1587" t="s">
        <v>457</v>
      </c>
      <c r="B1587" t="s">
        <v>403</v>
      </c>
      <c r="C1587" t="s">
        <v>404</v>
      </c>
      <c r="D1587" t="s">
        <v>32</v>
      </c>
      <c r="E1587" t="s">
        <v>33</v>
      </c>
      <c r="F1587">
        <v>0.67164684799326047</v>
      </c>
      <c r="G1587">
        <v>0.89329369598652086</v>
      </c>
      <c r="H1587">
        <v>0.45</v>
      </c>
      <c r="I1587">
        <v>2439098060</v>
      </c>
      <c r="J1587">
        <v>2.78</v>
      </c>
      <c r="K1587">
        <v>6</v>
      </c>
    </row>
    <row r="1588" spans="1:11" x14ac:dyDescent="0.25">
      <c r="A1588" t="s">
        <v>457</v>
      </c>
      <c r="B1588" t="s">
        <v>82</v>
      </c>
      <c r="C1588" t="s">
        <v>83</v>
      </c>
      <c r="D1588" t="s">
        <v>32</v>
      </c>
      <c r="E1588" t="s">
        <v>39</v>
      </c>
      <c r="F1588">
        <v>0.65442136477950652</v>
      </c>
      <c r="G1588">
        <v>0.80884272955901315</v>
      </c>
      <c r="H1588">
        <v>0.5</v>
      </c>
      <c r="I1588">
        <v>29706334900</v>
      </c>
      <c r="J1588">
        <v>19.149999999999999</v>
      </c>
      <c r="K1588">
        <v>7</v>
      </c>
    </row>
    <row r="1589" spans="1:11" x14ac:dyDescent="0.25">
      <c r="A1589" t="s">
        <v>457</v>
      </c>
      <c r="B1589" t="s">
        <v>430</v>
      </c>
      <c r="C1589" t="s">
        <v>431</v>
      </c>
      <c r="D1589" t="s">
        <v>32</v>
      </c>
      <c r="E1589" t="s">
        <v>317</v>
      </c>
      <c r="F1589">
        <v>0.62526073615805289</v>
      </c>
      <c r="G1589">
        <v>0.95052147231610584</v>
      </c>
      <c r="H1589">
        <v>0.3</v>
      </c>
      <c r="I1589">
        <v>80972529300</v>
      </c>
      <c r="J1589">
        <v>46</v>
      </c>
      <c r="K1589">
        <v>8</v>
      </c>
    </row>
    <row r="1590" spans="1:11" x14ac:dyDescent="0.25">
      <c r="A1590" t="s">
        <v>457</v>
      </c>
      <c r="B1590" t="s">
        <v>458</v>
      </c>
      <c r="C1590" t="s">
        <v>459</v>
      </c>
      <c r="D1590" t="s">
        <v>32</v>
      </c>
      <c r="E1590" t="s">
        <v>39</v>
      </c>
      <c r="F1590">
        <v>0.62301899434354979</v>
      </c>
      <c r="G1590">
        <v>0.6460379886870995</v>
      </c>
      <c r="H1590">
        <v>0.6</v>
      </c>
      <c r="I1590">
        <v>71457194300</v>
      </c>
      <c r="J1590">
        <v>58.5</v>
      </c>
      <c r="K1590">
        <v>9</v>
      </c>
    </row>
    <row r="1591" spans="1:11" x14ac:dyDescent="0.25">
      <c r="A1591" t="s">
        <v>457</v>
      </c>
      <c r="B1591" t="s">
        <v>384</v>
      </c>
      <c r="C1591" t="s">
        <v>385</v>
      </c>
      <c r="D1591" t="s">
        <v>14</v>
      </c>
      <c r="E1591" t="s">
        <v>26</v>
      </c>
      <c r="F1591">
        <v>0.60916524830696595</v>
      </c>
      <c r="G1591">
        <v>0.91833049661393185</v>
      </c>
      <c r="H1591">
        <v>0.3</v>
      </c>
      <c r="I1591">
        <v>6693565200</v>
      </c>
      <c r="J1591">
        <v>9.3000000000000007</v>
      </c>
      <c r="K1591">
        <v>10</v>
      </c>
    </row>
    <row r="1592" spans="1:11" x14ac:dyDescent="0.25">
      <c r="A1592" t="s">
        <v>457</v>
      </c>
      <c r="B1592" t="s">
        <v>152</v>
      </c>
      <c r="C1592" t="s">
        <v>153</v>
      </c>
      <c r="D1592" t="s">
        <v>32</v>
      </c>
      <c r="E1592" t="s">
        <v>74</v>
      </c>
      <c r="F1592">
        <v>0.60353479906198471</v>
      </c>
      <c r="G1592">
        <v>0.85706959812396943</v>
      </c>
      <c r="H1592">
        <v>0.35</v>
      </c>
      <c r="I1592">
        <v>519354341100</v>
      </c>
      <c r="J1592">
        <v>46.8</v>
      </c>
      <c r="K1592">
        <v>11</v>
      </c>
    </row>
    <row r="1593" spans="1:11" x14ac:dyDescent="0.25">
      <c r="A1593" t="s">
        <v>457</v>
      </c>
      <c r="B1593" t="s">
        <v>135</v>
      </c>
      <c r="C1593" t="s">
        <v>136</v>
      </c>
      <c r="D1593" t="s">
        <v>32</v>
      </c>
      <c r="E1593" t="s">
        <v>29</v>
      </c>
      <c r="F1593">
        <v>0.59588909849000982</v>
      </c>
      <c r="G1593">
        <v>0.74177819698001968</v>
      </c>
      <c r="H1593">
        <v>0.45</v>
      </c>
      <c r="I1593">
        <v>356158179300</v>
      </c>
      <c r="J1593">
        <v>17.149999999999999</v>
      </c>
      <c r="K1593">
        <v>12</v>
      </c>
    </row>
    <row r="1594" spans="1:11" x14ac:dyDescent="0.25">
      <c r="A1594" t="s">
        <v>457</v>
      </c>
      <c r="B1594" t="s">
        <v>179</v>
      </c>
      <c r="C1594" t="s">
        <v>180</v>
      </c>
      <c r="D1594" t="s">
        <v>32</v>
      </c>
      <c r="E1594" t="s">
        <v>124</v>
      </c>
      <c r="F1594">
        <v>0.59164458939931452</v>
      </c>
      <c r="G1594">
        <v>0.883289178798629</v>
      </c>
      <c r="H1594">
        <v>0.3</v>
      </c>
      <c r="I1594">
        <v>420019811600</v>
      </c>
      <c r="J1594">
        <v>37.5</v>
      </c>
      <c r="K1594">
        <v>13</v>
      </c>
    </row>
    <row r="1595" spans="1:11" x14ac:dyDescent="0.25">
      <c r="A1595" t="s">
        <v>457</v>
      </c>
      <c r="B1595" t="s">
        <v>460</v>
      </c>
      <c r="C1595" t="s">
        <v>461</v>
      </c>
      <c r="D1595" t="s">
        <v>32</v>
      </c>
      <c r="E1595" t="s">
        <v>39</v>
      </c>
      <c r="F1595">
        <v>0.59152576279546809</v>
      </c>
      <c r="G1595">
        <v>0.88305152559093614</v>
      </c>
      <c r="H1595">
        <v>0.3</v>
      </c>
      <c r="I1595">
        <v>26790093000</v>
      </c>
      <c r="J1595">
        <v>18.850000000000001</v>
      </c>
      <c r="K1595">
        <v>14</v>
      </c>
    </row>
    <row r="1596" spans="1:11" x14ac:dyDescent="0.25">
      <c r="A1596" t="s">
        <v>457</v>
      </c>
      <c r="B1596" t="s">
        <v>441</v>
      </c>
      <c r="C1596" t="s">
        <v>442</v>
      </c>
      <c r="D1596" t="s">
        <v>14</v>
      </c>
      <c r="E1596" t="s">
        <v>443</v>
      </c>
      <c r="F1596">
        <v>0.58796948800841697</v>
      </c>
      <c r="G1596">
        <v>0.32593897601683403</v>
      </c>
      <c r="H1596">
        <v>0.85</v>
      </c>
      <c r="I1596">
        <v>37660486400</v>
      </c>
      <c r="J1596">
        <v>72.099999999999994</v>
      </c>
      <c r="K1596">
        <v>15</v>
      </c>
    </row>
    <row r="1597" spans="1:11" x14ac:dyDescent="0.25">
      <c r="A1597" t="s">
        <v>457</v>
      </c>
      <c r="B1597" t="s">
        <v>455</v>
      </c>
      <c r="C1597" t="s">
        <v>456</v>
      </c>
      <c r="D1597" t="s">
        <v>18</v>
      </c>
      <c r="E1597" t="s">
        <v>382</v>
      </c>
      <c r="F1597">
        <v>0.57954126761707214</v>
      </c>
      <c r="G1597">
        <v>0.60908253523414413</v>
      </c>
      <c r="H1597">
        <v>0.55000000000000004</v>
      </c>
      <c r="I1597">
        <v>187939919200</v>
      </c>
      <c r="J1597">
        <v>32.6</v>
      </c>
      <c r="K1597">
        <v>16</v>
      </c>
    </row>
    <row r="1598" spans="1:11" x14ac:dyDescent="0.25">
      <c r="A1598" t="s">
        <v>457</v>
      </c>
      <c r="B1598" t="s">
        <v>462</v>
      </c>
      <c r="C1598" t="s">
        <v>463</v>
      </c>
      <c r="D1598" t="s">
        <v>32</v>
      </c>
      <c r="E1598" t="s">
        <v>33</v>
      </c>
      <c r="F1598">
        <v>0.57073472601150699</v>
      </c>
      <c r="G1598">
        <v>0.74146945202301395</v>
      </c>
      <c r="H1598">
        <v>0.4</v>
      </c>
      <c r="I1598">
        <v>81638021700</v>
      </c>
      <c r="J1598">
        <v>37.85</v>
      </c>
      <c r="K1598">
        <v>17</v>
      </c>
    </row>
    <row r="1599" spans="1:11" x14ac:dyDescent="0.25">
      <c r="A1599" t="s">
        <v>457</v>
      </c>
      <c r="B1599" t="s">
        <v>301</v>
      </c>
      <c r="C1599" t="s">
        <v>302</v>
      </c>
      <c r="D1599" t="s">
        <v>32</v>
      </c>
      <c r="E1599" t="s">
        <v>74</v>
      </c>
      <c r="F1599">
        <v>0.55401099241610718</v>
      </c>
      <c r="G1599">
        <v>0.85802198483221426</v>
      </c>
      <c r="H1599">
        <v>0.25</v>
      </c>
      <c r="I1599">
        <v>10072766000</v>
      </c>
      <c r="J1599">
        <v>18</v>
      </c>
      <c r="K1599">
        <v>18</v>
      </c>
    </row>
    <row r="1600" spans="1:11" x14ac:dyDescent="0.25">
      <c r="A1600" t="s">
        <v>457</v>
      </c>
      <c r="B1600" t="s">
        <v>377</v>
      </c>
      <c r="C1600" t="s">
        <v>378</v>
      </c>
      <c r="D1600" t="s">
        <v>32</v>
      </c>
      <c r="E1600" t="s">
        <v>33</v>
      </c>
      <c r="F1600">
        <v>0.55376397648218667</v>
      </c>
      <c r="G1600">
        <v>0.45752795296437337</v>
      </c>
      <c r="H1600">
        <v>0.65</v>
      </c>
      <c r="I1600">
        <v>2889592220</v>
      </c>
      <c r="J1600">
        <v>4.2699999999999996</v>
      </c>
      <c r="K1600">
        <v>19</v>
      </c>
    </row>
    <row r="1601" spans="1:11" x14ac:dyDescent="0.25">
      <c r="A1601" t="s">
        <v>457</v>
      </c>
      <c r="B1601" t="s">
        <v>433</v>
      </c>
      <c r="C1601" t="s">
        <v>434</v>
      </c>
      <c r="D1601" t="s">
        <v>18</v>
      </c>
      <c r="E1601" t="s">
        <v>382</v>
      </c>
      <c r="F1601">
        <v>0.54898549857660028</v>
      </c>
      <c r="G1601">
        <v>0.74797099715320048</v>
      </c>
      <c r="H1601">
        <v>0.35</v>
      </c>
      <c r="I1601">
        <v>14665403600</v>
      </c>
      <c r="J1601">
        <v>11.6</v>
      </c>
      <c r="K1601">
        <v>20</v>
      </c>
    </row>
    <row r="1602" spans="1:11" x14ac:dyDescent="0.25">
      <c r="A1602" t="s">
        <v>464</v>
      </c>
      <c r="B1602" t="s">
        <v>340</v>
      </c>
      <c r="C1602" t="s">
        <v>341</v>
      </c>
      <c r="D1602" t="s">
        <v>14</v>
      </c>
      <c r="E1602" t="s">
        <v>74</v>
      </c>
      <c r="F1602">
        <v>0.88846661183987807</v>
      </c>
      <c r="G1602">
        <v>0.9769332236797561</v>
      </c>
      <c r="H1602">
        <v>0.8</v>
      </c>
      <c r="I1602">
        <v>2363462600</v>
      </c>
      <c r="J1602">
        <v>50</v>
      </c>
      <c r="K1602">
        <v>1</v>
      </c>
    </row>
    <row r="1603" spans="1:11" x14ac:dyDescent="0.25">
      <c r="A1603" t="s">
        <v>464</v>
      </c>
      <c r="B1603" t="s">
        <v>94</v>
      </c>
      <c r="C1603" t="s">
        <v>95</v>
      </c>
      <c r="D1603" t="s">
        <v>32</v>
      </c>
      <c r="E1603" t="s">
        <v>33</v>
      </c>
      <c r="F1603">
        <v>0.86655206096881443</v>
      </c>
      <c r="G1603">
        <v>0.98310412193762897</v>
      </c>
      <c r="H1603">
        <v>0.75</v>
      </c>
      <c r="I1603">
        <v>6106547340</v>
      </c>
      <c r="J1603">
        <v>2.85</v>
      </c>
      <c r="K1603">
        <v>2</v>
      </c>
    </row>
    <row r="1604" spans="1:11" x14ac:dyDescent="0.25">
      <c r="A1604" t="s">
        <v>464</v>
      </c>
      <c r="B1604" t="s">
        <v>403</v>
      </c>
      <c r="C1604" t="s">
        <v>404</v>
      </c>
      <c r="D1604" t="s">
        <v>32</v>
      </c>
      <c r="E1604" t="s">
        <v>33</v>
      </c>
      <c r="F1604">
        <v>0.75655584072409154</v>
      </c>
      <c r="G1604">
        <v>0.91311168144818322</v>
      </c>
      <c r="H1604">
        <v>0.6</v>
      </c>
      <c r="I1604">
        <v>2406680060</v>
      </c>
      <c r="J1604">
        <v>2.82</v>
      </c>
      <c r="K1604">
        <v>3</v>
      </c>
    </row>
    <row r="1605" spans="1:11" x14ac:dyDescent="0.25">
      <c r="A1605" t="s">
        <v>464</v>
      </c>
      <c r="B1605" t="s">
        <v>70</v>
      </c>
      <c r="C1605" t="s">
        <v>71</v>
      </c>
      <c r="D1605" t="s">
        <v>32</v>
      </c>
      <c r="E1605" t="s">
        <v>33</v>
      </c>
      <c r="F1605">
        <v>0.70778211028325544</v>
      </c>
      <c r="G1605">
        <v>0.76556422056651086</v>
      </c>
      <c r="H1605">
        <v>0.65</v>
      </c>
      <c r="I1605">
        <v>28216331160</v>
      </c>
      <c r="J1605">
        <v>7.22</v>
      </c>
      <c r="K1605">
        <v>4</v>
      </c>
    </row>
    <row r="1606" spans="1:11" x14ac:dyDescent="0.25">
      <c r="A1606" t="s">
        <v>464</v>
      </c>
      <c r="B1606" t="s">
        <v>188</v>
      </c>
      <c r="C1606" t="s">
        <v>189</v>
      </c>
      <c r="D1606" t="s">
        <v>32</v>
      </c>
      <c r="E1606" t="s">
        <v>29</v>
      </c>
      <c r="F1606">
        <v>0.67783146608308453</v>
      </c>
      <c r="G1606">
        <v>0.55566293216616902</v>
      </c>
      <c r="H1606">
        <v>0.8</v>
      </c>
      <c r="I1606">
        <v>10531809100</v>
      </c>
      <c r="J1606">
        <v>12</v>
      </c>
      <c r="K1606">
        <v>5</v>
      </c>
    </row>
    <row r="1607" spans="1:11" x14ac:dyDescent="0.25">
      <c r="A1607" t="s">
        <v>464</v>
      </c>
      <c r="B1607" t="s">
        <v>82</v>
      </c>
      <c r="C1607" t="s">
        <v>83</v>
      </c>
      <c r="D1607" t="s">
        <v>32</v>
      </c>
      <c r="E1607" t="s">
        <v>39</v>
      </c>
      <c r="F1607">
        <v>0.65089012306529681</v>
      </c>
      <c r="G1607">
        <v>0.85178024613059367</v>
      </c>
      <c r="H1607">
        <v>0.45</v>
      </c>
      <c r="I1607">
        <v>29035738900</v>
      </c>
      <c r="J1607">
        <v>19.399999999999999</v>
      </c>
      <c r="K1607">
        <v>6</v>
      </c>
    </row>
    <row r="1608" spans="1:11" x14ac:dyDescent="0.25">
      <c r="A1608" t="s">
        <v>464</v>
      </c>
      <c r="B1608" t="s">
        <v>135</v>
      </c>
      <c r="C1608" t="s">
        <v>136</v>
      </c>
      <c r="D1608" t="s">
        <v>32</v>
      </c>
      <c r="E1608" t="s">
        <v>29</v>
      </c>
      <c r="F1608">
        <v>0.65050500165091996</v>
      </c>
      <c r="G1608">
        <v>0.75101000330183987</v>
      </c>
      <c r="H1608">
        <v>0.55000000000000004</v>
      </c>
      <c r="I1608">
        <v>355374605700</v>
      </c>
      <c r="J1608">
        <v>17.2</v>
      </c>
      <c r="K1608">
        <v>7</v>
      </c>
    </row>
    <row r="1609" spans="1:11" x14ac:dyDescent="0.25">
      <c r="A1609" t="s">
        <v>464</v>
      </c>
      <c r="B1609" t="s">
        <v>229</v>
      </c>
      <c r="C1609" t="s">
        <v>230</v>
      </c>
      <c r="D1609" t="s">
        <v>18</v>
      </c>
      <c r="E1609" t="s">
        <v>29</v>
      </c>
      <c r="F1609">
        <v>0.64970330005350929</v>
      </c>
      <c r="G1609">
        <v>0.74940660010701854</v>
      </c>
      <c r="H1609">
        <v>0.55000000000000004</v>
      </c>
      <c r="I1609">
        <v>57044107000</v>
      </c>
      <c r="J1609">
        <v>25.9</v>
      </c>
      <c r="K1609">
        <v>8</v>
      </c>
    </row>
    <row r="1610" spans="1:11" x14ac:dyDescent="0.25">
      <c r="A1610" t="s">
        <v>464</v>
      </c>
      <c r="B1610" t="s">
        <v>287</v>
      </c>
      <c r="C1610" t="s">
        <v>288</v>
      </c>
      <c r="D1610" t="s">
        <v>14</v>
      </c>
      <c r="E1610" t="s">
        <v>59</v>
      </c>
      <c r="F1610">
        <v>0.64409309044474006</v>
      </c>
      <c r="G1610">
        <v>0.83818618088948005</v>
      </c>
      <c r="H1610">
        <v>0.45</v>
      </c>
      <c r="I1610">
        <v>65424355600</v>
      </c>
      <c r="J1610">
        <v>27.7</v>
      </c>
      <c r="K1610">
        <v>9</v>
      </c>
    </row>
    <row r="1611" spans="1:11" x14ac:dyDescent="0.25">
      <c r="A1611" t="s">
        <v>464</v>
      </c>
      <c r="B1611" t="s">
        <v>384</v>
      </c>
      <c r="C1611" t="s">
        <v>385</v>
      </c>
      <c r="D1611" t="s">
        <v>14</v>
      </c>
      <c r="E1611" t="s">
        <v>26</v>
      </c>
      <c r="F1611">
        <v>0.64343356554455022</v>
      </c>
      <c r="G1611">
        <v>0.88686713108910054</v>
      </c>
      <c r="H1611">
        <v>0.4</v>
      </c>
      <c r="I1611">
        <v>6899456800</v>
      </c>
      <c r="J1611">
        <v>8.9</v>
      </c>
      <c r="K1611">
        <v>10</v>
      </c>
    </row>
    <row r="1612" spans="1:11" x14ac:dyDescent="0.25">
      <c r="A1612" t="s">
        <v>464</v>
      </c>
      <c r="B1612" t="s">
        <v>460</v>
      </c>
      <c r="C1612" t="s">
        <v>461</v>
      </c>
      <c r="D1612" t="s">
        <v>32</v>
      </c>
      <c r="E1612" t="s">
        <v>39</v>
      </c>
      <c r="F1612">
        <v>0.61796530791763049</v>
      </c>
      <c r="G1612">
        <v>0.93593061583526105</v>
      </c>
      <c r="H1612">
        <v>0.3</v>
      </c>
      <c r="I1612">
        <v>28652291400</v>
      </c>
      <c r="J1612">
        <v>19.8</v>
      </c>
      <c r="K1612">
        <v>11</v>
      </c>
    </row>
    <row r="1613" spans="1:11" x14ac:dyDescent="0.25">
      <c r="A1613" t="s">
        <v>464</v>
      </c>
      <c r="B1613" t="s">
        <v>179</v>
      </c>
      <c r="C1613" t="s">
        <v>180</v>
      </c>
      <c r="D1613" t="s">
        <v>32</v>
      </c>
      <c r="E1613" t="s">
        <v>124</v>
      </c>
      <c r="F1613">
        <v>0.60986000756020686</v>
      </c>
      <c r="G1613">
        <v>0.86972001512041375</v>
      </c>
      <c r="H1613">
        <v>0.35</v>
      </c>
      <c r="I1613">
        <v>419020070300</v>
      </c>
      <c r="J1613">
        <v>37.299999999999997</v>
      </c>
      <c r="K1613">
        <v>12</v>
      </c>
    </row>
    <row r="1614" spans="1:11" x14ac:dyDescent="0.25">
      <c r="A1614" t="s">
        <v>464</v>
      </c>
      <c r="B1614" t="s">
        <v>445</v>
      </c>
      <c r="C1614" t="s">
        <v>446</v>
      </c>
      <c r="D1614" t="s">
        <v>32</v>
      </c>
      <c r="E1614" t="s">
        <v>74</v>
      </c>
      <c r="F1614">
        <v>0.6060577553959402</v>
      </c>
      <c r="G1614">
        <v>0.81211551079188038</v>
      </c>
      <c r="H1614">
        <v>0.4</v>
      </c>
      <c r="I1614">
        <v>567588627800</v>
      </c>
      <c r="J1614">
        <v>33.950000000000003</v>
      </c>
      <c r="K1614">
        <v>13</v>
      </c>
    </row>
    <row r="1615" spans="1:11" x14ac:dyDescent="0.25">
      <c r="A1615" t="s">
        <v>464</v>
      </c>
      <c r="B1615" t="s">
        <v>455</v>
      </c>
      <c r="C1615" t="s">
        <v>456</v>
      </c>
      <c r="D1615" t="s">
        <v>18</v>
      </c>
      <c r="E1615" t="s">
        <v>382</v>
      </c>
      <c r="F1615">
        <v>0.59924175238515187</v>
      </c>
      <c r="G1615">
        <v>0.59848350477030365</v>
      </c>
      <c r="H1615">
        <v>0.6</v>
      </c>
      <c r="I1615">
        <v>189294115200</v>
      </c>
      <c r="J1615">
        <v>32.1</v>
      </c>
      <c r="K1615">
        <v>14</v>
      </c>
    </row>
    <row r="1616" spans="1:11" x14ac:dyDescent="0.25">
      <c r="A1616" t="s">
        <v>464</v>
      </c>
      <c r="B1616" t="s">
        <v>433</v>
      </c>
      <c r="C1616" t="s">
        <v>434</v>
      </c>
      <c r="D1616" t="s">
        <v>18</v>
      </c>
      <c r="E1616" t="s">
        <v>382</v>
      </c>
      <c r="F1616">
        <v>0.59412811313068847</v>
      </c>
      <c r="G1616">
        <v>0.73825622626137688</v>
      </c>
      <c r="H1616">
        <v>0.45</v>
      </c>
      <c r="I1616">
        <v>15027822600</v>
      </c>
      <c r="J1616">
        <v>11.5</v>
      </c>
      <c r="K1616">
        <v>15</v>
      </c>
    </row>
    <row r="1617" spans="1:11" x14ac:dyDescent="0.25">
      <c r="A1617" t="s">
        <v>464</v>
      </c>
      <c r="B1617" t="s">
        <v>186</v>
      </c>
      <c r="C1617" t="s">
        <v>187</v>
      </c>
      <c r="D1617" t="s">
        <v>32</v>
      </c>
      <c r="E1617" t="s">
        <v>74</v>
      </c>
      <c r="F1617">
        <v>0.58804344668312813</v>
      </c>
      <c r="G1617">
        <v>0.92608689336625616</v>
      </c>
      <c r="H1617">
        <v>0.25</v>
      </c>
      <c r="I1617">
        <v>17988661400</v>
      </c>
      <c r="J1617">
        <v>15.2</v>
      </c>
      <c r="K1617">
        <v>16</v>
      </c>
    </row>
    <row r="1618" spans="1:11" x14ac:dyDescent="0.25">
      <c r="A1618" t="s">
        <v>464</v>
      </c>
      <c r="B1618" t="s">
        <v>430</v>
      </c>
      <c r="C1618" t="s">
        <v>431</v>
      </c>
      <c r="D1618" t="s">
        <v>32</v>
      </c>
      <c r="E1618" t="s">
        <v>317</v>
      </c>
      <c r="F1618">
        <v>0.58076442745169077</v>
      </c>
      <c r="G1618">
        <v>0.91152885490338154</v>
      </c>
      <c r="H1618">
        <v>0.25</v>
      </c>
      <c r="I1618">
        <v>82203690100</v>
      </c>
      <c r="J1618">
        <v>44.8</v>
      </c>
      <c r="K1618">
        <v>17</v>
      </c>
    </row>
    <row r="1619" spans="1:11" x14ac:dyDescent="0.25">
      <c r="A1619" t="s">
        <v>464</v>
      </c>
      <c r="B1619" t="s">
        <v>465</v>
      </c>
      <c r="C1619" t="s">
        <v>466</v>
      </c>
      <c r="D1619" t="s">
        <v>32</v>
      </c>
      <c r="E1619" t="s">
        <v>39</v>
      </c>
      <c r="F1619">
        <v>0.57437365306809873</v>
      </c>
      <c r="G1619">
        <v>0.9487473061361974</v>
      </c>
      <c r="H1619">
        <v>0.2</v>
      </c>
      <c r="I1619">
        <v>365388306800</v>
      </c>
      <c r="J1619">
        <v>76.8</v>
      </c>
      <c r="K1619">
        <v>18</v>
      </c>
    </row>
    <row r="1620" spans="1:11" x14ac:dyDescent="0.25">
      <c r="A1620" t="s">
        <v>464</v>
      </c>
      <c r="B1620" t="s">
        <v>158</v>
      </c>
      <c r="C1620" t="s">
        <v>159</v>
      </c>
      <c r="D1620" t="s">
        <v>32</v>
      </c>
      <c r="E1620" t="s">
        <v>160</v>
      </c>
      <c r="F1620">
        <v>0.57326750894240353</v>
      </c>
      <c r="G1620">
        <v>0.59653501788480701</v>
      </c>
      <c r="H1620">
        <v>0.55000000000000004</v>
      </c>
      <c r="I1620">
        <v>40750747000</v>
      </c>
      <c r="J1620">
        <v>16.25</v>
      </c>
      <c r="K1620">
        <v>19</v>
      </c>
    </row>
    <row r="1621" spans="1:11" x14ac:dyDescent="0.25">
      <c r="A1621" t="s">
        <v>464</v>
      </c>
      <c r="B1621" t="s">
        <v>351</v>
      </c>
      <c r="C1621" t="s">
        <v>352</v>
      </c>
      <c r="D1621" t="s">
        <v>32</v>
      </c>
      <c r="E1621" t="s">
        <v>353</v>
      </c>
      <c r="F1621">
        <v>0.56680111949705714</v>
      </c>
      <c r="G1621">
        <v>0.68360223899411432</v>
      </c>
      <c r="H1621">
        <v>0.45</v>
      </c>
      <c r="I1621">
        <v>8356146700</v>
      </c>
      <c r="J1621">
        <v>25.72</v>
      </c>
      <c r="K1621">
        <v>20</v>
      </c>
    </row>
    <row r="1622" spans="1:11" x14ac:dyDescent="0.25">
      <c r="A1622" t="s">
        <v>467</v>
      </c>
      <c r="B1622" t="s">
        <v>94</v>
      </c>
      <c r="C1622" t="s">
        <v>95</v>
      </c>
      <c r="D1622" t="s">
        <v>32</v>
      </c>
      <c r="E1622" t="s">
        <v>33</v>
      </c>
      <c r="F1622">
        <v>0.94467734136083747</v>
      </c>
      <c r="G1622">
        <v>0.98935468272167493</v>
      </c>
      <c r="H1622">
        <v>0.9</v>
      </c>
      <c r="I1622">
        <v>6418584220</v>
      </c>
      <c r="J1622">
        <v>3.04</v>
      </c>
      <c r="K1622">
        <v>1</v>
      </c>
    </row>
    <row r="1623" spans="1:11" x14ac:dyDescent="0.25">
      <c r="A1623" t="s">
        <v>467</v>
      </c>
      <c r="B1623" t="s">
        <v>340</v>
      </c>
      <c r="C1623" t="s">
        <v>341</v>
      </c>
      <c r="D1623" t="s">
        <v>14</v>
      </c>
      <c r="E1623" t="s">
        <v>74</v>
      </c>
      <c r="F1623">
        <v>0.89374856070115238</v>
      </c>
      <c r="G1623">
        <v>0.98749712140230472</v>
      </c>
      <c r="H1623">
        <v>0.8</v>
      </c>
      <c r="I1623">
        <v>2360739400</v>
      </c>
      <c r="J1623">
        <v>53.6</v>
      </c>
      <c r="K1623">
        <v>2</v>
      </c>
    </row>
    <row r="1624" spans="1:11" x14ac:dyDescent="0.25">
      <c r="A1624" t="s">
        <v>467</v>
      </c>
      <c r="B1624" t="s">
        <v>287</v>
      </c>
      <c r="C1624" t="s">
        <v>288</v>
      </c>
      <c r="D1624" t="s">
        <v>14</v>
      </c>
      <c r="E1624" t="s">
        <v>59</v>
      </c>
      <c r="F1624">
        <v>0.70546847537663626</v>
      </c>
      <c r="G1624">
        <v>0.81093695075327255</v>
      </c>
      <c r="H1624">
        <v>0.6</v>
      </c>
      <c r="I1624">
        <v>65417981600</v>
      </c>
      <c r="J1624">
        <v>27.7</v>
      </c>
      <c r="K1624">
        <v>3</v>
      </c>
    </row>
    <row r="1625" spans="1:11" x14ac:dyDescent="0.25">
      <c r="A1625" t="s">
        <v>467</v>
      </c>
      <c r="B1625" t="s">
        <v>445</v>
      </c>
      <c r="C1625" t="s">
        <v>446</v>
      </c>
      <c r="D1625" t="s">
        <v>32</v>
      </c>
      <c r="E1625" t="s">
        <v>74</v>
      </c>
      <c r="F1625">
        <v>0.68713961080176666</v>
      </c>
      <c r="G1625">
        <v>0.8242792216035334</v>
      </c>
      <c r="H1625">
        <v>0.55000000000000004</v>
      </c>
      <c r="I1625">
        <v>567739164200</v>
      </c>
      <c r="J1625">
        <v>34.200000000000003</v>
      </c>
      <c r="K1625">
        <v>4</v>
      </c>
    </row>
    <row r="1626" spans="1:11" x14ac:dyDescent="0.25">
      <c r="A1626" t="s">
        <v>467</v>
      </c>
      <c r="B1626" t="s">
        <v>188</v>
      </c>
      <c r="C1626" t="s">
        <v>189</v>
      </c>
      <c r="D1626" t="s">
        <v>32</v>
      </c>
      <c r="E1626" t="s">
        <v>29</v>
      </c>
      <c r="F1626">
        <v>0.6731272454896926</v>
      </c>
      <c r="G1626">
        <v>0.6962544909793853</v>
      </c>
      <c r="H1626">
        <v>0.65</v>
      </c>
      <c r="I1626">
        <v>10968964100</v>
      </c>
      <c r="J1626">
        <v>12</v>
      </c>
      <c r="K1626">
        <v>5</v>
      </c>
    </row>
    <row r="1627" spans="1:11" x14ac:dyDescent="0.25">
      <c r="A1627" t="s">
        <v>467</v>
      </c>
      <c r="B1627" t="s">
        <v>403</v>
      </c>
      <c r="C1627" t="s">
        <v>404</v>
      </c>
      <c r="D1627" t="s">
        <v>32</v>
      </c>
      <c r="E1627" t="s">
        <v>33</v>
      </c>
      <c r="F1627">
        <v>0.67070241118068608</v>
      </c>
      <c r="G1627">
        <v>0.89140482236137208</v>
      </c>
      <c r="H1627">
        <v>0.45</v>
      </c>
      <c r="I1627">
        <v>2427526360</v>
      </c>
      <c r="J1627">
        <v>2.81</v>
      </c>
      <c r="K1627">
        <v>6</v>
      </c>
    </row>
    <row r="1628" spans="1:11" x14ac:dyDescent="0.25">
      <c r="A1628" t="s">
        <v>467</v>
      </c>
      <c r="B1628" t="s">
        <v>351</v>
      </c>
      <c r="C1628" t="s">
        <v>352</v>
      </c>
      <c r="D1628" t="s">
        <v>32</v>
      </c>
      <c r="E1628" t="s">
        <v>353</v>
      </c>
      <c r="F1628">
        <v>0.6542656719178318</v>
      </c>
      <c r="G1628">
        <v>0.80853134383566361</v>
      </c>
      <c r="H1628">
        <v>0.5</v>
      </c>
      <c r="I1628">
        <v>8483221660</v>
      </c>
      <c r="J1628">
        <v>25.86</v>
      </c>
      <c r="K1628">
        <v>7</v>
      </c>
    </row>
    <row r="1629" spans="1:11" x14ac:dyDescent="0.25">
      <c r="A1629" t="s">
        <v>467</v>
      </c>
      <c r="B1629" t="s">
        <v>103</v>
      </c>
      <c r="C1629" t="s">
        <v>104</v>
      </c>
      <c r="D1629" t="s">
        <v>32</v>
      </c>
      <c r="E1629" t="s">
        <v>39</v>
      </c>
      <c r="F1629">
        <v>0.6337170077293135</v>
      </c>
      <c r="G1629">
        <v>0.66743401545862702</v>
      </c>
      <c r="H1629">
        <v>0.6</v>
      </c>
      <c r="I1629">
        <v>29963646100</v>
      </c>
      <c r="J1629">
        <v>27.8</v>
      </c>
      <c r="K1629">
        <v>8</v>
      </c>
    </row>
    <row r="1630" spans="1:11" x14ac:dyDescent="0.25">
      <c r="A1630" t="s">
        <v>467</v>
      </c>
      <c r="B1630" t="s">
        <v>179</v>
      </c>
      <c r="C1630" t="s">
        <v>180</v>
      </c>
      <c r="D1630" t="s">
        <v>32</v>
      </c>
      <c r="E1630" t="s">
        <v>124</v>
      </c>
      <c r="F1630">
        <v>0.62837632842586055</v>
      </c>
      <c r="G1630">
        <v>0.85675265685172108</v>
      </c>
      <c r="H1630">
        <v>0.4</v>
      </c>
      <c r="I1630">
        <v>417199182900</v>
      </c>
      <c r="J1630">
        <v>37.4</v>
      </c>
      <c r="K1630">
        <v>9</v>
      </c>
    </row>
    <row r="1631" spans="1:11" x14ac:dyDescent="0.25">
      <c r="A1631" t="s">
        <v>467</v>
      </c>
      <c r="B1631" t="s">
        <v>368</v>
      </c>
      <c r="C1631" t="s">
        <v>369</v>
      </c>
      <c r="D1631" t="s">
        <v>32</v>
      </c>
      <c r="E1631" t="s">
        <v>33</v>
      </c>
      <c r="F1631">
        <v>0.62464688180035455</v>
      </c>
      <c r="G1631">
        <v>0.89929376360070912</v>
      </c>
      <c r="H1631">
        <v>0.35</v>
      </c>
      <c r="I1631">
        <v>2215931000</v>
      </c>
      <c r="J1631">
        <v>28</v>
      </c>
      <c r="K1631">
        <v>10</v>
      </c>
    </row>
    <row r="1632" spans="1:11" x14ac:dyDescent="0.25">
      <c r="A1632" t="s">
        <v>467</v>
      </c>
      <c r="B1632" t="s">
        <v>82</v>
      </c>
      <c r="C1632" t="s">
        <v>83</v>
      </c>
      <c r="D1632" t="s">
        <v>32</v>
      </c>
      <c r="E1632" t="s">
        <v>39</v>
      </c>
      <c r="F1632">
        <v>0.60888012248904255</v>
      </c>
      <c r="G1632">
        <v>0.86776024497808524</v>
      </c>
      <c r="H1632">
        <v>0.35</v>
      </c>
      <c r="I1632">
        <v>29320779400</v>
      </c>
      <c r="J1632">
        <v>19.75</v>
      </c>
      <c r="K1632">
        <v>11</v>
      </c>
    </row>
    <row r="1633" spans="1:11" x14ac:dyDescent="0.25">
      <c r="A1633" t="s">
        <v>467</v>
      </c>
      <c r="B1633" t="s">
        <v>92</v>
      </c>
      <c r="C1633" t="s">
        <v>93</v>
      </c>
      <c r="D1633" t="s">
        <v>14</v>
      </c>
      <c r="E1633" t="s">
        <v>59</v>
      </c>
      <c r="F1633">
        <v>0.59843941518520871</v>
      </c>
      <c r="G1633">
        <v>0.64687883037041738</v>
      </c>
      <c r="H1633">
        <v>0.55000000000000004</v>
      </c>
      <c r="I1633">
        <v>15213732600</v>
      </c>
      <c r="J1633">
        <v>13.2</v>
      </c>
      <c r="K1633">
        <v>12</v>
      </c>
    </row>
    <row r="1634" spans="1:11" x14ac:dyDescent="0.25">
      <c r="A1634" t="s">
        <v>467</v>
      </c>
      <c r="B1634" t="s">
        <v>377</v>
      </c>
      <c r="C1634" t="s">
        <v>378</v>
      </c>
      <c r="D1634" t="s">
        <v>32</v>
      </c>
      <c r="E1634" t="s">
        <v>33</v>
      </c>
      <c r="F1634">
        <v>0.5973376938920103</v>
      </c>
      <c r="G1634">
        <v>0.64467538778402056</v>
      </c>
      <c r="H1634">
        <v>0.55000000000000004</v>
      </c>
      <c r="I1634">
        <v>2892096580</v>
      </c>
      <c r="J1634">
        <v>4.4800000000000004</v>
      </c>
      <c r="K1634">
        <v>13</v>
      </c>
    </row>
    <row r="1635" spans="1:11" x14ac:dyDescent="0.25">
      <c r="A1635" t="s">
        <v>467</v>
      </c>
      <c r="B1635" t="s">
        <v>465</v>
      </c>
      <c r="C1635" t="s">
        <v>466</v>
      </c>
      <c r="D1635" t="s">
        <v>32</v>
      </c>
      <c r="E1635" t="s">
        <v>39</v>
      </c>
      <c r="F1635">
        <v>0.58662219403262816</v>
      </c>
      <c r="G1635">
        <v>0.92324438806525633</v>
      </c>
      <c r="H1635">
        <v>0.25</v>
      </c>
      <c r="I1635">
        <v>371021795600</v>
      </c>
      <c r="J1635">
        <v>76.8</v>
      </c>
      <c r="K1635">
        <v>14</v>
      </c>
    </row>
    <row r="1636" spans="1:11" x14ac:dyDescent="0.25">
      <c r="A1636" t="s">
        <v>467</v>
      </c>
      <c r="B1636" t="s">
        <v>135</v>
      </c>
      <c r="C1636" t="s">
        <v>136</v>
      </c>
      <c r="D1636" t="s">
        <v>32</v>
      </c>
      <c r="E1636" t="s">
        <v>29</v>
      </c>
      <c r="F1636">
        <v>0.58061230536584418</v>
      </c>
      <c r="G1636">
        <v>0.7112246107316883</v>
      </c>
      <c r="H1636">
        <v>0.45</v>
      </c>
      <c r="I1636">
        <v>356315680100</v>
      </c>
      <c r="J1636">
        <v>17.2</v>
      </c>
      <c r="K1636">
        <v>15</v>
      </c>
    </row>
    <row r="1637" spans="1:11" x14ac:dyDescent="0.25">
      <c r="A1637" t="s">
        <v>467</v>
      </c>
      <c r="B1637" t="s">
        <v>430</v>
      </c>
      <c r="C1637" t="s">
        <v>431</v>
      </c>
      <c r="D1637" t="s">
        <v>32</v>
      </c>
      <c r="E1637" t="s">
        <v>317</v>
      </c>
      <c r="F1637">
        <v>0.57549129037824365</v>
      </c>
      <c r="G1637">
        <v>0.90098258075648741</v>
      </c>
      <c r="H1637">
        <v>0.25</v>
      </c>
      <c r="I1637">
        <v>84796600500</v>
      </c>
      <c r="J1637">
        <v>44</v>
      </c>
      <c r="K1637">
        <v>16</v>
      </c>
    </row>
    <row r="1638" spans="1:11" x14ac:dyDescent="0.25">
      <c r="A1638" t="s">
        <v>467</v>
      </c>
      <c r="B1638" t="s">
        <v>397</v>
      </c>
      <c r="C1638" t="s">
        <v>398</v>
      </c>
      <c r="D1638" t="s">
        <v>32</v>
      </c>
      <c r="E1638" t="s">
        <v>42</v>
      </c>
      <c r="F1638">
        <v>0.56792644285481708</v>
      </c>
      <c r="G1638">
        <v>0.48585288570963409</v>
      </c>
      <c r="H1638">
        <v>0.65</v>
      </c>
      <c r="I1638">
        <v>2570500600</v>
      </c>
      <c r="J1638">
        <v>15.45</v>
      </c>
      <c r="K1638">
        <v>17</v>
      </c>
    </row>
    <row r="1639" spans="1:11" x14ac:dyDescent="0.25">
      <c r="A1639" t="s">
        <v>467</v>
      </c>
      <c r="B1639" t="s">
        <v>166</v>
      </c>
      <c r="C1639" t="s">
        <v>167</v>
      </c>
      <c r="D1639" t="s">
        <v>32</v>
      </c>
      <c r="E1639" t="s">
        <v>59</v>
      </c>
      <c r="F1639">
        <v>0.56727508729094989</v>
      </c>
      <c r="G1639">
        <v>0.4845501745818997</v>
      </c>
      <c r="H1639">
        <v>0.65</v>
      </c>
      <c r="I1639">
        <v>113919664800</v>
      </c>
      <c r="J1639">
        <v>30.3</v>
      </c>
      <c r="K1639">
        <v>18</v>
      </c>
    </row>
    <row r="1640" spans="1:11" x14ac:dyDescent="0.25">
      <c r="A1640" t="s">
        <v>467</v>
      </c>
      <c r="B1640" t="s">
        <v>455</v>
      </c>
      <c r="C1640" t="s">
        <v>456</v>
      </c>
      <c r="D1640" t="s">
        <v>18</v>
      </c>
      <c r="E1640" t="s">
        <v>382</v>
      </c>
      <c r="F1640">
        <v>0.56296509519039373</v>
      </c>
      <c r="G1640">
        <v>0.62593019038078734</v>
      </c>
      <c r="H1640">
        <v>0.5</v>
      </c>
      <c r="I1640">
        <v>194090786000</v>
      </c>
      <c r="J1640">
        <v>32.9</v>
      </c>
      <c r="K1640">
        <v>19</v>
      </c>
    </row>
    <row r="1641" spans="1:11" x14ac:dyDescent="0.25">
      <c r="A1641" t="s">
        <v>467</v>
      </c>
      <c r="B1641" t="s">
        <v>110</v>
      </c>
      <c r="C1641" t="s">
        <v>111</v>
      </c>
      <c r="D1641" t="s">
        <v>32</v>
      </c>
      <c r="E1641" t="s">
        <v>112</v>
      </c>
      <c r="F1641">
        <v>0.5468082445890895</v>
      </c>
      <c r="G1641">
        <v>0.74361648917817902</v>
      </c>
      <c r="H1641">
        <v>0.35</v>
      </c>
      <c r="I1641">
        <v>2705713260</v>
      </c>
      <c r="J1641">
        <v>5.32</v>
      </c>
      <c r="K1641">
        <v>20</v>
      </c>
    </row>
    <row r="1642" spans="1:11" x14ac:dyDescent="0.25">
      <c r="A1642" t="s">
        <v>468</v>
      </c>
      <c r="B1642" t="s">
        <v>340</v>
      </c>
      <c r="C1642" t="s">
        <v>341</v>
      </c>
      <c r="D1642" t="s">
        <v>14</v>
      </c>
      <c r="E1642" t="s">
        <v>74</v>
      </c>
      <c r="F1642">
        <v>0.89386412779407787</v>
      </c>
      <c r="G1642">
        <v>0.98772825558815569</v>
      </c>
      <c r="H1642">
        <v>0.8</v>
      </c>
      <c r="I1642">
        <v>2370381400</v>
      </c>
      <c r="J1642">
        <v>52.5</v>
      </c>
      <c r="K1642">
        <v>1</v>
      </c>
    </row>
    <row r="1643" spans="1:11" x14ac:dyDescent="0.25">
      <c r="A1643" t="s">
        <v>468</v>
      </c>
      <c r="B1643" t="s">
        <v>94</v>
      </c>
      <c r="C1643" t="s">
        <v>95</v>
      </c>
      <c r="D1643" t="s">
        <v>32</v>
      </c>
      <c r="E1643" t="s">
        <v>33</v>
      </c>
      <c r="F1643">
        <v>0.81745529645521087</v>
      </c>
      <c r="G1643">
        <v>0.98491059291042171</v>
      </c>
      <c r="H1643">
        <v>0.65</v>
      </c>
      <c r="I1643">
        <v>6605302860</v>
      </c>
      <c r="J1643">
        <v>3.25</v>
      </c>
      <c r="K1643">
        <v>2</v>
      </c>
    </row>
    <row r="1644" spans="1:11" x14ac:dyDescent="0.25">
      <c r="A1644" t="s">
        <v>468</v>
      </c>
      <c r="B1644" t="s">
        <v>179</v>
      </c>
      <c r="C1644" t="s">
        <v>180</v>
      </c>
      <c r="D1644" t="s">
        <v>32</v>
      </c>
      <c r="E1644" t="s">
        <v>124</v>
      </c>
      <c r="F1644">
        <v>0.7706248513991103</v>
      </c>
      <c r="G1644">
        <v>0.84124970279822064</v>
      </c>
      <c r="H1644">
        <v>0.7</v>
      </c>
      <c r="I1644">
        <v>415569864300</v>
      </c>
      <c r="J1644">
        <v>37</v>
      </c>
      <c r="K1644">
        <v>3</v>
      </c>
    </row>
    <row r="1645" spans="1:11" x14ac:dyDescent="0.25">
      <c r="A1645" t="s">
        <v>468</v>
      </c>
      <c r="B1645" t="s">
        <v>287</v>
      </c>
      <c r="C1645" t="s">
        <v>288</v>
      </c>
      <c r="D1645" t="s">
        <v>14</v>
      </c>
      <c r="E1645" t="s">
        <v>59</v>
      </c>
      <c r="F1645">
        <v>0.74959481088315383</v>
      </c>
      <c r="G1645">
        <v>0.79918962176630759</v>
      </c>
      <c r="H1645">
        <v>0.7</v>
      </c>
      <c r="I1645">
        <v>65590974600</v>
      </c>
      <c r="J1645">
        <v>27.5</v>
      </c>
      <c r="K1645">
        <v>4</v>
      </c>
    </row>
    <row r="1646" spans="1:11" x14ac:dyDescent="0.25">
      <c r="A1646" t="s">
        <v>468</v>
      </c>
      <c r="B1646" t="s">
        <v>445</v>
      </c>
      <c r="C1646" t="s">
        <v>446</v>
      </c>
      <c r="D1646" t="s">
        <v>32</v>
      </c>
      <c r="E1646" t="s">
        <v>74</v>
      </c>
      <c r="F1646">
        <v>0.68512069209150295</v>
      </c>
      <c r="G1646">
        <v>0.82024138418300585</v>
      </c>
      <c r="H1646">
        <v>0.55000000000000004</v>
      </c>
      <c r="I1646">
        <v>568955563400</v>
      </c>
      <c r="J1646">
        <v>34.4</v>
      </c>
      <c r="K1646">
        <v>5</v>
      </c>
    </row>
    <row r="1647" spans="1:11" x14ac:dyDescent="0.25">
      <c r="A1647" t="s">
        <v>468</v>
      </c>
      <c r="B1647" t="s">
        <v>458</v>
      </c>
      <c r="C1647" t="s">
        <v>459</v>
      </c>
      <c r="D1647" t="s">
        <v>32</v>
      </c>
      <c r="E1647" t="s">
        <v>39</v>
      </c>
      <c r="F1647">
        <v>0.6722905169032658</v>
      </c>
      <c r="G1647">
        <v>0.64458103380653176</v>
      </c>
      <c r="H1647">
        <v>0.7</v>
      </c>
      <c r="I1647">
        <v>74306071800</v>
      </c>
      <c r="J1647">
        <v>58.9</v>
      </c>
      <c r="K1647">
        <v>6</v>
      </c>
    </row>
    <row r="1648" spans="1:11" x14ac:dyDescent="0.25">
      <c r="A1648" t="s">
        <v>468</v>
      </c>
      <c r="B1648" t="s">
        <v>465</v>
      </c>
      <c r="C1648" t="s">
        <v>466</v>
      </c>
      <c r="D1648" t="s">
        <v>32</v>
      </c>
      <c r="E1648" t="s">
        <v>39</v>
      </c>
      <c r="F1648">
        <v>0.63456894634628547</v>
      </c>
      <c r="G1648">
        <v>0.86913789269257091</v>
      </c>
      <c r="H1648">
        <v>0.4</v>
      </c>
      <c r="I1648">
        <v>375576199600</v>
      </c>
      <c r="J1648">
        <v>75.2</v>
      </c>
      <c r="K1648">
        <v>7</v>
      </c>
    </row>
    <row r="1649" spans="1:11" x14ac:dyDescent="0.25">
      <c r="A1649" t="s">
        <v>468</v>
      </c>
      <c r="B1649" t="s">
        <v>453</v>
      </c>
      <c r="C1649" t="s">
        <v>454</v>
      </c>
      <c r="D1649" t="s">
        <v>32</v>
      </c>
      <c r="E1649" t="s">
        <v>33</v>
      </c>
      <c r="F1649">
        <v>0.62205223330169679</v>
      </c>
      <c r="G1649">
        <v>0.69410446660339353</v>
      </c>
      <c r="H1649">
        <v>0.55000000000000004</v>
      </c>
      <c r="I1649">
        <v>7311664500</v>
      </c>
      <c r="J1649">
        <v>33.299999999999997</v>
      </c>
      <c r="K1649">
        <v>8</v>
      </c>
    </row>
    <row r="1650" spans="1:11" x14ac:dyDescent="0.25">
      <c r="A1650" t="s">
        <v>468</v>
      </c>
      <c r="B1650" t="s">
        <v>166</v>
      </c>
      <c r="C1650" t="s">
        <v>167</v>
      </c>
      <c r="D1650" t="s">
        <v>32</v>
      </c>
      <c r="E1650" t="s">
        <v>59</v>
      </c>
      <c r="F1650">
        <v>0.62008050794993796</v>
      </c>
      <c r="G1650">
        <v>0.69016101589987588</v>
      </c>
      <c r="H1650">
        <v>0.55000000000000004</v>
      </c>
      <c r="I1650">
        <v>114861386200</v>
      </c>
      <c r="J1650">
        <v>31.15</v>
      </c>
      <c r="K1650">
        <v>9</v>
      </c>
    </row>
    <row r="1651" spans="1:11" x14ac:dyDescent="0.25">
      <c r="A1651" t="s">
        <v>468</v>
      </c>
      <c r="B1651" t="s">
        <v>88</v>
      </c>
      <c r="C1651" t="s">
        <v>89</v>
      </c>
      <c r="D1651" t="s">
        <v>32</v>
      </c>
      <c r="E1651" t="s">
        <v>33</v>
      </c>
      <c r="F1651">
        <v>0.61245656876343735</v>
      </c>
      <c r="G1651">
        <v>0.67491313752687454</v>
      </c>
      <c r="H1651">
        <v>0.55000000000000004</v>
      </c>
      <c r="I1651">
        <v>102776262600</v>
      </c>
      <c r="J1651">
        <v>14.8</v>
      </c>
      <c r="K1651">
        <v>10</v>
      </c>
    </row>
    <row r="1652" spans="1:11" x14ac:dyDescent="0.25">
      <c r="A1652" t="s">
        <v>468</v>
      </c>
      <c r="B1652" t="s">
        <v>82</v>
      </c>
      <c r="C1652" t="s">
        <v>83</v>
      </c>
      <c r="D1652" t="s">
        <v>32</v>
      </c>
      <c r="E1652" t="s">
        <v>39</v>
      </c>
      <c r="F1652">
        <v>0.61125280773985669</v>
      </c>
      <c r="G1652">
        <v>0.82250561547971335</v>
      </c>
      <c r="H1652">
        <v>0.4</v>
      </c>
      <c r="I1652">
        <v>29362368800</v>
      </c>
      <c r="J1652">
        <v>19.7</v>
      </c>
      <c r="K1652">
        <v>11</v>
      </c>
    </row>
    <row r="1653" spans="1:11" x14ac:dyDescent="0.25">
      <c r="A1653" t="s">
        <v>468</v>
      </c>
      <c r="B1653" t="s">
        <v>403</v>
      </c>
      <c r="C1653" t="s">
        <v>404</v>
      </c>
      <c r="D1653" t="s">
        <v>32</v>
      </c>
      <c r="E1653" t="s">
        <v>33</v>
      </c>
      <c r="F1653">
        <v>0.60948596392013399</v>
      </c>
      <c r="G1653">
        <v>0.81897192784026807</v>
      </c>
      <c r="H1653">
        <v>0.4</v>
      </c>
      <c r="I1653">
        <v>2471409640</v>
      </c>
      <c r="J1653">
        <v>2.7</v>
      </c>
      <c r="K1653">
        <v>12</v>
      </c>
    </row>
    <row r="1654" spans="1:11" x14ac:dyDescent="0.25">
      <c r="A1654" t="s">
        <v>468</v>
      </c>
      <c r="B1654" t="s">
        <v>469</v>
      </c>
      <c r="C1654" t="s">
        <v>470</v>
      </c>
      <c r="D1654" t="s">
        <v>18</v>
      </c>
      <c r="E1654" t="s">
        <v>29</v>
      </c>
      <c r="F1654">
        <v>0.60843188201633869</v>
      </c>
      <c r="G1654">
        <v>0.8668637640326774</v>
      </c>
      <c r="H1654">
        <v>0.35</v>
      </c>
      <c r="I1654">
        <v>3640943000</v>
      </c>
      <c r="J1654">
        <v>6.7</v>
      </c>
      <c r="K1654">
        <v>13</v>
      </c>
    </row>
    <row r="1655" spans="1:11" x14ac:dyDescent="0.25">
      <c r="A1655" t="s">
        <v>468</v>
      </c>
      <c r="B1655" t="s">
        <v>471</v>
      </c>
      <c r="C1655" t="s">
        <v>472</v>
      </c>
      <c r="D1655" t="s">
        <v>18</v>
      </c>
      <c r="E1655" t="s">
        <v>473</v>
      </c>
      <c r="F1655">
        <v>0.59329120227616405</v>
      </c>
      <c r="G1655">
        <v>0.83658240455232813</v>
      </c>
      <c r="H1655">
        <v>0.35</v>
      </c>
      <c r="I1655">
        <v>22574024800</v>
      </c>
      <c r="J1655">
        <v>21.5</v>
      </c>
      <c r="K1655">
        <v>14</v>
      </c>
    </row>
    <row r="1656" spans="1:11" x14ac:dyDescent="0.25">
      <c r="A1656" t="s">
        <v>468</v>
      </c>
      <c r="B1656" t="s">
        <v>368</v>
      </c>
      <c r="C1656" t="s">
        <v>369</v>
      </c>
      <c r="D1656" t="s">
        <v>32</v>
      </c>
      <c r="E1656" t="s">
        <v>33</v>
      </c>
      <c r="F1656">
        <v>0.58292238143070718</v>
      </c>
      <c r="G1656">
        <v>0.86584476286141432</v>
      </c>
      <c r="H1656">
        <v>0.3</v>
      </c>
      <c r="I1656">
        <v>2451580000</v>
      </c>
      <c r="J1656">
        <v>27.6</v>
      </c>
      <c r="K1656">
        <v>15</v>
      </c>
    </row>
    <row r="1657" spans="1:11" x14ac:dyDescent="0.25">
      <c r="A1657" t="s">
        <v>468</v>
      </c>
      <c r="B1657" t="s">
        <v>263</v>
      </c>
      <c r="C1657" t="s">
        <v>264</v>
      </c>
      <c r="D1657" t="s">
        <v>32</v>
      </c>
      <c r="E1657" t="s">
        <v>259</v>
      </c>
      <c r="F1657">
        <v>0.57524134376683655</v>
      </c>
      <c r="G1657">
        <v>0.75048268753367309</v>
      </c>
      <c r="H1657">
        <v>0.4</v>
      </c>
      <c r="I1657">
        <v>106635381400</v>
      </c>
      <c r="J1657">
        <v>38.9</v>
      </c>
      <c r="K1657">
        <v>16</v>
      </c>
    </row>
    <row r="1658" spans="1:11" x14ac:dyDescent="0.25">
      <c r="A1658" t="s">
        <v>468</v>
      </c>
      <c r="B1658" t="s">
        <v>92</v>
      </c>
      <c r="C1658" t="s">
        <v>93</v>
      </c>
      <c r="D1658" t="s">
        <v>14</v>
      </c>
      <c r="E1658" t="s">
        <v>59</v>
      </c>
      <c r="F1658">
        <v>0.57252011849657491</v>
      </c>
      <c r="G1658">
        <v>0.59504023699314967</v>
      </c>
      <c r="H1658">
        <v>0.55000000000000004</v>
      </c>
      <c r="I1658">
        <v>15396450200</v>
      </c>
      <c r="J1658">
        <v>13.1</v>
      </c>
      <c r="K1658">
        <v>17</v>
      </c>
    </row>
    <row r="1659" spans="1:11" x14ac:dyDescent="0.25">
      <c r="A1659" t="s">
        <v>468</v>
      </c>
      <c r="B1659" t="s">
        <v>441</v>
      </c>
      <c r="C1659" t="s">
        <v>442</v>
      </c>
      <c r="D1659" t="s">
        <v>14</v>
      </c>
      <c r="E1659" t="s">
        <v>443</v>
      </c>
      <c r="F1659">
        <v>0.56497625807105512</v>
      </c>
      <c r="G1659">
        <v>0.42995251614211027</v>
      </c>
      <c r="H1659">
        <v>0.7</v>
      </c>
      <c r="I1659">
        <v>38958162200</v>
      </c>
      <c r="J1659">
        <v>73.2</v>
      </c>
      <c r="K1659">
        <v>18</v>
      </c>
    </row>
    <row r="1660" spans="1:11" x14ac:dyDescent="0.25">
      <c r="A1660" t="s">
        <v>468</v>
      </c>
      <c r="B1660" t="s">
        <v>377</v>
      </c>
      <c r="C1660" t="s">
        <v>378</v>
      </c>
      <c r="D1660" t="s">
        <v>32</v>
      </c>
      <c r="E1660" t="s">
        <v>33</v>
      </c>
      <c r="F1660">
        <v>0.549132411004007</v>
      </c>
      <c r="G1660">
        <v>0.49826482200801409</v>
      </c>
      <c r="H1660">
        <v>0.6</v>
      </c>
      <c r="I1660">
        <v>2872618420</v>
      </c>
      <c r="J1660">
        <v>4.3600000000000003</v>
      </c>
      <c r="K1660">
        <v>19</v>
      </c>
    </row>
    <row r="1661" spans="1:11" x14ac:dyDescent="0.25">
      <c r="A1661" t="s">
        <v>468</v>
      </c>
      <c r="B1661" t="s">
        <v>430</v>
      </c>
      <c r="C1661" t="s">
        <v>431</v>
      </c>
      <c r="D1661" t="s">
        <v>32</v>
      </c>
      <c r="E1661" t="s">
        <v>317</v>
      </c>
      <c r="F1661">
        <v>0.54137654518392675</v>
      </c>
      <c r="G1661">
        <v>0.83275309036785361</v>
      </c>
      <c r="H1661">
        <v>0.25</v>
      </c>
      <c r="I1661">
        <v>85426562900</v>
      </c>
      <c r="J1661">
        <v>43.8</v>
      </c>
      <c r="K1661">
        <v>20</v>
      </c>
    </row>
    <row r="1662" spans="1:11" x14ac:dyDescent="0.25">
      <c r="A1662" t="s">
        <v>474</v>
      </c>
      <c r="B1662" t="s">
        <v>340</v>
      </c>
      <c r="C1662" t="s">
        <v>341</v>
      </c>
      <c r="D1662" t="s">
        <v>14</v>
      </c>
      <c r="E1662" t="s">
        <v>74</v>
      </c>
      <c r="F1662">
        <v>0.89065983373067292</v>
      </c>
      <c r="G1662">
        <v>0.9813196674613458</v>
      </c>
      <c r="H1662">
        <v>0.8</v>
      </c>
      <c r="I1662">
        <v>2333020800</v>
      </c>
      <c r="J1662">
        <v>53.5</v>
      </c>
      <c r="K1662">
        <v>1</v>
      </c>
    </row>
    <row r="1663" spans="1:11" x14ac:dyDescent="0.25">
      <c r="A1663" t="s">
        <v>474</v>
      </c>
      <c r="B1663" t="s">
        <v>403</v>
      </c>
      <c r="C1663" t="s">
        <v>404</v>
      </c>
      <c r="D1663" t="s">
        <v>32</v>
      </c>
      <c r="E1663" t="s">
        <v>33</v>
      </c>
      <c r="F1663">
        <v>0.74015104321562841</v>
      </c>
      <c r="G1663">
        <v>0.83030208643125691</v>
      </c>
      <c r="H1663">
        <v>0.65</v>
      </c>
      <c r="I1663">
        <v>2485673960</v>
      </c>
      <c r="J1663">
        <v>2.8</v>
      </c>
      <c r="K1663">
        <v>2</v>
      </c>
    </row>
    <row r="1664" spans="1:11" x14ac:dyDescent="0.25">
      <c r="A1664" t="s">
        <v>474</v>
      </c>
      <c r="B1664" t="s">
        <v>94</v>
      </c>
      <c r="C1664" t="s">
        <v>95</v>
      </c>
      <c r="D1664" t="s">
        <v>32</v>
      </c>
      <c r="E1664" t="s">
        <v>33</v>
      </c>
      <c r="F1664">
        <v>0.6930680567855888</v>
      </c>
      <c r="G1664">
        <v>0.98613611357117759</v>
      </c>
      <c r="H1664">
        <v>0.4</v>
      </c>
      <c r="I1664">
        <v>6796395560</v>
      </c>
      <c r="J1664">
        <v>3.47</v>
      </c>
      <c r="K1664">
        <v>3</v>
      </c>
    </row>
    <row r="1665" spans="1:11" x14ac:dyDescent="0.25">
      <c r="A1665" t="s">
        <v>474</v>
      </c>
      <c r="B1665" t="s">
        <v>441</v>
      </c>
      <c r="C1665" t="s">
        <v>442</v>
      </c>
      <c r="D1665" t="s">
        <v>14</v>
      </c>
      <c r="E1665" t="s">
        <v>443</v>
      </c>
      <c r="F1665">
        <v>0.64907559993917818</v>
      </c>
      <c r="G1665">
        <v>0.4481511998783565</v>
      </c>
      <c r="H1665">
        <v>0.85</v>
      </c>
      <c r="I1665">
        <v>39143287400</v>
      </c>
      <c r="J1665">
        <v>73.5</v>
      </c>
      <c r="K1665">
        <v>4</v>
      </c>
    </row>
    <row r="1666" spans="1:11" x14ac:dyDescent="0.25">
      <c r="A1666" t="s">
        <v>474</v>
      </c>
      <c r="B1666" t="s">
        <v>465</v>
      </c>
      <c r="C1666" t="s">
        <v>466</v>
      </c>
      <c r="D1666" t="s">
        <v>32</v>
      </c>
      <c r="E1666" t="s">
        <v>39</v>
      </c>
      <c r="F1666">
        <v>0.64575628300800569</v>
      </c>
      <c r="G1666">
        <v>0.84151256601601132</v>
      </c>
      <c r="H1666">
        <v>0.45</v>
      </c>
      <c r="I1666">
        <v>378565451600</v>
      </c>
      <c r="J1666">
        <v>75.2</v>
      </c>
      <c r="K1666">
        <v>5</v>
      </c>
    </row>
    <row r="1667" spans="1:11" x14ac:dyDescent="0.25">
      <c r="A1667" t="s">
        <v>474</v>
      </c>
      <c r="B1667" t="s">
        <v>287</v>
      </c>
      <c r="C1667" t="s">
        <v>288</v>
      </c>
      <c r="D1667" t="s">
        <v>14</v>
      </c>
      <c r="E1667" t="s">
        <v>59</v>
      </c>
      <c r="F1667">
        <v>0.63162161050848487</v>
      </c>
      <c r="G1667">
        <v>0.81324322101696978</v>
      </c>
      <c r="H1667">
        <v>0.45</v>
      </c>
      <c r="I1667">
        <v>65998945400</v>
      </c>
      <c r="J1667">
        <v>27.7</v>
      </c>
      <c r="K1667">
        <v>6</v>
      </c>
    </row>
    <row r="1668" spans="1:11" x14ac:dyDescent="0.25">
      <c r="A1668" t="s">
        <v>474</v>
      </c>
      <c r="B1668" t="s">
        <v>471</v>
      </c>
      <c r="C1668" t="s">
        <v>472</v>
      </c>
      <c r="D1668" t="s">
        <v>18</v>
      </c>
      <c r="E1668" t="s">
        <v>473</v>
      </c>
      <c r="F1668">
        <v>0.63107192666584933</v>
      </c>
      <c r="G1668">
        <v>0.91214385333169867</v>
      </c>
      <c r="H1668">
        <v>0.35</v>
      </c>
      <c r="I1668">
        <v>24138943400</v>
      </c>
      <c r="J1668">
        <v>22.4</v>
      </c>
      <c r="K1668">
        <v>7</v>
      </c>
    </row>
    <row r="1669" spans="1:11" x14ac:dyDescent="0.25">
      <c r="A1669" t="s">
        <v>474</v>
      </c>
      <c r="B1669" t="s">
        <v>166</v>
      </c>
      <c r="C1669" t="s">
        <v>167</v>
      </c>
      <c r="D1669" t="s">
        <v>32</v>
      </c>
      <c r="E1669" t="s">
        <v>59</v>
      </c>
      <c r="F1669">
        <v>0.62934936582515466</v>
      </c>
      <c r="G1669">
        <v>0.65869873165030934</v>
      </c>
      <c r="H1669">
        <v>0.6</v>
      </c>
      <c r="I1669">
        <v>116062157700</v>
      </c>
      <c r="J1669">
        <v>31.25</v>
      </c>
      <c r="K1669">
        <v>8</v>
      </c>
    </row>
    <row r="1670" spans="1:11" x14ac:dyDescent="0.25">
      <c r="A1670" t="s">
        <v>474</v>
      </c>
      <c r="B1670" t="s">
        <v>82</v>
      </c>
      <c r="C1670" t="s">
        <v>83</v>
      </c>
      <c r="D1670" t="s">
        <v>32</v>
      </c>
      <c r="E1670" t="s">
        <v>39</v>
      </c>
      <c r="F1670">
        <v>0.6096742263363617</v>
      </c>
      <c r="G1670">
        <v>0.81934845267272349</v>
      </c>
      <c r="H1670">
        <v>0.4</v>
      </c>
      <c r="I1670">
        <v>28338605900</v>
      </c>
      <c r="J1670">
        <v>19.8</v>
      </c>
      <c r="K1670">
        <v>9</v>
      </c>
    </row>
    <row r="1671" spans="1:11" x14ac:dyDescent="0.25">
      <c r="A1671" t="s">
        <v>474</v>
      </c>
      <c r="B1671" t="s">
        <v>368</v>
      </c>
      <c r="C1671" t="s">
        <v>369</v>
      </c>
      <c r="D1671" t="s">
        <v>32</v>
      </c>
      <c r="E1671" t="s">
        <v>33</v>
      </c>
      <c r="F1671">
        <v>0.6052756086275175</v>
      </c>
      <c r="G1671">
        <v>0.86055121725503492</v>
      </c>
      <c r="H1671">
        <v>0.35</v>
      </c>
      <c r="I1671">
        <v>2551892000</v>
      </c>
      <c r="J1671">
        <v>27.2</v>
      </c>
      <c r="K1671">
        <v>10</v>
      </c>
    </row>
    <row r="1672" spans="1:11" x14ac:dyDescent="0.25">
      <c r="A1672" t="s">
        <v>474</v>
      </c>
      <c r="B1672" t="s">
        <v>171</v>
      </c>
      <c r="C1672" t="s">
        <v>172</v>
      </c>
      <c r="D1672" t="s">
        <v>32</v>
      </c>
      <c r="E1672" t="s">
        <v>33</v>
      </c>
      <c r="F1672">
        <v>0.59977138107226424</v>
      </c>
      <c r="G1672">
        <v>0.8495427621445284</v>
      </c>
      <c r="H1672">
        <v>0.35</v>
      </c>
      <c r="I1672">
        <v>26834482020</v>
      </c>
      <c r="J1672">
        <v>8.9600000000000009</v>
      </c>
      <c r="K1672">
        <v>11</v>
      </c>
    </row>
    <row r="1673" spans="1:11" x14ac:dyDescent="0.25">
      <c r="A1673" t="s">
        <v>474</v>
      </c>
      <c r="B1673" t="s">
        <v>118</v>
      </c>
      <c r="C1673" t="s">
        <v>119</v>
      </c>
      <c r="D1673" t="s">
        <v>32</v>
      </c>
      <c r="E1673" t="s">
        <v>33</v>
      </c>
      <c r="F1673">
        <v>0.59440946666678718</v>
      </c>
      <c r="G1673">
        <v>0.78881893333357445</v>
      </c>
      <c r="H1673">
        <v>0.4</v>
      </c>
      <c r="I1673">
        <v>34101815000</v>
      </c>
      <c r="J1673">
        <v>68.2</v>
      </c>
      <c r="K1673">
        <v>12</v>
      </c>
    </row>
    <row r="1674" spans="1:11" x14ac:dyDescent="0.25">
      <c r="A1674" t="s">
        <v>474</v>
      </c>
      <c r="B1674" t="s">
        <v>351</v>
      </c>
      <c r="C1674" t="s">
        <v>352</v>
      </c>
      <c r="D1674" t="s">
        <v>32</v>
      </c>
      <c r="E1674" t="s">
        <v>353</v>
      </c>
      <c r="F1674">
        <v>0.58051819294246632</v>
      </c>
      <c r="G1674">
        <v>0.71103638588493256</v>
      </c>
      <c r="H1674">
        <v>0.45</v>
      </c>
      <c r="I1674">
        <v>8219413080</v>
      </c>
      <c r="J1674">
        <v>25.81</v>
      </c>
      <c r="K1674">
        <v>13</v>
      </c>
    </row>
    <row r="1675" spans="1:11" x14ac:dyDescent="0.25">
      <c r="A1675" t="s">
        <v>474</v>
      </c>
      <c r="B1675" t="s">
        <v>152</v>
      </c>
      <c r="C1675" t="s">
        <v>153</v>
      </c>
      <c r="D1675" t="s">
        <v>32</v>
      </c>
      <c r="E1675" t="s">
        <v>74</v>
      </c>
      <c r="F1675">
        <v>0.57954515802028617</v>
      </c>
      <c r="G1675">
        <v>0.8590903160405724</v>
      </c>
      <c r="H1675">
        <v>0.3</v>
      </c>
      <c r="I1675">
        <v>503163352500</v>
      </c>
      <c r="J1675">
        <v>47.55</v>
      </c>
      <c r="K1675">
        <v>14</v>
      </c>
    </row>
    <row r="1676" spans="1:11" x14ac:dyDescent="0.25">
      <c r="A1676" t="s">
        <v>474</v>
      </c>
      <c r="B1676" t="s">
        <v>176</v>
      </c>
      <c r="C1676" t="s">
        <v>177</v>
      </c>
      <c r="D1676" t="s">
        <v>32</v>
      </c>
      <c r="E1676" t="s">
        <v>33</v>
      </c>
      <c r="F1676">
        <v>0.57195276763845571</v>
      </c>
      <c r="G1676">
        <v>0.64390553527691141</v>
      </c>
      <c r="H1676">
        <v>0.5</v>
      </c>
      <c r="I1676">
        <v>4124128760</v>
      </c>
      <c r="J1676">
        <v>9</v>
      </c>
      <c r="K1676">
        <v>15</v>
      </c>
    </row>
    <row r="1677" spans="1:11" x14ac:dyDescent="0.25">
      <c r="A1677" t="s">
        <v>474</v>
      </c>
      <c r="B1677" t="s">
        <v>179</v>
      </c>
      <c r="C1677" t="s">
        <v>180</v>
      </c>
      <c r="D1677" t="s">
        <v>32</v>
      </c>
      <c r="E1677" t="s">
        <v>124</v>
      </c>
      <c r="F1677">
        <v>0.57110816406896714</v>
      </c>
      <c r="G1677">
        <v>0.89221632813793428</v>
      </c>
      <c r="H1677">
        <v>0.25</v>
      </c>
      <c r="I1677">
        <v>412864041100</v>
      </c>
      <c r="J1677">
        <v>38.1</v>
      </c>
      <c r="K1677">
        <v>16</v>
      </c>
    </row>
    <row r="1678" spans="1:11" x14ac:dyDescent="0.25">
      <c r="A1678" t="s">
        <v>474</v>
      </c>
      <c r="B1678" t="s">
        <v>453</v>
      </c>
      <c r="C1678" t="s">
        <v>454</v>
      </c>
      <c r="D1678" t="s">
        <v>32</v>
      </c>
      <c r="E1678" t="s">
        <v>33</v>
      </c>
      <c r="F1678">
        <v>0.57039834528142797</v>
      </c>
      <c r="G1678">
        <v>0.69079669056285598</v>
      </c>
      <c r="H1678">
        <v>0.45</v>
      </c>
      <c r="I1678">
        <v>7321423500</v>
      </c>
      <c r="J1678">
        <v>33.9</v>
      </c>
      <c r="K1678">
        <v>17</v>
      </c>
    </row>
    <row r="1679" spans="1:11" x14ac:dyDescent="0.25">
      <c r="A1679" t="s">
        <v>474</v>
      </c>
      <c r="B1679" t="s">
        <v>377</v>
      </c>
      <c r="C1679" t="s">
        <v>378</v>
      </c>
      <c r="D1679" t="s">
        <v>32</v>
      </c>
      <c r="E1679" t="s">
        <v>33</v>
      </c>
      <c r="F1679">
        <v>0.5701614690375334</v>
      </c>
      <c r="G1679">
        <v>0.49032293807506688</v>
      </c>
      <c r="H1679">
        <v>0.65</v>
      </c>
      <c r="I1679">
        <v>2770399780</v>
      </c>
      <c r="J1679">
        <v>4.3</v>
      </c>
      <c r="K1679">
        <v>18</v>
      </c>
    </row>
    <row r="1680" spans="1:11" x14ac:dyDescent="0.25">
      <c r="A1680" t="s">
        <v>474</v>
      </c>
      <c r="B1680" t="s">
        <v>460</v>
      </c>
      <c r="C1680" t="s">
        <v>461</v>
      </c>
      <c r="D1680" t="s">
        <v>32</v>
      </c>
      <c r="E1680" t="s">
        <v>39</v>
      </c>
      <c r="F1680">
        <v>0.56761953793650088</v>
      </c>
      <c r="G1680">
        <v>0.98523907587300186</v>
      </c>
      <c r="H1680">
        <v>0.15</v>
      </c>
      <c r="I1680">
        <v>38240957600</v>
      </c>
      <c r="J1680">
        <v>23.6</v>
      </c>
      <c r="K1680">
        <v>19</v>
      </c>
    </row>
    <row r="1681" spans="1:11" x14ac:dyDescent="0.25">
      <c r="A1681" t="s">
        <v>474</v>
      </c>
      <c r="B1681" t="s">
        <v>445</v>
      </c>
      <c r="C1681" t="s">
        <v>446</v>
      </c>
      <c r="D1681" t="s">
        <v>32</v>
      </c>
      <c r="E1681" t="s">
        <v>74</v>
      </c>
      <c r="F1681">
        <v>0.5599833709454064</v>
      </c>
      <c r="G1681">
        <v>0.8699667418908128</v>
      </c>
      <c r="H1681">
        <v>0.25</v>
      </c>
      <c r="I1681">
        <v>572038413400</v>
      </c>
      <c r="J1681">
        <v>35</v>
      </c>
      <c r="K1681">
        <v>20</v>
      </c>
    </row>
    <row r="1682" spans="1:11" x14ac:dyDescent="0.25">
      <c r="A1682" t="s">
        <v>475</v>
      </c>
      <c r="B1682" t="s">
        <v>340</v>
      </c>
      <c r="C1682" t="s">
        <v>341</v>
      </c>
      <c r="D1682" t="s">
        <v>14</v>
      </c>
      <c r="E1682" t="s">
        <v>74</v>
      </c>
      <c r="F1682">
        <v>0.8824538142236007</v>
      </c>
      <c r="G1682">
        <v>0.96490762844720124</v>
      </c>
      <c r="H1682">
        <v>0.8</v>
      </c>
      <c r="I1682">
        <v>2325383800</v>
      </c>
      <c r="J1682">
        <v>52.5</v>
      </c>
      <c r="K1682">
        <v>1</v>
      </c>
    </row>
    <row r="1683" spans="1:11" x14ac:dyDescent="0.25">
      <c r="A1683" t="s">
        <v>475</v>
      </c>
      <c r="B1683" t="s">
        <v>403</v>
      </c>
      <c r="C1683" t="s">
        <v>404</v>
      </c>
      <c r="D1683" t="s">
        <v>32</v>
      </c>
      <c r="E1683" t="s">
        <v>33</v>
      </c>
      <c r="F1683">
        <v>0.78846336356059954</v>
      </c>
      <c r="G1683">
        <v>0.87692672712119912</v>
      </c>
      <c r="H1683">
        <v>0.7</v>
      </c>
      <c r="I1683">
        <v>2573275240</v>
      </c>
      <c r="J1683">
        <v>2.84</v>
      </c>
      <c r="K1683">
        <v>2</v>
      </c>
    </row>
    <row r="1684" spans="1:11" x14ac:dyDescent="0.25">
      <c r="A1684" t="s">
        <v>475</v>
      </c>
      <c r="B1684" t="s">
        <v>94</v>
      </c>
      <c r="C1684" t="s">
        <v>95</v>
      </c>
      <c r="D1684" t="s">
        <v>32</v>
      </c>
      <c r="E1684" t="s">
        <v>33</v>
      </c>
      <c r="F1684">
        <v>0.72056592844459855</v>
      </c>
      <c r="G1684">
        <v>0.99113185688919703</v>
      </c>
      <c r="H1684">
        <v>0.45</v>
      </c>
      <c r="I1684">
        <v>8810571100</v>
      </c>
      <c r="J1684">
        <v>3.47</v>
      </c>
      <c r="K1684">
        <v>3</v>
      </c>
    </row>
    <row r="1685" spans="1:11" x14ac:dyDescent="0.25">
      <c r="A1685" t="s">
        <v>475</v>
      </c>
      <c r="B1685" t="s">
        <v>82</v>
      </c>
      <c r="C1685" t="s">
        <v>83</v>
      </c>
      <c r="D1685" t="s">
        <v>32</v>
      </c>
      <c r="E1685" t="s">
        <v>39</v>
      </c>
      <c r="F1685">
        <v>0.68753649814986995</v>
      </c>
      <c r="G1685">
        <v>0.77507299629974002</v>
      </c>
      <c r="H1685">
        <v>0.6</v>
      </c>
      <c r="I1685">
        <v>28371465000</v>
      </c>
      <c r="J1685">
        <v>19.75</v>
      </c>
      <c r="K1685">
        <v>4</v>
      </c>
    </row>
    <row r="1686" spans="1:11" x14ac:dyDescent="0.25">
      <c r="A1686" t="s">
        <v>475</v>
      </c>
      <c r="B1686" t="s">
        <v>171</v>
      </c>
      <c r="C1686" t="s">
        <v>172</v>
      </c>
      <c r="D1686" t="s">
        <v>32</v>
      </c>
      <c r="E1686" t="s">
        <v>33</v>
      </c>
      <c r="F1686">
        <v>0.67350759832662732</v>
      </c>
      <c r="G1686">
        <v>0.89701519665325458</v>
      </c>
      <c r="H1686">
        <v>0.45</v>
      </c>
      <c r="I1686">
        <v>27870139620</v>
      </c>
      <c r="J1686">
        <v>9.2200000000000006</v>
      </c>
      <c r="K1686">
        <v>5</v>
      </c>
    </row>
    <row r="1687" spans="1:11" x14ac:dyDescent="0.25">
      <c r="A1687" t="s">
        <v>475</v>
      </c>
      <c r="B1687" t="s">
        <v>103</v>
      </c>
      <c r="C1687" t="s">
        <v>104</v>
      </c>
      <c r="D1687" t="s">
        <v>32</v>
      </c>
      <c r="E1687" t="s">
        <v>39</v>
      </c>
      <c r="F1687">
        <v>0.65033478314880311</v>
      </c>
      <c r="G1687">
        <v>0.80066956629760622</v>
      </c>
      <c r="H1687">
        <v>0.5</v>
      </c>
      <c r="I1687">
        <v>34607893700</v>
      </c>
      <c r="J1687">
        <v>28.55</v>
      </c>
      <c r="K1687">
        <v>6</v>
      </c>
    </row>
    <row r="1688" spans="1:11" x14ac:dyDescent="0.25">
      <c r="A1688" t="s">
        <v>475</v>
      </c>
      <c r="B1688" t="s">
        <v>363</v>
      </c>
      <c r="C1688" t="s">
        <v>364</v>
      </c>
      <c r="D1688" t="s">
        <v>32</v>
      </c>
      <c r="E1688" t="s">
        <v>42</v>
      </c>
      <c r="F1688">
        <v>0.64688368633627302</v>
      </c>
      <c r="G1688">
        <v>0.74376737267254589</v>
      </c>
      <c r="H1688">
        <v>0.55000000000000004</v>
      </c>
      <c r="I1688">
        <v>149212400200</v>
      </c>
      <c r="J1688">
        <v>60.5</v>
      </c>
      <c r="K1688">
        <v>7</v>
      </c>
    </row>
    <row r="1689" spans="1:11" x14ac:dyDescent="0.25">
      <c r="A1689" t="s">
        <v>475</v>
      </c>
      <c r="B1689" t="s">
        <v>368</v>
      </c>
      <c r="C1689" t="s">
        <v>369</v>
      </c>
      <c r="D1689" t="s">
        <v>32</v>
      </c>
      <c r="E1689" t="s">
        <v>33</v>
      </c>
      <c r="F1689">
        <v>0.63093194638865358</v>
      </c>
      <c r="G1689">
        <v>0.86186389277730724</v>
      </c>
      <c r="H1689">
        <v>0.4</v>
      </c>
      <c r="I1689">
        <v>2727491600</v>
      </c>
      <c r="J1689">
        <v>27.6</v>
      </c>
      <c r="K1689">
        <v>8</v>
      </c>
    </row>
    <row r="1690" spans="1:11" x14ac:dyDescent="0.25">
      <c r="A1690" t="s">
        <v>475</v>
      </c>
      <c r="B1690" t="s">
        <v>287</v>
      </c>
      <c r="C1690" t="s">
        <v>288</v>
      </c>
      <c r="D1690" t="s">
        <v>14</v>
      </c>
      <c r="E1690" t="s">
        <v>59</v>
      </c>
      <c r="F1690">
        <v>0.6124001143826614</v>
      </c>
      <c r="G1690">
        <v>0.87480022876532293</v>
      </c>
      <c r="H1690">
        <v>0.35</v>
      </c>
      <c r="I1690">
        <v>65246208800</v>
      </c>
      <c r="J1690">
        <v>28.1</v>
      </c>
      <c r="K1690">
        <v>9</v>
      </c>
    </row>
    <row r="1691" spans="1:11" x14ac:dyDescent="0.25">
      <c r="A1691" t="s">
        <v>475</v>
      </c>
      <c r="B1691" t="s">
        <v>445</v>
      </c>
      <c r="C1691" t="s">
        <v>446</v>
      </c>
      <c r="D1691" t="s">
        <v>32</v>
      </c>
      <c r="E1691" t="s">
        <v>74</v>
      </c>
      <c r="F1691">
        <v>0.61008714166757827</v>
      </c>
      <c r="G1691">
        <v>0.87017428333515656</v>
      </c>
      <c r="H1691">
        <v>0.35</v>
      </c>
      <c r="I1691">
        <v>581283920500</v>
      </c>
      <c r="J1691">
        <v>34.85</v>
      </c>
      <c r="K1691">
        <v>10</v>
      </c>
    </row>
    <row r="1692" spans="1:11" x14ac:dyDescent="0.25">
      <c r="A1692" t="s">
        <v>475</v>
      </c>
      <c r="B1692" t="s">
        <v>397</v>
      </c>
      <c r="C1692" t="s">
        <v>398</v>
      </c>
      <c r="D1692" t="s">
        <v>32</v>
      </c>
      <c r="E1692" t="s">
        <v>42</v>
      </c>
      <c r="F1692">
        <v>0.60278063970974716</v>
      </c>
      <c r="G1692">
        <v>0.75556127941949436</v>
      </c>
      <c r="H1692">
        <v>0.45</v>
      </c>
      <c r="I1692">
        <v>2623037500</v>
      </c>
      <c r="J1692">
        <v>15.95</v>
      </c>
      <c r="K1692">
        <v>11</v>
      </c>
    </row>
    <row r="1693" spans="1:11" x14ac:dyDescent="0.25">
      <c r="A1693" t="s">
        <v>475</v>
      </c>
      <c r="B1693" t="s">
        <v>471</v>
      </c>
      <c r="C1693" t="s">
        <v>472</v>
      </c>
      <c r="D1693" t="s">
        <v>18</v>
      </c>
      <c r="E1693" t="s">
        <v>473</v>
      </c>
      <c r="F1693">
        <v>0.60093521356658952</v>
      </c>
      <c r="G1693">
        <v>0.85187042713317906</v>
      </c>
      <c r="H1693">
        <v>0.35</v>
      </c>
      <c r="I1693">
        <v>26761889400</v>
      </c>
      <c r="J1693">
        <v>21.4</v>
      </c>
      <c r="K1693">
        <v>12</v>
      </c>
    </row>
    <row r="1694" spans="1:11" x14ac:dyDescent="0.25">
      <c r="A1694" t="s">
        <v>475</v>
      </c>
      <c r="B1694" t="s">
        <v>455</v>
      </c>
      <c r="C1694" t="s">
        <v>456</v>
      </c>
      <c r="D1694" t="s">
        <v>18</v>
      </c>
      <c r="E1694" t="s">
        <v>382</v>
      </c>
      <c r="F1694">
        <v>0.58841967622284264</v>
      </c>
      <c r="G1694">
        <v>0.42683935244568533</v>
      </c>
      <c r="H1694">
        <v>0.75</v>
      </c>
      <c r="I1694">
        <v>195552935400</v>
      </c>
      <c r="J1694">
        <v>32.1</v>
      </c>
      <c r="K1694">
        <v>13</v>
      </c>
    </row>
    <row r="1695" spans="1:11" x14ac:dyDescent="0.25">
      <c r="A1695" t="s">
        <v>475</v>
      </c>
      <c r="B1695" t="s">
        <v>88</v>
      </c>
      <c r="C1695" t="s">
        <v>89</v>
      </c>
      <c r="D1695" t="s">
        <v>32</v>
      </c>
      <c r="E1695" t="s">
        <v>33</v>
      </c>
      <c r="F1695">
        <v>0.58774175386222138</v>
      </c>
      <c r="G1695">
        <v>0.77548350772444274</v>
      </c>
      <c r="H1695">
        <v>0.4</v>
      </c>
      <c r="I1695">
        <v>103210723500</v>
      </c>
      <c r="J1695">
        <v>15.2</v>
      </c>
      <c r="K1695">
        <v>14</v>
      </c>
    </row>
    <row r="1696" spans="1:11" x14ac:dyDescent="0.25">
      <c r="A1696" t="s">
        <v>475</v>
      </c>
      <c r="B1696" t="s">
        <v>140</v>
      </c>
      <c r="C1696" t="s">
        <v>141</v>
      </c>
      <c r="D1696" t="s">
        <v>32</v>
      </c>
      <c r="E1696" t="s">
        <v>26</v>
      </c>
      <c r="F1696">
        <v>0.58589206335357391</v>
      </c>
      <c r="G1696">
        <v>0.72178412670714787</v>
      </c>
      <c r="H1696">
        <v>0.45</v>
      </c>
      <c r="I1696">
        <v>4494191960</v>
      </c>
      <c r="J1696">
        <v>10.4</v>
      </c>
      <c r="K1696">
        <v>15</v>
      </c>
    </row>
    <row r="1697" spans="1:11" x14ac:dyDescent="0.25">
      <c r="A1697" t="s">
        <v>475</v>
      </c>
      <c r="B1697" t="s">
        <v>476</v>
      </c>
      <c r="C1697" t="s">
        <v>477</v>
      </c>
      <c r="D1697" t="s">
        <v>14</v>
      </c>
      <c r="E1697" t="s">
        <v>39</v>
      </c>
      <c r="F1697">
        <v>0.57937088639537593</v>
      </c>
      <c r="G1697">
        <v>0.9587417727907519</v>
      </c>
      <c r="H1697">
        <v>0.2</v>
      </c>
      <c r="I1697">
        <v>3459078200</v>
      </c>
      <c r="J1697">
        <v>14.1</v>
      </c>
      <c r="K1697">
        <v>16</v>
      </c>
    </row>
    <row r="1698" spans="1:11" x14ac:dyDescent="0.25">
      <c r="A1698" t="s">
        <v>475</v>
      </c>
      <c r="B1698" t="s">
        <v>392</v>
      </c>
      <c r="C1698" t="s">
        <v>393</v>
      </c>
      <c r="D1698" t="s">
        <v>32</v>
      </c>
      <c r="E1698" t="s">
        <v>33</v>
      </c>
      <c r="F1698">
        <v>0.56788085863802706</v>
      </c>
      <c r="G1698">
        <v>0.63576171727605402</v>
      </c>
      <c r="H1698">
        <v>0.5</v>
      </c>
      <c r="I1698">
        <v>2290387420</v>
      </c>
      <c r="J1698">
        <v>8.48</v>
      </c>
      <c r="K1698">
        <v>17</v>
      </c>
    </row>
    <row r="1699" spans="1:11" x14ac:dyDescent="0.25">
      <c r="A1699" t="s">
        <v>475</v>
      </c>
      <c r="B1699" t="s">
        <v>418</v>
      </c>
      <c r="C1699" t="s">
        <v>419</v>
      </c>
      <c r="D1699" t="s">
        <v>32</v>
      </c>
      <c r="E1699" t="s">
        <v>74</v>
      </c>
      <c r="F1699">
        <v>0.56552001159970322</v>
      </c>
      <c r="G1699">
        <v>0.63104002319940644</v>
      </c>
      <c r="H1699">
        <v>0.5</v>
      </c>
      <c r="I1699">
        <v>134636924700</v>
      </c>
      <c r="J1699">
        <v>10.8</v>
      </c>
      <c r="K1699">
        <v>18</v>
      </c>
    </row>
    <row r="1700" spans="1:11" x14ac:dyDescent="0.25">
      <c r="A1700" t="s">
        <v>475</v>
      </c>
      <c r="B1700" t="s">
        <v>460</v>
      </c>
      <c r="C1700" t="s">
        <v>461</v>
      </c>
      <c r="D1700" t="s">
        <v>32</v>
      </c>
      <c r="E1700" t="s">
        <v>39</v>
      </c>
      <c r="F1700">
        <v>0.56521965643974137</v>
      </c>
      <c r="G1700">
        <v>0.98043931287948272</v>
      </c>
      <c r="H1700">
        <v>0.15</v>
      </c>
      <c r="I1700">
        <v>41069784800</v>
      </c>
      <c r="J1700">
        <v>22.6</v>
      </c>
      <c r="K1700">
        <v>19</v>
      </c>
    </row>
    <row r="1701" spans="1:11" x14ac:dyDescent="0.25">
      <c r="A1701" t="s">
        <v>475</v>
      </c>
      <c r="B1701" t="s">
        <v>478</v>
      </c>
      <c r="C1701" t="s">
        <v>479</v>
      </c>
      <c r="D1701" t="s">
        <v>32</v>
      </c>
      <c r="E1701" t="s">
        <v>59</v>
      </c>
      <c r="F1701">
        <v>0.56406762439759917</v>
      </c>
      <c r="G1701">
        <v>0.77813524879519835</v>
      </c>
      <c r="H1701">
        <v>0.35</v>
      </c>
      <c r="I1701">
        <v>179459380800</v>
      </c>
      <c r="J1701">
        <v>103</v>
      </c>
      <c r="K1701">
        <v>20</v>
      </c>
    </row>
    <row r="1702" spans="1:11" x14ac:dyDescent="0.25">
      <c r="A1702" t="s">
        <v>480</v>
      </c>
      <c r="B1702" t="s">
        <v>340</v>
      </c>
      <c r="C1702" t="s">
        <v>341</v>
      </c>
      <c r="D1702" t="s">
        <v>14</v>
      </c>
      <c r="E1702" t="s">
        <v>74</v>
      </c>
      <c r="F1702">
        <v>0.8893928574168628</v>
      </c>
      <c r="G1702">
        <v>0.97878571483372545</v>
      </c>
      <c r="H1702">
        <v>0.8</v>
      </c>
      <c r="I1702">
        <v>2314180200</v>
      </c>
      <c r="J1702">
        <v>51</v>
      </c>
      <c r="K1702">
        <v>1</v>
      </c>
    </row>
    <row r="1703" spans="1:11" x14ac:dyDescent="0.25">
      <c r="A1703" t="s">
        <v>480</v>
      </c>
      <c r="B1703" t="s">
        <v>94</v>
      </c>
      <c r="C1703" t="s">
        <v>95</v>
      </c>
      <c r="D1703" t="s">
        <v>32</v>
      </c>
      <c r="E1703" t="s">
        <v>33</v>
      </c>
      <c r="F1703">
        <v>0.72146375287337228</v>
      </c>
      <c r="G1703">
        <v>0.9929275057467446</v>
      </c>
      <c r="H1703">
        <v>0.45</v>
      </c>
      <c r="I1703">
        <v>9963567740</v>
      </c>
      <c r="J1703">
        <v>3.71</v>
      </c>
      <c r="K1703">
        <v>2</v>
      </c>
    </row>
    <row r="1704" spans="1:11" x14ac:dyDescent="0.25">
      <c r="A1704" t="s">
        <v>480</v>
      </c>
      <c r="B1704" t="s">
        <v>403</v>
      </c>
      <c r="C1704" t="s">
        <v>404</v>
      </c>
      <c r="D1704" t="s">
        <v>32</v>
      </c>
      <c r="E1704" t="s">
        <v>33</v>
      </c>
      <c r="F1704">
        <v>0.71090995461118955</v>
      </c>
      <c r="G1704">
        <v>0.77181990922237909</v>
      </c>
      <c r="H1704">
        <v>0.65</v>
      </c>
      <c r="I1704">
        <v>2563078420</v>
      </c>
      <c r="J1704">
        <v>2.88</v>
      </c>
      <c r="K1704">
        <v>3</v>
      </c>
    </row>
    <row r="1705" spans="1:11" x14ac:dyDescent="0.25">
      <c r="A1705" t="s">
        <v>480</v>
      </c>
      <c r="B1705" t="s">
        <v>183</v>
      </c>
      <c r="C1705" t="s">
        <v>184</v>
      </c>
      <c r="D1705" t="s">
        <v>32</v>
      </c>
      <c r="E1705" t="s">
        <v>33</v>
      </c>
      <c r="F1705">
        <v>0.69346297308052707</v>
      </c>
      <c r="G1705">
        <v>0.93692594616105418</v>
      </c>
      <c r="H1705">
        <v>0.45</v>
      </c>
      <c r="I1705">
        <v>4500609580</v>
      </c>
      <c r="J1705">
        <v>2.63</v>
      </c>
      <c r="K1705">
        <v>4</v>
      </c>
    </row>
    <row r="1706" spans="1:11" x14ac:dyDescent="0.25">
      <c r="A1706" t="s">
        <v>480</v>
      </c>
      <c r="B1706" t="s">
        <v>88</v>
      </c>
      <c r="C1706" t="s">
        <v>89</v>
      </c>
      <c r="D1706" t="s">
        <v>32</v>
      </c>
      <c r="E1706" t="s">
        <v>33</v>
      </c>
      <c r="F1706">
        <v>0.66743127392889989</v>
      </c>
      <c r="G1706">
        <v>0.88486254785779983</v>
      </c>
      <c r="H1706">
        <v>0.45</v>
      </c>
      <c r="I1706">
        <v>104864518500</v>
      </c>
      <c r="J1706">
        <v>15.75</v>
      </c>
      <c r="K1706">
        <v>5</v>
      </c>
    </row>
    <row r="1707" spans="1:11" x14ac:dyDescent="0.25">
      <c r="A1707" t="s">
        <v>480</v>
      </c>
      <c r="B1707" t="s">
        <v>368</v>
      </c>
      <c r="C1707" t="s">
        <v>369</v>
      </c>
      <c r="D1707" t="s">
        <v>32</v>
      </c>
      <c r="E1707" t="s">
        <v>33</v>
      </c>
      <c r="F1707">
        <v>0.65566689711696957</v>
      </c>
      <c r="G1707">
        <v>0.91133379423393912</v>
      </c>
      <c r="H1707">
        <v>0.4</v>
      </c>
      <c r="I1707">
        <v>3062578800</v>
      </c>
      <c r="J1707">
        <v>27.9</v>
      </c>
      <c r="K1707">
        <v>6</v>
      </c>
    </row>
    <row r="1708" spans="1:11" x14ac:dyDescent="0.25">
      <c r="A1708" t="s">
        <v>480</v>
      </c>
      <c r="B1708" t="s">
        <v>186</v>
      </c>
      <c r="C1708" t="s">
        <v>187</v>
      </c>
      <c r="D1708" t="s">
        <v>32</v>
      </c>
      <c r="E1708" t="s">
        <v>74</v>
      </c>
      <c r="F1708">
        <v>0.6542087065461949</v>
      </c>
      <c r="G1708">
        <v>0.85841741309238984</v>
      </c>
      <c r="H1708">
        <v>0.45</v>
      </c>
      <c r="I1708">
        <v>18041509000</v>
      </c>
      <c r="J1708">
        <v>15</v>
      </c>
      <c r="K1708">
        <v>7</v>
      </c>
    </row>
    <row r="1709" spans="1:11" x14ac:dyDescent="0.25">
      <c r="A1709" t="s">
        <v>480</v>
      </c>
      <c r="B1709" t="s">
        <v>481</v>
      </c>
      <c r="C1709" t="s">
        <v>482</v>
      </c>
      <c r="D1709" t="s">
        <v>32</v>
      </c>
      <c r="E1709" t="s">
        <v>236</v>
      </c>
      <c r="F1709">
        <v>0.65024888650361645</v>
      </c>
      <c r="G1709">
        <v>0.80049777300723279</v>
      </c>
      <c r="H1709">
        <v>0.5</v>
      </c>
      <c r="I1709">
        <v>2085310000</v>
      </c>
      <c r="J1709">
        <v>2.93</v>
      </c>
      <c r="K1709">
        <v>8</v>
      </c>
    </row>
    <row r="1710" spans="1:11" x14ac:dyDescent="0.25">
      <c r="A1710" t="s">
        <v>480</v>
      </c>
      <c r="B1710" t="s">
        <v>377</v>
      </c>
      <c r="C1710" t="s">
        <v>378</v>
      </c>
      <c r="D1710" t="s">
        <v>32</v>
      </c>
      <c r="E1710" t="s">
        <v>33</v>
      </c>
      <c r="F1710">
        <v>0.64840366332909216</v>
      </c>
      <c r="G1710">
        <v>0.74680732665818439</v>
      </c>
      <c r="H1710">
        <v>0.55000000000000004</v>
      </c>
      <c r="I1710">
        <v>2676060560</v>
      </c>
      <c r="J1710">
        <v>4.4000000000000004</v>
      </c>
      <c r="K1710">
        <v>9</v>
      </c>
    </row>
    <row r="1711" spans="1:11" x14ac:dyDescent="0.25">
      <c r="A1711" t="s">
        <v>480</v>
      </c>
      <c r="B1711" t="s">
        <v>145</v>
      </c>
      <c r="C1711" t="s">
        <v>146</v>
      </c>
      <c r="D1711" t="s">
        <v>14</v>
      </c>
      <c r="E1711" t="s">
        <v>42</v>
      </c>
      <c r="F1711">
        <v>0.64072197830646649</v>
      </c>
      <c r="G1711">
        <v>0.48144395661293288</v>
      </c>
      <c r="H1711">
        <v>0.8</v>
      </c>
      <c r="I1711">
        <v>4323463400</v>
      </c>
      <c r="J1711">
        <v>27.4</v>
      </c>
      <c r="K1711">
        <v>10</v>
      </c>
    </row>
    <row r="1712" spans="1:11" x14ac:dyDescent="0.25">
      <c r="A1712" t="s">
        <v>480</v>
      </c>
      <c r="B1712" t="s">
        <v>82</v>
      </c>
      <c r="C1712" t="s">
        <v>83</v>
      </c>
      <c r="D1712" t="s">
        <v>32</v>
      </c>
      <c r="E1712" t="s">
        <v>39</v>
      </c>
      <c r="F1712">
        <v>0.62081578410928728</v>
      </c>
      <c r="G1712">
        <v>0.74163156821857457</v>
      </c>
      <c r="H1712">
        <v>0.5</v>
      </c>
      <c r="I1712">
        <v>27736177000</v>
      </c>
      <c r="J1712">
        <v>19.75</v>
      </c>
      <c r="K1712">
        <v>11</v>
      </c>
    </row>
    <row r="1713" spans="1:11" x14ac:dyDescent="0.25">
      <c r="A1713" t="s">
        <v>480</v>
      </c>
      <c r="B1713" t="s">
        <v>103</v>
      </c>
      <c r="C1713" t="s">
        <v>104</v>
      </c>
      <c r="D1713" t="s">
        <v>32</v>
      </c>
      <c r="E1713" t="s">
        <v>39</v>
      </c>
      <c r="F1713">
        <v>0.6203181237452875</v>
      </c>
      <c r="G1713">
        <v>0.74063624749057488</v>
      </c>
      <c r="H1713">
        <v>0.5</v>
      </c>
      <c r="I1713">
        <v>35128689200</v>
      </c>
      <c r="J1713">
        <v>28.25</v>
      </c>
      <c r="K1713">
        <v>12</v>
      </c>
    </row>
    <row r="1714" spans="1:11" x14ac:dyDescent="0.25">
      <c r="A1714" t="s">
        <v>480</v>
      </c>
      <c r="B1714" t="s">
        <v>483</v>
      </c>
      <c r="C1714" t="s">
        <v>484</v>
      </c>
      <c r="D1714" t="s">
        <v>18</v>
      </c>
      <c r="E1714" t="s">
        <v>74</v>
      </c>
      <c r="F1714">
        <v>0.61352491751492499</v>
      </c>
      <c r="G1714">
        <v>0.97704983502984999</v>
      </c>
      <c r="H1714">
        <v>0.25</v>
      </c>
      <c r="I1714">
        <v>7034943000</v>
      </c>
      <c r="J1714">
        <v>14</v>
      </c>
      <c r="K1714">
        <v>13</v>
      </c>
    </row>
    <row r="1715" spans="1:11" x14ac:dyDescent="0.25">
      <c r="A1715" t="s">
        <v>480</v>
      </c>
      <c r="B1715" t="s">
        <v>460</v>
      </c>
      <c r="C1715" t="s">
        <v>461</v>
      </c>
      <c r="D1715" t="s">
        <v>32</v>
      </c>
      <c r="E1715" t="s">
        <v>39</v>
      </c>
      <c r="F1715">
        <v>0.58630235136985132</v>
      </c>
      <c r="G1715">
        <v>0.97260470273970268</v>
      </c>
      <c r="H1715">
        <v>0.2</v>
      </c>
      <c r="I1715">
        <v>42454069800</v>
      </c>
      <c r="J1715">
        <v>23.9</v>
      </c>
      <c r="K1715">
        <v>14</v>
      </c>
    </row>
    <row r="1716" spans="1:11" x14ac:dyDescent="0.25">
      <c r="A1716" t="s">
        <v>480</v>
      </c>
      <c r="B1716" t="s">
        <v>465</v>
      </c>
      <c r="C1716" t="s">
        <v>466</v>
      </c>
      <c r="D1716" t="s">
        <v>32</v>
      </c>
      <c r="E1716" t="s">
        <v>39</v>
      </c>
      <c r="F1716">
        <v>0.5797253902724494</v>
      </c>
      <c r="G1716">
        <v>0.80945078054489883</v>
      </c>
      <c r="H1716">
        <v>0.35</v>
      </c>
      <c r="I1716">
        <v>378875293800</v>
      </c>
      <c r="J1716">
        <v>74.599999999999994</v>
      </c>
      <c r="K1716">
        <v>15</v>
      </c>
    </row>
    <row r="1717" spans="1:11" x14ac:dyDescent="0.25">
      <c r="A1717" t="s">
        <v>480</v>
      </c>
      <c r="B1717" t="s">
        <v>84</v>
      </c>
      <c r="C1717" t="s">
        <v>85</v>
      </c>
      <c r="D1717" t="s">
        <v>14</v>
      </c>
      <c r="E1717" t="s">
        <v>42</v>
      </c>
      <c r="F1717">
        <v>0.57803579463283183</v>
      </c>
      <c r="G1717">
        <v>0.85607158926566362</v>
      </c>
      <c r="H1717">
        <v>0.3</v>
      </c>
      <c r="I1717">
        <v>7823324200</v>
      </c>
      <c r="J1717">
        <v>165</v>
      </c>
      <c r="K1717">
        <v>16</v>
      </c>
    </row>
    <row r="1718" spans="1:11" x14ac:dyDescent="0.25">
      <c r="A1718" t="s">
        <v>480</v>
      </c>
      <c r="B1718" t="s">
        <v>476</v>
      </c>
      <c r="C1718" t="s">
        <v>477</v>
      </c>
      <c r="D1718" t="s">
        <v>14</v>
      </c>
      <c r="E1718" t="s">
        <v>39</v>
      </c>
      <c r="F1718">
        <v>0.57446791801250119</v>
      </c>
      <c r="G1718">
        <v>0.94893583602500231</v>
      </c>
      <c r="H1718">
        <v>0.2</v>
      </c>
      <c r="I1718">
        <v>3609036200</v>
      </c>
      <c r="J1718">
        <v>14.1</v>
      </c>
      <c r="K1718">
        <v>17</v>
      </c>
    </row>
    <row r="1719" spans="1:11" x14ac:dyDescent="0.25">
      <c r="A1719" t="s">
        <v>480</v>
      </c>
      <c r="B1719" t="s">
        <v>162</v>
      </c>
      <c r="C1719" t="s">
        <v>163</v>
      </c>
      <c r="D1719" t="s">
        <v>32</v>
      </c>
      <c r="E1719" t="s">
        <v>29</v>
      </c>
      <c r="F1719">
        <v>0.56889951131487737</v>
      </c>
      <c r="G1719">
        <v>0.8377990226297547</v>
      </c>
      <c r="H1719">
        <v>0.3</v>
      </c>
      <c r="I1719">
        <v>568175956600</v>
      </c>
      <c r="J1719">
        <v>14.55</v>
      </c>
      <c r="K1719">
        <v>18</v>
      </c>
    </row>
    <row r="1720" spans="1:11" x14ac:dyDescent="0.25">
      <c r="A1720" t="s">
        <v>480</v>
      </c>
      <c r="B1720" t="s">
        <v>49</v>
      </c>
      <c r="C1720" t="s">
        <v>50</v>
      </c>
      <c r="D1720" t="s">
        <v>32</v>
      </c>
      <c r="E1720" t="s">
        <v>39</v>
      </c>
      <c r="F1720">
        <v>0.56370311552812824</v>
      </c>
      <c r="G1720">
        <v>0.87740623105625648</v>
      </c>
      <c r="H1720">
        <v>0.25</v>
      </c>
      <c r="I1720">
        <v>268800960700</v>
      </c>
      <c r="J1720">
        <v>34.6</v>
      </c>
      <c r="K1720">
        <v>19</v>
      </c>
    </row>
    <row r="1721" spans="1:11" x14ac:dyDescent="0.25">
      <c r="A1721" t="s">
        <v>480</v>
      </c>
      <c r="B1721" t="s">
        <v>388</v>
      </c>
      <c r="C1721" t="s">
        <v>389</v>
      </c>
      <c r="D1721" t="s">
        <v>14</v>
      </c>
      <c r="E1721" t="s">
        <v>26</v>
      </c>
      <c r="F1721">
        <v>0.5610005276520027</v>
      </c>
      <c r="G1721">
        <v>0.52200105530400553</v>
      </c>
      <c r="H1721">
        <v>0.6</v>
      </c>
      <c r="I1721">
        <v>8604920000</v>
      </c>
      <c r="J1721">
        <v>8.1999999999999993</v>
      </c>
      <c r="K1721">
        <v>20</v>
      </c>
    </row>
    <row r="1722" spans="1:11" x14ac:dyDescent="0.25">
      <c r="A1722" t="s">
        <v>485</v>
      </c>
      <c r="B1722" t="s">
        <v>340</v>
      </c>
      <c r="C1722" t="s">
        <v>341</v>
      </c>
      <c r="D1722" t="s">
        <v>14</v>
      </c>
      <c r="E1722" t="s">
        <v>74</v>
      </c>
      <c r="F1722">
        <v>0.87707559702215798</v>
      </c>
      <c r="G1722">
        <v>0.95415119404431603</v>
      </c>
      <c r="H1722">
        <v>0.8</v>
      </c>
      <c r="I1722">
        <v>2297524200</v>
      </c>
      <c r="J1722">
        <v>51</v>
      </c>
      <c r="K1722">
        <v>1</v>
      </c>
    </row>
    <row r="1723" spans="1:11" x14ac:dyDescent="0.25">
      <c r="A1723" t="s">
        <v>485</v>
      </c>
      <c r="B1723" t="s">
        <v>145</v>
      </c>
      <c r="C1723" t="s">
        <v>146</v>
      </c>
      <c r="D1723" t="s">
        <v>14</v>
      </c>
      <c r="E1723" t="s">
        <v>42</v>
      </c>
      <c r="F1723">
        <v>0.73674953528364306</v>
      </c>
      <c r="G1723">
        <v>0.573499070567286</v>
      </c>
      <c r="H1723">
        <v>0.9</v>
      </c>
      <c r="I1723">
        <v>4370307000</v>
      </c>
      <c r="J1723">
        <v>27.3</v>
      </c>
      <c r="K1723">
        <v>2</v>
      </c>
    </row>
    <row r="1724" spans="1:11" x14ac:dyDescent="0.25">
      <c r="A1724" t="s">
        <v>485</v>
      </c>
      <c r="B1724" t="s">
        <v>481</v>
      </c>
      <c r="C1724" t="s">
        <v>482</v>
      </c>
      <c r="D1724" t="s">
        <v>32</v>
      </c>
      <c r="E1724" t="s">
        <v>236</v>
      </c>
      <c r="F1724">
        <v>0.70122868569319741</v>
      </c>
      <c r="G1724">
        <v>0.85245737138639477</v>
      </c>
      <c r="H1724">
        <v>0.55000000000000004</v>
      </c>
      <c r="I1724">
        <v>2393462800</v>
      </c>
      <c r="J1724">
        <v>3</v>
      </c>
      <c r="K1724">
        <v>3</v>
      </c>
    </row>
    <row r="1725" spans="1:11" x14ac:dyDescent="0.25">
      <c r="A1725" t="s">
        <v>485</v>
      </c>
      <c r="B1725" t="s">
        <v>483</v>
      </c>
      <c r="C1725" t="s">
        <v>484</v>
      </c>
      <c r="D1725" t="s">
        <v>18</v>
      </c>
      <c r="E1725" t="s">
        <v>74</v>
      </c>
      <c r="F1725">
        <v>0.6961478235849512</v>
      </c>
      <c r="G1725">
        <v>0.99229564716990248</v>
      </c>
      <c r="H1725">
        <v>0.4</v>
      </c>
      <c r="I1725">
        <v>7748686000</v>
      </c>
      <c r="J1725">
        <v>15.4</v>
      </c>
      <c r="K1725">
        <v>4</v>
      </c>
    </row>
    <row r="1726" spans="1:11" x14ac:dyDescent="0.25">
      <c r="A1726" t="s">
        <v>485</v>
      </c>
      <c r="B1726" t="s">
        <v>108</v>
      </c>
      <c r="C1726" t="s">
        <v>109</v>
      </c>
      <c r="D1726" t="s">
        <v>32</v>
      </c>
      <c r="E1726" t="s">
        <v>33</v>
      </c>
      <c r="F1726">
        <v>0.69494094248688021</v>
      </c>
      <c r="G1726">
        <v>0.93988188497376046</v>
      </c>
      <c r="H1726">
        <v>0.45</v>
      </c>
      <c r="I1726">
        <v>160800777600</v>
      </c>
      <c r="J1726">
        <v>22.35</v>
      </c>
      <c r="K1726">
        <v>5</v>
      </c>
    </row>
    <row r="1727" spans="1:11" x14ac:dyDescent="0.25">
      <c r="A1727" t="s">
        <v>485</v>
      </c>
      <c r="B1727" t="s">
        <v>377</v>
      </c>
      <c r="C1727" t="s">
        <v>378</v>
      </c>
      <c r="D1727" t="s">
        <v>32</v>
      </c>
      <c r="E1727" t="s">
        <v>33</v>
      </c>
      <c r="F1727">
        <v>0.66958300731205433</v>
      </c>
      <c r="G1727">
        <v>0.6391660146241086</v>
      </c>
      <c r="H1727">
        <v>0.7</v>
      </c>
      <c r="I1727">
        <v>2647524080</v>
      </c>
      <c r="J1727">
        <v>4.3499999999999996</v>
      </c>
      <c r="K1727">
        <v>6</v>
      </c>
    </row>
    <row r="1728" spans="1:11" x14ac:dyDescent="0.25">
      <c r="A1728" t="s">
        <v>485</v>
      </c>
      <c r="B1728" t="s">
        <v>403</v>
      </c>
      <c r="C1728" t="s">
        <v>404</v>
      </c>
      <c r="D1728" t="s">
        <v>32</v>
      </c>
      <c r="E1728" t="s">
        <v>33</v>
      </c>
      <c r="F1728">
        <v>0.65757011666108545</v>
      </c>
      <c r="G1728">
        <v>0.71514023332217103</v>
      </c>
      <c r="H1728">
        <v>0.6</v>
      </c>
      <c r="I1728">
        <v>2589794780</v>
      </c>
      <c r="J1728">
        <v>2.87</v>
      </c>
      <c r="K1728">
        <v>7</v>
      </c>
    </row>
    <row r="1729" spans="1:11" x14ac:dyDescent="0.25">
      <c r="A1729" t="s">
        <v>485</v>
      </c>
      <c r="B1729" t="s">
        <v>363</v>
      </c>
      <c r="C1729" t="s">
        <v>364</v>
      </c>
      <c r="D1729" t="s">
        <v>32</v>
      </c>
      <c r="E1729" t="s">
        <v>42</v>
      </c>
      <c r="F1729">
        <v>0.64631691608494335</v>
      </c>
      <c r="G1729">
        <v>0.69263383216988672</v>
      </c>
      <c r="H1729">
        <v>0.6</v>
      </c>
      <c r="I1729">
        <v>148435865000</v>
      </c>
      <c r="J1729">
        <v>60.4</v>
      </c>
      <c r="K1729">
        <v>8</v>
      </c>
    </row>
    <row r="1730" spans="1:11" x14ac:dyDescent="0.25">
      <c r="A1730" t="s">
        <v>485</v>
      </c>
      <c r="B1730" t="s">
        <v>186</v>
      </c>
      <c r="C1730" t="s">
        <v>187</v>
      </c>
      <c r="D1730" t="s">
        <v>32</v>
      </c>
      <c r="E1730" t="s">
        <v>74</v>
      </c>
      <c r="F1730">
        <v>0.64014581474570431</v>
      </c>
      <c r="G1730">
        <v>0.8802916294914086</v>
      </c>
      <c r="H1730">
        <v>0.4</v>
      </c>
      <c r="I1730">
        <v>18161189400</v>
      </c>
      <c r="J1730">
        <v>15.1</v>
      </c>
      <c r="K1730">
        <v>9</v>
      </c>
    </row>
    <row r="1731" spans="1:11" x14ac:dyDescent="0.25">
      <c r="A1731" t="s">
        <v>485</v>
      </c>
      <c r="B1731" t="s">
        <v>368</v>
      </c>
      <c r="C1731" t="s">
        <v>369</v>
      </c>
      <c r="D1731" t="s">
        <v>32</v>
      </c>
      <c r="E1731" t="s">
        <v>33</v>
      </c>
      <c r="F1731">
        <v>0.63844233082740187</v>
      </c>
      <c r="G1731">
        <v>0.72688466165480381</v>
      </c>
      <c r="H1731">
        <v>0.55000000000000004</v>
      </c>
      <c r="I1731">
        <v>3143515800</v>
      </c>
      <c r="J1731">
        <v>26.4</v>
      </c>
      <c r="K1731">
        <v>10</v>
      </c>
    </row>
    <row r="1732" spans="1:11" x14ac:dyDescent="0.25">
      <c r="A1732" t="s">
        <v>485</v>
      </c>
      <c r="B1732" t="s">
        <v>88</v>
      </c>
      <c r="C1732" t="s">
        <v>89</v>
      </c>
      <c r="D1732" t="s">
        <v>32</v>
      </c>
      <c r="E1732" t="s">
        <v>33</v>
      </c>
      <c r="F1732">
        <v>0.63647703169061254</v>
      </c>
      <c r="G1732">
        <v>0.87295406338122505</v>
      </c>
      <c r="H1732">
        <v>0.4</v>
      </c>
      <c r="I1732">
        <v>106138603300</v>
      </c>
      <c r="J1732">
        <v>16.399999999999999</v>
      </c>
      <c r="K1732">
        <v>11</v>
      </c>
    </row>
    <row r="1733" spans="1:11" x14ac:dyDescent="0.25">
      <c r="A1733" t="s">
        <v>485</v>
      </c>
      <c r="B1733" t="s">
        <v>418</v>
      </c>
      <c r="C1733" t="s">
        <v>419</v>
      </c>
      <c r="D1733" t="s">
        <v>32</v>
      </c>
      <c r="E1733" t="s">
        <v>74</v>
      </c>
      <c r="F1733">
        <v>0.62197948814840065</v>
      </c>
      <c r="G1733">
        <v>0.64395897629680143</v>
      </c>
      <c r="H1733">
        <v>0.6</v>
      </c>
      <c r="I1733">
        <v>134700736060</v>
      </c>
      <c r="J1733">
        <v>10.9</v>
      </c>
      <c r="K1733">
        <v>12</v>
      </c>
    </row>
    <row r="1734" spans="1:11" x14ac:dyDescent="0.25">
      <c r="A1734" t="s">
        <v>485</v>
      </c>
      <c r="B1734" t="s">
        <v>49</v>
      </c>
      <c r="C1734" t="s">
        <v>50</v>
      </c>
      <c r="D1734" t="s">
        <v>32</v>
      </c>
      <c r="E1734" t="s">
        <v>39</v>
      </c>
      <c r="F1734">
        <v>0.61816336696426133</v>
      </c>
      <c r="G1734">
        <v>0.88632673392852268</v>
      </c>
      <c r="H1734">
        <v>0.35</v>
      </c>
      <c r="I1734">
        <v>269304848700</v>
      </c>
      <c r="J1734">
        <v>34.75</v>
      </c>
      <c r="K1734">
        <v>13</v>
      </c>
    </row>
    <row r="1735" spans="1:11" x14ac:dyDescent="0.25">
      <c r="A1735" t="s">
        <v>485</v>
      </c>
      <c r="B1735" t="s">
        <v>183</v>
      </c>
      <c r="C1735" t="s">
        <v>184</v>
      </c>
      <c r="D1735" t="s">
        <v>32</v>
      </c>
      <c r="E1735" t="s">
        <v>33</v>
      </c>
      <c r="F1735">
        <v>0.61314842086222532</v>
      </c>
      <c r="G1735">
        <v>0.97629684172445064</v>
      </c>
      <c r="H1735">
        <v>0.25</v>
      </c>
      <c r="I1735">
        <v>5337569960</v>
      </c>
      <c r="J1735">
        <v>2.81</v>
      </c>
      <c r="K1735">
        <v>14</v>
      </c>
    </row>
    <row r="1736" spans="1:11" x14ac:dyDescent="0.25">
      <c r="A1736" t="s">
        <v>485</v>
      </c>
      <c r="B1736" t="s">
        <v>486</v>
      </c>
      <c r="C1736" t="s">
        <v>487</v>
      </c>
      <c r="D1736" t="s">
        <v>18</v>
      </c>
      <c r="E1736" t="s">
        <v>26</v>
      </c>
      <c r="F1736">
        <v>0.60770815174573622</v>
      </c>
      <c r="G1736">
        <v>0.91541630349147241</v>
      </c>
      <c r="H1736">
        <v>0.3</v>
      </c>
      <c r="I1736">
        <v>2520415600</v>
      </c>
      <c r="J1736">
        <v>3.5</v>
      </c>
      <c r="K1736">
        <v>15</v>
      </c>
    </row>
    <row r="1737" spans="1:11" x14ac:dyDescent="0.25">
      <c r="A1737" t="s">
        <v>485</v>
      </c>
      <c r="B1737" t="s">
        <v>135</v>
      </c>
      <c r="C1737" t="s">
        <v>136</v>
      </c>
      <c r="D1737" t="s">
        <v>32</v>
      </c>
      <c r="E1737" t="s">
        <v>29</v>
      </c>
      <c r="F1737">
        <v>0.60708629252651725</v>
      </c>
      <c r="G1737">
        <v>0.71417258505303438</v>
      </c>
      <c r="H1737">
        <v>0.5</v>
      </c>
      <c r="I1737">
        <v>351213187600</v>
      </c>
      <c r="J1737">
        <v>17.45</v>
      </c>
      <c r="K1737">
        <v>16</v>
      </c>
    </row>
    <row r="1738" spans="1:11" x14ac:dyDescent="0.25">
      <c r="A1738" t="s">
        <v>485</v>
      </c>
      <c r="B1738" t="s">
        <v>162</v>
      </c>
      <c r="C1738" t="s">
        <v>163</v>
      </c>
      <c r="D1738" t="s">
        <v>32</v>
      </c>
      <c r="E1738" t="s">
        <v>29</v>
      </c>
      <c r="F1738">
        <v>0.59691746157748105</v>
      </c>
      <c r="G1738">
        <v>0.89383492315496205</v>
      </c>
      <c r="H1738">
        <v>0.3</v>
      </c>
      <c r="I1738">
        <v>583140756800</v>
      </c>
      <c r="J1738">
        <v>14.85</v>
      </c>
      <c r="K1738">
        <v>17</v>
      </c>
    </row>
    <row r="1739" spans="1:11" x14ac:dyDescent="0.25">
      <c r="A1739" t="s">
        <v>485</v>
      </c>
      <c r="B1739" t="s">
        <v>164</v>
      </c>
      <c r="C1739" t="s">
        <v>165</v>
      </c>
      <c r="D1739" t="s">
        <v>32</v>
      </c>
      <c r="E1739" t="s">
        <v>33</v>
      </c>
      <c r="F1739">
        <v>0.59681756257993768</v>
      </c>
      <c r="G1739">
        <v>0.69363512515987524</v>
      </c>
      <c r="H1739">
        <v>0.5</v>
      </c>
      <c r="I1739">
        <v>440926205400</v>
      </c>
      <c r="J1739">
        <v>93</v>
      </c>
      <c r="K1739">
        <v>18</v>
      </c>
    </row>
    <row r="1740" spans="1:11" x14ac:dyDescent="0.25">
      <c r="A1740" t="s">
        <v>485</v>
      </c>
      <c r="B1740" t="s">
        <v>70</v>
      </c>
      <c r="C1740" t="s">
        <v>71</v>
      </c>
      <c r="D1740" t="s">
        <v>32</v>
      </c>
      <c r="E1740" t="s">
        <v>33</v>
      </c>
      <c r="F1740">
        <v>0.59653273965737585</v>
      </c>
      <c r="G1740">
        <v>0.74306547931475164</v>
      </c>
      <c r="H1740">
        <v>0.45</v>
      </c>
      <c r="I1740">
        <v>31105250760</v>
      </c>
      <c r="J1740">
        <v>7.5</v>
      </c>
      <c r="K1740">
        <v>19</v>
      </c>
    </row>
    <row r="1741" spans="1:11" x14ac:dyDescent="0.25">
      <c r="A1741" t="s">
        <v>485</v>
      </c>
      <c r="B1741" t="s">
        <v>465</v>
      </c>
      <c r="C1741" t="s">
        <v>466</v>
      </c>
      <c r="D1741" t="s">
        <v>32</v>
      </c>
      <c r="E1741" t="s">
        <v>39</v>
      </c>
      <c r="F1741">
        <v>0.59280871837264326</v>
      </c>
      <c r="G1741">
        <v>0.83561743674528655</v>
      </c>
      <c r="H1741">
        <v>0.35</v>
      </c>
      <c r="I1741">
        <v>381351908200</v>
      </c>
      <c r="J1741">
        <v>74.8</v>
      </c>
      <c r="K1741">
        <v>20</v>
      </c>
    </row>
    <row r="1742" spans="1:11" x14ac:dyDescent="0.25">
      <c r="A1742" t="s">
        <v>488</v>
      </c>
      <c r="B1742" t="s">
        <v>340</v>
      </c>
      <c r="C1742" t="s">
        <v>341</v>
      </c>
      <c r="D1742" t="s">
        <v>14</v>
      </c>
      <c r="E1742" t="s">
        <v>74</v>
      </c>
      <c r="F1742">
        <v>0.85736023318260113</v>
      </c>
      <c r="G1742">
        <v>0.96472046636520215</v>
      </c>
      <c r="H1742">
        <v>0.75</v>
      </c>
      <c r="I1742">
        <v>2067820200</v>
      </c>
      <c r="J1742">
        <v>51</v>
      </c>
      <c r="K1742">
        <v>1</v>
      </c>
    </row>
    <row r="1743" spans="1:11" x14ac:dyDescent="0.25">
      <c r="A1743" t="s">
        <v>488</v>
      </c>
      <c r="B1743" t="s">
        <v>108</v>
      </c>
      <c r="C1743" t="s">
        <v>109</v>
      </c>
      <c r="D1743" t="s">
        <v>32</v>
      </c>
      <c r="E1743" t="s">
        <v>33</v>
      </c>
      <c r="F1743">
        <v>0.77120147930794825</v>
      </c>
      <c r="G1743">
        <v>0.94240295861589662</v>
      </c>
      <c r="H1743">
        <v>0.6</v>
      </c>
      <c r="I1743">
        <v>162622783800</v>
      </c>
      <c r="J1743">
        <v>23</v>
      </c>
      <c r="K1743">
        <v>2</v>
      </c>
    </row>
    <row r="1744" spans="1:11" x14ac:dyDescent="0.25">
      <c r="A1744" t="s">
        <v>488</v>
      </c>
      <c r="B1744" t="s">
        <v>418</v>
      </c>
      <c r="C1744" t="s">
        <v>419</v>
      </c>
      <c r="D1744" t="s">
        <v>32</v>
      </c>
      <c r="E1744" t="s">
        <v>74</v>
      </c>
      <c r="F1744">
        <v>0.72891702650078338</v>
      </c>
      <c r="G1744">
        <v>0.75783405300156681</v>
      </c>
      <c r="H1744">
        <v>0.7</v>
      </c>
      <c r="I1744">
        <v>138379200860</v>
      </c>
      <c r="J1744">
        <v>11.2</v>
      </c>
      <c r="K1744">
        <v>3</v>
      </c>
    </row>
    <row r="1745" spans="1:11" x14ac:dyDescent="0.25">
      <c r="A1745" t="s">
        <v>488</v>
      </c>
      <c r="B1745" t="s">
        <v>453</v>
      </c>
      <c r="C1745" t="s">
        <v>454</v>
      </c>
      <c r="D1745" t="s">
        <v>32</v>
      </c>
      <c r="E1745" t="s">
        <v>33</v>
      </c>
      <c r="F1745">
        <v>0.71820146966879272</v>
      </c>
      <c r="G1745">
        <v>0.6364029393375854</v>
      </c>
      <c r="H1745">
        <v>0.8</v>
      </c>
      <c r="I1745">
        <v>7387529800</v>
      </c>
      <c r="J1745">
        <v>33.450000000000003</v>
      </c>
      <c r="K1745">
        <v>4</v>
      </c>
    </row>
    <row r="1746" spans="1:11" x14ac:dyDescent="0.25">
      <c r="A1746" t="s">
        <v>488</v>
      </c>
      <c r="B1746" t="s">
        <v>377</v>
      </c>
      <c r="C1746" t="s">
        <v>378</v>
      </c>
      <c r="D1746" t="s">
        <v>32</v>
      </c>
      <c r="E1746" t="s">
        <v>33</v>
      </c>
      <c r="F1746">
        <v>0.6774536270105469</v>
      </c>
      <c r="G1746">
        <v>0.65490725402109384</v>
      </c>
      <c r="H1746">
        <v>0.7</v>
      </c>
      <c r="I1746">
        <v>2654950500</v>
      </c>
      <c r="J1746">
        <v>4.34</v>
      </c>
      <c r="K1746">
        <v>5</v>
      </c>
    </row>
    <row r="1747" spans="1:11" x14ac:dyDescent="0.25">
      <c r="A1747" t="s">
        <v>488</v>
      </c>
      <c r="B1747" t="s">
        <v>483</v>
      </c>
      <c r="C1747" t="s">
        <v>484</v>
      </c>
      <c r="D1747" t="s">
        <v>18</v>
      </c>
      <c r="E1747" t="s">
        <v>74</v>
      </c>
      <c r="F1747">
        <v>0.66731669595839704</v>
      </c>
      <c r="G1747">
        <v>0.98463339191679411</v>
      </c>
      <c r="H1747">
        <v>0.35</v>
      </c>
      <c r="I1747">
        <v>8009513600</v>
      </c>
      <c r="J1747">
        <v>15.4</v>
      </c>
      <c r="K1747">
        <v>6</v>
      </c>
    </row>
    <row r="1748" spans="1:11" x14ac:dyDescent="0.25">
      <c r="A1748" t="s">
        <v>488</v>
      </c>
      <c r="B1748" t="s">
        <v>183</v>
      </c>
      <c r="C1748" t="s">
        <v>184</v>
      </c>
      <c r="D1748" t="s">
        <v>32</v>
      </c>
      <c r="E1748" t="s">
        <v>33</v>
      </c>
      <c r="F1748">
        <v>0.65472588322591352</v>
      </c>
      <c r="G1748">
        <v>0.95945176645182717</v>
      </c>
      <c r="H1748">
        <v>0.35</v>
      </c>
      <c r="I1748">
        <v>5748277880</v>
      </c>
      <c r="J1748">
        <v>2.77</v>
      </c>
      <c r="K1748">
        <v>7</v>
      </c>
    </row>
    <row r="1749" spans="1:11" x14ac:dyDescent="0.25">
      <c r="A1749" t="s">
        <v>488</v>
      </c>
      <c r="B1749" t="s">
        <v>156</v>
      </c>
      <c r="C1749" t="s">
        <v>157</v>
      </c>
      <c r="D1749" t="s">
        <v>14</v>
      </c>
      <c r="E1749" t="s">
        <v>26</v>
      </c>
      <c r="F1749">
        <v>0.64656598516279273</v>
      </c>
      <c r="G1749">
        <v>0.84313197032558551</v>
      </c>
      <c r="H1749">
        <v>0.45</v>
      </c>
      <c r="I1749">
        <v>10579128200</v>
      </c>
      <c r="J1749">
        <v>7.3</v>
      </c>
      <c r="K1749">
        <v>8</v>
      </c>
    </row>
    <row r="1750" spans="1:11" x14ac:dyDescent="0.25">
      <c r="A1750" t="s">
        <v>488</v>
      </c>
      <c r="B1750" t="s">
        <v>403</v>
      </c>
      <c r="C1750" t="s">
        <v>404</v>
      </c>
      <c r="D1750" t="s">
        <v>32</v>
      </c>
      <c r="E1750" t="s">
        <v>33</v>
      </c>
      <c r="F1750">
        <v>0.64274866945597009</v>
      </c>
      <c r="G1750">
        <v>0.88549733891194027</v>
      </c>
      <c r="H1750">
        <v>0.4</v>
      </c>
      <c r="I1750">
        <v>2663950840</v>
      </c>
      <c r="J1750">
        <v>3.07</v>
      </c>
      <c r="K1750">
        <v>9</v>
      </c>
    </row>
    <row r="1751" spans="1:11" x14ac:dyDescent="0.25">
      <c r="A1751" t="s">
        <v>488</v>
      </c>
      <c r="B1751" t="s">
        <v>363</v>
      </c>
      <c r="C1751" t="s">
        <v>364</v>
      </c>
      <c r="D1751" t="s">
        <v>32</v>
      </c>
      <c r="E1751" t="s">
        <v>42</v>
      </c>
      <c r="F1751">
        <v>0.62996427210454842</v>
      </c>
      <c r="G1751">
        <v>0.80992854420909677</v>
      </c>
      <c r="H1751">
        <v>0.45</v>
      </c>
      <c r="I1751">
        <v>150470130000</v>
      </c>
      <c r="J1751">
        <v>62.1</v>
      </c>
      <c r="K1751">
        <v>10</v>
      </c>
    </row>
    <row r="1752" spans="1:11" x14ac:dyDescent="0.25">
      <c r="A1752" t="s">
        <v>488</v>
      </c>
      <c r="B1752" t="s">
        <v>135</v>
      </c>
      <c r="C1752" t="s">
        <v>136</v>
      </c>
      <c r="D1752" t="s">
        <v>32</v>
      </c>
      <c r="E1752" t="s">
        <v>29</v>
      </c>
      <c r="F1752">
        <v>0.61458428505600016</v>
      </c>
      <c r="G1752">
        <v>0.77916857011200025</v>
      </c>
      <c r="H1752">
        <v>0.45</v>
      </c>
      <c r="I1752">
        <v>357397814400</v>
      </c>
      <c r="J1752">
        <v>17.8</v>
      </c>
      <c r="K1752">
        <v>11</v>
      </c>
    </row>
    <row r="1753" spans="1:11" x14ac:dyDescent="0.25">
      <c r="A1753" t="s">
        <v>488</v>
      </c>
      <c r="B1753" t="s">
        <v>232</v>
      </c>
      <c r="C1753" t="s">
        <v>233</v>
      </c>
      <c r="D1753" t="s">
        <v>32</v>
      </c>
      <c r="E1753" t="s">
        <v>26</v>
      </c>
      <c r="F1753">
        <v>0.60657987990286011</v>
      </c>
      <c r="G1753">
        <v>0.81315975980572031</v>
      </c>
      <c r="H1753">
        <v>0.4</v>
      </c>
      <c r="I1753">
        <v>8661427400</v>
      </c>
      <c r="J1753">
        <v>10.5</v>
      </c>
      <c r="K1753">
        <v>12</v>
      </c>
    </row>
    <row r="1754" spans="1:11" x14ac:dyDescent="0.25">
      <c r="A1754" t="s">
        <v>488</v>
      </c>
      <c r="B1754" t="s">
        <v>94</v>
      </c>
      <c r="C1754" t="s">
        <v>95</v>
      </c>
      <c r="D1754" t="s">
        <v>32</v>
      </c>
      <c r="E1754" t="s">
        <v>33</v>
      </c>
      <c r="F1754">
        <v>0.59665357453785761</v>
      </c>
      <c r="G1754">
        <v>0.99330714907571527</v>
      </c>
      <c r="H1754">
        <v>0.2</v>
      </c>
      <c r="I1754">
        <v>12175887200</v>
      </c>
      <c r="J1754">
        <v>4.2300000000000004</v>
      </c>
      <c r="K1754">
        <v>13</v>
      </c>
    </row>
    <row r="1755" spans="1:11" x14ac:dyDescent="0.25">
      <c r="A1755" t="s">
        <v>488</v>
      </c>
      <c r="B1755" t="s">
        <v>120</v>
      </c>
      <c r="C1755" t="s">
        <v>121</v>
      </c>
      <c r="D1755" t="s">
        <v>32</v>
      </c>
      <c r="E1755" t="s">
        <v>29</v>
      </c>
      <c r="F1755">
        <v>0.59441273406006367</v>
      </c>
      <c r="G1755">
        <v>0.53882546812012733</v>
      </c>
      <c r="H1755">
        <v>0.65</v>
      </c>
      <c r="I1755">
        <v>270524075100</v>
      </c>
      <c r="J1755">
        <v>37.549999999999997</v>
      </c>
      <c r="K1755">
        <v>14</v>
      </c>
    </row>
    <row r="1756" spans="1:11" x14ac:dyDescent="0.25">
      <c r="A1756" t="s">
        <v>488</v>
      </c>
      <c r="B1756" t="s">
        <v>164</v>
      </c>
      <c r="C1756" t="s">
        <v>165</v>
      </c>
      <c r="D1756" t="s">
        <v>32</v>
      </c>
      <c r="E1756" t="s">
        <v>33</v>
      </c>
      <c r="F1756">
        <v>0.58778997507557518</v>
      </c>
      <c r="G1756">
        <v>0.67557995015115035</v>
      </c>
      <c r="H1756">
        <v>0.5</v>
      </c>
      <c r="I1756">
        <v>432629998200</v>
      </c>
      <c r="J1756">
        <v>93.3</v>
      </c>
      <c r="K1756">
        <v>15</v>
      </c>
    </row>
    <row r="1757" spans="1:11" x14ac:dyDescent="0.25">
      <c r="A1757" t="s">
        <v>488</v>
      </c>
      <c r="B1757" t="s">
        <v>49</v>
      </c>
      <c r="C1757" t="s">
        <v>50</v>
      </c>
      <c r="D1757" t="s">
        <v>32</v>
      </c>
      <c r="E1757" t="s">
        <v>39</v>
      </c>
      <c r="F1757">
        <v>0.58755627263524135</v>
      </c>
      <c r="G1757">
        <v>0.87511254527048266</v>
      </c>
      <c r="H1757">
        <v>0.3</v>
      </c>
      <c r="I1757">
        <v>270759105900</v>
      </c>
      <c r="J1757">
        <v>34.75</v>
      </c>
      <c r="K1757">
        <v>16</v>
      </c>
    </row>
    <row r="1758" spans="1:11" x14ac:dyDescent="0.25">
      <c r="A1758" t="s">
        <v>488</v>
      </c>
      <c r="B1758" t="s">
        <v>287</v>
      </c>
      <c r="C1758" t="s">
        <v>288</v>
      </c>
      <c r="D1758" t="s">
        <v>14</v>
      </c>
      <c r="E1758" t="s">
        <v>59</v>
      </c>
      <c r="F1758">
        <v>0.58675875958275292</v>
      </c>
      <c r="G1758">
        <v>0.8735175191655058</v>
      </c>
      <c r="H1758">
        <v>0.3</v>
      </c>
      <c r="I1758">
        <v>64023992200</v>
      </c>
      <c r="J1758">
        <v>28.7</v>
      </c>
      <c r="K1758">
        <v>17</v>
      </c>
    </row>
    <row r="1759" spans="1:11" x14ac:dyDescent="0.25">
      <c r="A1759" t="s">
        <v>488</v>
      </c>
      <c r="B1759" t="s">
        <v>84</v>
      </c>
      <c r="C1759" t="s">
        <v>85</v>
      </c>
      <c r="D1759" t="s">
        <v>14</v>
      </c>
      <c r="E1759" t="s">
        <v>42</v>
      </c>
      <c r="F1759">
        <v>0.58273479835939923</v>
      </c>
      <c r="G1759">
        <v>0.86546959671879842</v>
      </c>
      <c r="H1759">
        <v>0.3</v>
      </c>
      <c r="I1759">
        <v>7804141800</v>
      </c>
      <c r="J1759">
        <v>165</v>
      </c>
      <c r="K1759">
        <v>18</v>
      </c>
    </row>
    <row r="1760" spans="1:11" x14ac:dyDescent="0.25">
      <c r="A1760" t="s">
        <v>488</v>
      </c>
      <c r="B1760" t="s">
        <v>489</v>
      </c>
      <c r="C1760" t="s">
        <v>490</v>
      </c>
      <c r="D1760" t="s">
        <v>32</v>
      </c>
      <c r="E1760" t="s">
        <v>29</v>
      </c>
      <c r="F1760">
        <v>0.58102138728031028</v>
      </c>
      <c r="G1760">
        <v>0.51204277456062064</v>
      </c>
      <c r="H1760">
        <v>0.65</v>
      </c>
      <c r="I1760">
        <v>148377337900</v>
      </c>
      <c r="J1760">
        <v>40</v>
      </c>
      <c r="K1760">
        <v>19</v>
      </c>
    </row>
    <row r="1761" spans="1:11" x14ac:dyDescent="0.25">
      <c r="A1761" t="s">
        <v>488</v>
      </c>
      <c r="B1761" t="s">
        <v>491</v>
      </c>
      <c r="C1761" t="s">
        <v>492</v>
      </c>
      <c r="D1761" t="s">
        <v>18</v>
      </c>
      <c r="E1761" t="s">
        <v>29</v>
      </c>
      <c r="F1761">
        <v>0.57928013967843928</v>
      </c>
      <c r="G1761">
        <v>0.65856027935687844</v>
      </c>
      <c r="H1761">
        <v>0.5</v>
      </c>
      <c r="I1761">
        <v>208289561800</v>
      </c>
      <c r="J1761">
        <v>14.2</v>
      </c>
      <c r="K1761">
        <v>20</v>
      </c>
    </row>
    <row r="1762" spans="1:11" x14ac:dyDescent="0.25">
      <c r="A1762" t="s">
        <v>493</v>
      </c>
      <c r="B1762" t="s">
        <v>403</v>
      </c>
      <c r="C1762" t="s">
        <v>404</v>
      </c>
      <c r="D1762" t="s">
        <v>32</v>
      </c>
      <c r="E1762" t="s">
        <v>33</v>
      </c>
      <c r="F1762">
        <v>0.82582634374686026</v>
      </c>
      <c r="G1762">
        <v>0.95165268749372067</v>
      </c>
      <c r="H1762">
        <v>0.7</v>
      </c>
      <c r="I1762">
        <v>2692279900</v>
      </c>
      <c r="J1762">
        <v>3.28</v>
      </c>
      <c r="K1762">
        <v>1</v>
      </c>
    </row>
    <row r="1763" spans="1:11" x14ac:dyDescent="0.25">
      <c r="A1763" t="s">
        <v>493</v>
      </c>
      <c r="B1763" t="s">
        <v>108</v>
      </c>
      <c r="C1763" t="s">
        <v>109</v>
      </c>
      <c r="D1763" t="s">
        <v>32</v>
      </c>
      <c r="E1763" t="s">
        <v>33</v>
      </c>
      <c r="F1763">
        <v>0.81213283701345307</v>
      </c>
      <c r="G1763">
        <v>0.92426567402690607</v>
      </c>
      <c r="H1763">
        <v>0.7</v>
      </c>
      <c r="I1763">
        <v>164526814200</v>
      </c>
      <c r="J1763">
        <v>23.05</v>
      </c>
      <c r="K1763">
        <v>2</v>
      </c>
    </row>
    <row r="1764" spans="1:11" x14ac:dyDescent="0.25">
      <c r="A1764" t="s">
        <v>493</v>
      </c>
      <c r="B1764" t="s">
        <v>377</v>
      </c>
      <c r="C1764" t="s">
        <v>378</v>
      </c>
      <c r="D1764" t="s">
        <v>32</v>
      </c>
      <c r="E1764" t="s">
        <v>33</v>
      </c>
      <c r="F1764">
        <v>0.75827441160914844</v>
      </c>
      <c r="G1764">
        <v>0.66654882321829678</v>
      </c>
      <c r="H1764">
        <v>0.85</v>
      </c>
      <c r="I1764">
        <v>2585658060</v>
      </c>
      <c r="J1764">
        <v>4.3499999999999996</v>
      </c>
      <c r="K1764">
        <v>3</v>
      </c>
    </row>
    <row r="1765" spans="1:11" x14ac:dyDescent="0.25">
      <c r="A1765" t="s">
        <v>493</v>
      </c>
      <c r="B1765" t="s">
        <v>489</v>
      </c>
      <c r="C1765" t="s">
        <v>490</v>
      </c>
      <c r="D1765" t="s">
        <v>32</v>
      </c>
      <c r="E1765" t="s">
        <v>29</v>
      </c>
      <c r="F1765">
        <v>0.6912696186144941</v>
      </c>
      <c r="G1765">
        <v>0.58253923722898815</v>
      </c>
      <c r="H1765">
        <v>0.8</v>
      </c>
      <c r="I1765">
        <v>152879213000</v>
      </c>
      <c r="J1765">
        <v>40.5</v>
      </c>
      <c r="K1765">
        <v>4</v>
      </c>
    </row>
    <row r="1766" spans="1:11" x14ac:dyDescent="0.25">
      <c r="A1766" t="s">
        <v>493</v>
      </c>
      <c r="B1766" t="s">
        <v>287</v>
      </c>
      <c r="C1766" t="s">
        <v>288</v>
      </c>
      <c r="D1766" t="s">
        <v>14</v>
      </c>
      <c r="E1766" t="s">
        <v>59</v>
      </c>
      <c r="F1766">
        <v>0.68774547702001576</v>
      </c>
      <c r="G1766">
        <v>0.82549095404003137</v>
      </c>
      <c r="H1766">
        <v>0.55000000000000004</v>
      </c>
      <c r="I1766">
        <v>63817479600</v>
      </c>
      <c r="J1766">
        <v>28.5</v>
      </c>
      <c r="K1766">
        <v>5</v>
      </c>
    </row>
    <row r="1767" spans="1:11" x14ac:dyDescent="0.25">
      <c r="A1767" t="s">
        <v>493</v>
      </c>
      <c r="B1767" t="s">
        <v>164</v>
      </c>
      <c r="C1767" t="s">
        <v>165</v>
      </c>
      <c r="D1767" t="s">
        <v>32</v>
      </c>
      <c r="E1767" t="s">
        <v>33</v>
      </c>
      <c r="F1767">
        <v>0.67685104537634522</v>
      </c>
      <c r="G1767">
        <v>0.75370209075269057</v>
      </c>
      <c r="H1767">
        <v>0.6</v>
      </c>
      <c r="I1767">
        <v>419070678200</v>
      </c>
      <c r="J1767">
        <v>95</v>
      </c>
      <c r="K1767">
        <v>6</v>
      </c>
    </row>
    <row r="1768" spans="1:11" x14ac:dyDescent="0.25">
      <c r="A1768" t="s">
        <v>493</v>
      </c>
      <c r="B1768" t="s">
        <v>481</v>
      </c>
      <c r="C1768" t="s">
        <v>482</v>
      </c>
      <c r="D1768" t="s">
        <v>32</v>
      </c>
      <c r="E1768" t="s">
        <v>236</v>
      </c>
      <c r="F1768">
        <v>0.67009890852295517</v>
      </c>
      <c r="G1768">
        <v>0.84019781704591034</v>
      </c>
      <c r="H1768">
        <v>0.5</v>
      </c>
      <c r="I1768">
        <v>2692464880</v>
      </c>
      <c r="J1768">
        <v>3.03</v>
      </c>
      <c r="K1768">
        <v>7</v>
      </c>
    </row>
    <row r="1769" spans="1:11" x14ac:dyDescent="0.25">
      <c r="A1769" t="s">
        <v>493</v>
      </c>
      <c r="B1769" t="s">
        <v>483</v>
      </c>
      <c r="C1769" t="s">
        <v>484</v>
      </c>
      <c r="D1769" t="s">
        <v>18</v>
      </c>
      <c r="E1769" t="s">
        <v>74</v>
      </c>
      <c r="F1769">
        <v>0.6659053222617175</v>
      </c>
      <c r="G1769">
        <v>0.98181064452343492</v>
      </c>
      <c r="H1769">
        <v>0.35</v>
      </c>
      <c r="I1769">
        <v>8206839600</v>
      </c>
      <c r="J1769">
        <v>15.5</v>
      </c>
      <c r="K1769">
        <v>8</v>
      </c>
    </row>
    <row r="1770" spans="1:11" x14ac:dyDescent="0.25">
      <c r="A1770" t="s">
        <v>493</v>
      </c>
      <c r="B1770" t="s">
        <v>494</v>
      </c>
      <c r="C1770" t="s">
        <v>495</v>
      </c>
      <c r="D1770" t="s">
        <v>32</v>
      </c>
      <c r="E1770" t="s">
        <v>29</v>
      </c>
      <c r="F1770">
        <v>0.65273073585713481</v>
      </c>
      <c r="G1770">
        <v>0.90546147171426972</v>
      </c>
      <c r="H1770">
        <v>0.4</v>
      </c>
      <c r="I1770">
        <v>606183287900</v>
      </c>
      <c r="J1770">
        <v>28.55</v>
      </c>
      <c r="K1770">
        <v>9</v>
      </c>
    </row>
    <row r="1771" spans="1:11" x14ac:dyDescent="0.25">
      <c r="A1771" t="s">
        <v>493</v>
      </c>
      <c r="B1771" t="s">
        <v>469</v>
      </c>
      <c r="C1771" t="s">
        <v>470</v>
      </c>
      <c r="D1771" t="s">
        <v>18</v>
      </c>
      <c r="E1771" t="s">
        <v>29</v>
      </c>
      <c r="F1771">
        <v>0.64997801362022645</v>
      </c>
      <c r="G1771">
        <v>0.94995602724045292</v>
      </c>
      <c r="H1771">
        <v>0.35</v>
      </c>
      <c r="I1771">
        <v>4459373600</v>
      </c>
      <c r="J1771">
        <v>7.2</v>
      </c>
      <c r="K1771">
        <v>10</v>
      </c>
    </row>
    <row r="1772" spans="1:11" x14ac:dyDescent="0.25">
      <c r="A1772" t="s">
        <v>493</v>
      </c>
      <c r="B1772" t="s">
        <v>445</v>
      </c>
      <c r="C1772" t="s">
        <v>446</v>
      </c>
      <c r="D1772" t="s">
        <v>32</v>
      </c>
      <c r="E1772" t="s">
        <v>74</v>
      </c>
      <c r="F1772">
        <v>0.64213822468281656</v>
      </c>
      <c r="G1772">
        <v>0.83427644936563305</v>
      </c>
      <c r="H1772">
        <v>0.45</v>
      </c>
      <c r="I1772">
        <v>590767874700</v>
      </c>
      <c r="J1772">
        <v>34.9</v>
      </c>
      <c r="K1772">
        <v>11</v>
      </c>
    </row>
    <row r="1773" spans="1:11" x14ac:dyDescent="0.25">
      <c r="A1773" t="s">
        <v>493</v>
      </c>
      <c r="B1773" t="s">
        <v>418</v>
      </c>
      <c r="C1773" t="s">
        <v>419</v>
      </c>
      <c r="D1773" t="s">
        <v>32</v>
      </c>
      <c r="E1773" t="s">
        <v>74</v>
      </c>
      <c r="F1773">
        <v>0.62368608760849709</v>
      </c>
      <c r="G1773">
        <v>0.64737217521699431</v>
      </c>
      <c r="H1773">
        <v>0.6</v>
      </c>
      <c r="I1773">
        <v>141226272700</v>
      </c>
      <c r="J1773">
        <v>11.1</v>
      </c>
      <c r="K1773">
        <v>12</v>
      </c>
    </row>
    <row r="1774" spans="1:11" x14ac:dyDescent="0.25">
      <c r="A1774" t="s">
        <v>493</v>
      </c>
      <c r="B1774" t="s">
        <v>140</v>
      </c>
      <c r="C1774" t="s">
        <v>141</v>
      </c>
      <c r="D1774" t="s">
        <v>32</v>
      </c>
      <c r="E1774" t="s">
        <v>26</v>
      </c>
      <c r="F1774">
        <v>0.62177315761183527</v>
      </c>
      <c r="G1774">
        <v>0.69354631522367038</v>
      </c>
      <c r="H1774">
        <v>0.55000000000000004</v>
      </c>
      <c r="I1774">
        <v>4817409800</v>
      </c>
      <c r="J1774">
        <v>10.4</v>
      </c>
      <c r="K1774">
        <v>13</v>
      </c>
    </row>
    <row r="1775" spans="1:11" x14ac:dyDescent="0.25">
      <c r="A1775" t="s">
        <v>493</v>
      </c>
      <c r="B1775" t="s">
        <v>486</v>
      </c>
      <c r="C1775" t="s">
        <v>487</v>
      </c>
      <c r="D1775" t="s">
        <v>18</v>
      </c>
      <c r="E1775" t="s">
        <v>26</v>
      </c>
      <c r="F1775">
        <v>0.62126736723028786</v>
      </c>
      <c r="G1775">
        <v>0.89253473446057574</v>
      </c>
      <c r="H1775">
        <v>0.35</v>
      </c>
      <c r="I1775">
        <v>2748306800</v>
      </c>
      <c r="J1775">
        <v>3.5</v>
      </c>
      <c r="K1775">
        <v>14</v>
      </c>
    </row>
    <row r="1776" spans="1:11" x14ac:dyDescent="0.25">
      <c r="A1776" t="s">
        <v>493</v>
      </c>
      <c r="B1776" t="s">
        <v>88</v>
      </c>
      <c r="C1776" t="s">
        <v>89</v>
      </c>
      <c r="D1776" t="s">
        <v>32</v>
      </c>
      <c r="E1776" t="s">
        <v>33</v>
      </c>
      <c r="F1776">
        <v>0.61727259625959929</v>
      </c>
      <c r="G1776">
        <v>0.83454519251919856</v>
      </c>
      <c r="H1776">
        <v>0.4</v>
      </c>
      <c r="I1776">
        <v>108590309200</v>
      </c>
      <c r="J1776">
        <v>16.149999999999999</v>
      </c>
      <c r="K1776">
        <v>15</v>
      </c>
    </row>
    <row r="1777" spans="1:11" x14ac:dyDescent="0.25">
      <c r="A1777" t="s">
        <v>493</v>
      </c>
      <c r="B1777" t="s">
        <v>162</v>
      </c>
      <c r="C1777" t="s">
        <v>163</v>
      </c>
      <c r="D1777" t="s">
        <v>32</v>
      </c>
      <c r="E1777" t="s">
        <v>29</v>
      </c>
      <c r="F1777">
        <v>0.61075851761578615</v>
      </c>
      <c r="G1777">
        <v>0.92151703523157236</v>
      </c>
      <c r="H1777">
        <v>0.3</v>
      </c>
      <c r="I1777">
        <v>602595825300</v>
      </c>
      <c r="J1777">
        <v>15.55</v>
      </c>
      <c r="K1777">
        <v>16</v>
      </c>
    </row>
    <row r="1778" spans="1:11" x14ac:dyDescent="0.25">
      <c r="A1778" t="s">
        <v>493</v>
      </c>
      <c r="B1778" t="s">
        <v>135</v>
      </c>
      <c r="C1778" t="s">
        <v>136</v>
      </c>
      <c r="D1778" t="s">
        <v>32</v>
      </c>
      <c r="E1778" t="s">
        <v>29</v>
      </c>
      <c r="F1778">
        <v>0.61019518657599769</v>
      </c>
      <c r="G1778">
        <v>0.82039037315199537</v>
      </c>
      <c r="H1778">
        <v>0.4</v>
      </c>
      <c r="I1778">
        <v>368216273100</v>
      </c>
      <c r="J1778">
        <v>18.05</v>
      </c>
      <c r="K1778">
        <v>17</v>
      </c>
    </row>
    <row r="1779" spans="1:11" x14ac:dyDescent="0.25">
      <c r="A1779" t="s">
        <v>493</v>
      </c>
      <c r="B1779" t="s">
        <v>183</v>
      </c>
      <c r="C1779" t="s">
        <v>184</v>
      </c>
      <c r="D1779" t="s">
        <v>32</v>
      </c>
      <c r="E1779" t="s">
        <v>33</v>
      </c>
      <c r="F1779">
        <v>0.60356167622553447</v>
      </c>
      <c r="G1779">
        <v>0.95712335245106883</v>
      </c>
      <c r="H1779">
        <v>0.25</v>
      </c>
      <c r="I1779">
        <v>6112673480</v>
      </c>
      <c r="J1779">
        <v>2.8</v>
      </c>
      <c r="K1779">
        <v>18</v>
      </c>
    </row>
    <row r="1780" spans="1:11" x14ac:dyDescent="0.25">
      <c r="A1780" t="s">
        <v>493</v>
      </c>
      <c r="B1780" t="s">
        <v>465</v>
      </c>
      <c r="C1780" t="s">
        <v>466</v>
      </c>
      <c r="D1780" t="s">
        <v>32</v>
      </c>
      <c r="E1780" t="s">
        <v>39</v>
      </c>
      <c r="F1780">
        <v>0.58711010489731863</v>
      </c>
      <c r="G1780">
        <v>0.82422020979463739</v>
      </c>
      <c r="H1780">
        <v>0.35</v>
      </c>
      <c r="I1780">
        <v>384029040200</v>
      </c>
      <c r="J1780">
        <v>75.8</v>
      </c>
      <c r="K1780">
        <v>19</v>
      </c>
    </row>
    <row r="1781" spans="1:11" x14ac:dyDescent="0.25">
      <c r="A1781" t="s">
        <v>493</v>
      </c>
      <c r="B1781" t="s">
        <v>143</v>
      </c>
      <c r="C1781" t="s">
        <v>144</v>
      </c>
      <c r="D1781" t="s">
        <v>32</v>
      </c>
      <c r="E1781" t="s">
        <v>26</v>
      </c>
      <c r="F1781">
        <v>0.58328093303336637</v>
      </c>
      <c r="G1781">
        <v>0.71656186606673267</v>
      </c>
      <c r="H1781">
        <v>0.45</v>
      </c>
      <c r="I1781">
        <v>44448874600</v>
      </c>
      <c r="J1781">
        <v>24.65</v>
      </c>
      <c r="K1781">
        <v>20</v>
      </c>
    </row>
    <row r="1782" spans="1:11" x14ac:dyDescent="0.25">
      <c r="A1782" t="s">
        <v>496</v>
      </c>
      <c r="B1782" t="s">
        <v>108</v>
      </c>
      <c r="C1782" t="s">
        <v>109</v>
      </c>
      <c r="D1782" t="s">
        <v>32</v>
      </c>
      <c r="E1782" t="s">
        <v>33</v>
      </c>
      <c r="F1782">
        <v>0.78084730244211253</v>
      </c>
      <c r="G1782">
        <v>0.91169460488422494</v>
      </c>
      <c r="H1782">
        <v>0.65</v>
      </c>
      <c r="I1782">
        <v>164919143200</v>
      </c>
      <c r="J1782">
        <v>23.3</v>
      </c>
      <c r="K1782">
        <v>1</v>
      </c>
    </row>
    <row r="1783" spans="1:11" x14ac:dyDescent="0.25">
      <c r="A1783" t="s">
        <v>496</v>
      </c>
      <c r="B1783" t="s">
        <v>445</v>
      </c>
      <c r="C1783" t="s">
        <v>446</v>
      </c>
      <c r="D1783" t="s">
        <v>32</v>
      </c>
      <c r="E1783" t="s">
        <v>74</v>
      </c>
      <c r="F1783">
        <v>0.76822732343218847</v>
      </c>
      <c r="G1783">
        <v>0.73645464686437689</v>
      </c>
      <c r="H1783">
        <v>0.8</v>
      </c>
      <c r="I1783">
        <v>595026683500</v>
      </c>
      <c r="J1783">
        <v>34.799999999999997</v>
      </c>
      <c r="K1783">
        <v>2</v>
      </c>
    </row>
    <row r="1784" spans="1:11" x14ac:dyDescent="0.25">
      <c r="A1784" t="s">
        <v>496</v>
      </c>
      <c r="B1784" t="s">
        <v>164</v>
      </c>
      <c r="C1784" t="s">
        <v>165</v>
      </c>
      <c r="D1784" t="s">
        <v>32</v>
      </c>
      <c r="E1784" t="s">
        <v>33</v>
      </c>
      <c r="F1784">
        <v>0.74276208390587284</v>
      </c>
      <c r="G1784">
        <v>0.93552416781174574</v>
      </c>
      <c r="H1784">
        <v>0.55000000000000004</v>
      </c>
      <c r="I1784">
        <v>423885027000</v>
      </c>
      <c r="J1784">
        <v>101.6</v>
      </c>
      <c r="K1784">
        <v>3</v>
      </c>
    </row>
    <row r="1785" spans="1:11" x14ac:dyDescent="0.25">
      <c r="A1785" t="s">
        <v>496</v>
      </c>
      <c r="B1785" t="s">
        <v>287</v>
      </c>
      <c r="C1785" t="s">
        <v>288</v>
      </c>
      <c r="D1785" t="s">
        <v>14</v>
      </c>
      <c r="E1785" t="s">
        <v>59</v>
      </c>
      <c r="F1785">
        <v>0.73370349704362581</v>
      </c>
      <c r="G1785">
        <v>0.81740699408725148</v>
      </c>
      <c r="H1785">
        <v>0.65</v>
      </c>
      <c r="I1785">
        <v>64550136400</v>
      </c>
      <c r="J1785">
        <v>28.3</v>
      </c>
      <c r="K1785">
        <v>4</v>
      </c>
    </row>
    <row r="1786" spans="1:11" x14ac:dyDescent="0.25">
      <c r="A1786" t="s">
        <v>496</v>
      </c>
      <c r="B1786" t="s">
        <v>377</v>
      </c>
      <c r="C1786" t="s">
        <v>378</v>
      </c>
      <c r="D1786" t="s">
        <v>32</v>
      </c>
      <c r="E1786" t="s">
        <v>33</v>
      </c>
      <c r="F1786">
        <v>0.73119876037228204</v>
      </c>
      <c r="G1786">
        <v>0.66239752074456415</v>
      </c>
      <c r="H1786">
        <v>0.8</v>
      </c>
      <c r="I1786">
        <v>2562558960</v>
      </c>
      <c r="J1786">
        <v>4.4000000000000004</v>
      </c>
      <c r="K1786">
        <v>5</v>
      </c>
    </row>
    <row r="1787" spans="1:11" x14ac:dyDescent="0.25">
      <c r="A1787" t="s">
        <v>496</v>
      </c>
      <c r="B1787" t="s">
        <v>403</v>
      </c>
      <c r="C1787" t="s">
        <v>404</v>
      </c>
      <c r="D1787" t="s">
        <v>32</v>
      </c>
      <c r="E1787" t="s">
        <v>33</v>
      </c>
      <c r="F1787">
        <v>0.71628793403433566</v>
      </c>
      <c r="G1787">
        <v>0.98257586806867137</v>
      </c>
      <c r="H1787">
        <v>0.45</v>
      </c>
      <c r="I1787">
        <v>2794498220</v>
      </c>
      <c r="J1787">
        <v>3.5</v>
      </c>
      <c r="K1787">
        <v>6</v>
      </c>
    </row>
    <row r="1788" spans="1:11" x14ac:dyDescent="0.25">
      <c r="A1788" t="s">
        <v>496</v>
      </c>
      <c r="B1788" t="s">
        <v>430</v>
      </c>
      <c r="C1788" t="s">
        <v>431</v>
      </c>
      <c r="D1788" t="s">
        <v>32</v>
      </c>
      <c r="E1788" t="s">
        <v>317</v>
      </c>
      <c r="F1788">
        <v>0.66649742412805679</v>
      </c>
      <c r="G1788">
        <v>0.68299484825611345</v>
      </c>
      <c r="H1788">
        <v>0.65</v>
      </c>
      <c r="I1788">
        <v>100392558500</v>
      </c>
      <c r="J1788">
        <v>44.7</v>
      </c>
      <c r="K1788">
        <v>7</v>
      </c>
    </row>
    <row r="1789" spans="1:11" x14ac:dyDescent="0.25">
      <c r="A1789" t="s">
        <v>496</v>
      </c>
      <c r="B1789" t="s">
        <v>483</v>
      </c>
      <c r="C1789" t="s">
        <v>484</v>
      </c>
      <c r="D1789" t="s">
        <v>18</v>
      </c>
      <c r="E1789" t="s">
        <v>74</v>
      </c>
      <c r="F1789">
        <v>0.66570885899231924</v>
      </c>
      <c r="G1789">
        <v>0.98141771798463839</v>
      </c>
      <c r="H1789">
        <v>0.35</v>
      </c>
      <c r="I1789">
        <v>8402719000</v>
      </c>
      <c r="J1789">
        <v>15.7</v>
      </c>
      <c r="K1789">
        <v>8</v>
      </c>
    </row>
    <row r="1790" spans="1:11" x14ac:dyDescent="0.25">
      <c r="A1790" t="s">
        <v>496</v>
      </c>
      <c r="B1790" t="s">
        <v>465</v>
      </c>
      <c r="C1790" t="s">
        <v>466</v>
      </c>
      <c r="D1790" t="s">
        <v>32</v>
      </c>
      <c r="E1790" t="s">
        <v>39</v>
      </c>
      <c r="F1790">
        <v>0.65968692618583835</v>
      </c>
      <c r="G1790">
        <v>0.86937385237167664</v>
      </c>
      <c r="H1790">
        <v>0.45</v>
      </c>
      <c r="I1790">
        <v>397678312400</v>
      </c>
      <c r="J1790">
        <v>76.900000000000006</v>
      </c>
      <c r="K1790">
        <v>9</v>
      </c>
    </row>
    <row r="1791" spans="1:11" x14ac:dyDescent="0.25">
      <c r="A1791" t="s">
        <v>496</v>
      </c>
      <c r="B1791" t="s">
        <v>494</v>
      </c>
      <c r="C1791" t="s">
        <v>495</v>
      </c>
      <c r="D1791" t="s">
        <v>32</v>
      </c>
      <c r="E1791" t="s">
        <v>29</v>
      </c>
      <c r="F1791">
        <v>0.6499782860909068</v>
      </c>
      <c r="G1791">
        <v>0.89995657218181357</v>
      </c>
      <c r="H1791">
        <v>0.4</v>
      </c>
      <c r="I1791">
        <v>630597173400</v>
      </c>
      <c r="J1791">
        <v>28.95</v>
      </c>
      <c r="K1791">
        <v>10</v>
      </c>
    </row>
    <row r="1792" spans="1:11" x14ac:dyDescent="0.25">
      <c r="A1792" t="s">
        <v>496</v>
      </c>
      <c r="B1792" t="s">
        <v>237</v>
      </c>
      <c r="C1792" t="s">
        <v>238</v>
      </c>
      <c r="D1792" t="s">
        <v>32</v>
      </c>
      <c r="E1792" t="s">
        <v>33</v>
      </c>
      <c r="F1792">
        <v>0.64917527379390183</v>
      </c>
      <c r="G1792">
        <v>0.94835054758780379</v>
      </c>
      <c r="H1792">
        <v>0.35</v>
      </c>
      <c r="I1792">
        <v>461124815800</v>
      </c>
      <c r="J1792">
        <v>86</v>
      </c>
      <c r="K1792">
        <v>11</v>
      </c>
    </row>
    <row r="1793" spans="1:11" x14ac:dyDescent="0.25">
      <c r="A1793" t="s">
        <v>496</v>
      </c>
      <c r="B1793" t="s">
        <v>481</v>
      </c>
      <c r="C1793" t="s">
        <v>482</v>
      </c>
      <c r="D1793" t="s">
        <v>32</v>
      </c>
      <c r="E1793" t="s">
        <v>236</v>
      </c>
      <c r="F1793">
        <v>0.63244789220128705</v>
      </c>
      <c r="G1793">
        <v>0.81489578440257415</v>
      </c>
      <c r="H1793">
        <v>0.45</v>
      </c>
      <c r="I1793">
        <v>2781291760</v>
      </c>
      <c r="J1793">
        <v>3.02</v>
      </c>
      <c r="K1793">
        <v>12</v>
      </c>
    </row>
    <row r="1794" spans="1:11" x14ac:dyDescent="0.25">
      <c r="A1794" t="s">
        <v>496</v>
      </c>
      <c r="B1794" t="s">
        <v>489</v>
      </c>
      <c r="C1794" t="s">
        <v>490</v>
      </c>
      <c r="D1794" t="s">
        <v>32</v>
      </c>
      <c r="E1794" t="s">
        <v>29</v>
      </c>
      <c r="F1794">
        <v>0.62044676105970187</v>
      </c>
      <c r="G1794">
        <v>0.44089352211940358</v>
      </c>
      <c r="H1794">
        <v>0.8</v>
      </c>
      <c r="I1794">
        <v>154349286500</v>
      </c>
      <c r="J1794">
        <v>40.049999999999997</v>
      </c>
      <c r="K1794">
        <v>13</v>
      </c>
    </row>
    <row r="1795" spans="1:11" x14ac:dyDescent="0.25">
      <c r="A1795" t="s">
        <v>496</v>
      </c>
      <c r="B1795" t="s">
        <v>145</v>
      </c>
      <c r="C1795" t="s">
        <v>146</v>
      </c>
      <c r="D1795" t="s">
        <v>14</v>
      </c>
      <c r="E1795" t="s">
        <v>42</v>
      </c>
      <c r="F1795">
        <v>0.6151210735868814</v>
      </c>
      <c r="G1795">
        <v>0.58024214717376277</v>
      </c>
      <c r="H1795">
        <v>0.65</v>
      </c>
      <c r="I1795">
        <v>4550774000</v>
      </c>
      <c r="J1795">
        <v>27.9</v>
      </c>
      <c r="K1795">
        <v>14</v>
      </c>
    </row>
    <row r="1796" spans="1:11" x14ac:dyDescent="0.25">
      <c r="A1796" t="s">
        <v>496</v>
      </c>
      <c r="B1796" t="s">
        <v>183</v>
      </c>
      <c r="C1796" t="s">
        <v>184</v>
      </c>
      <c r="D1796" t="s">
        <v>32</v>
      </c>
      <c r="E1796" t="s">
        <v>33</v>
      </c>
      <c r="F1796">
        <v>0.6064172780156234</v>
      </c>
      <c r="G1796">
        <v>0.96283455603124668</v>
      </c>
      <c r="H1796">
        <v>0.25</v>
      </c>
      <c r="I1796">
        <v>6346924540</v>
      </c>
      <c r="J1796">
        <v>2.83</v>
      </c>
      <c r="K1796">
        <v>15</v>
      </c>
    </row>
    <row r="1797" spans="1:11" x14ac:dyDescent="0.25">
      <c r="A1797" t="s">
        <v>496</v>
      </c>
      <c r="B1797" t="s">
        <v>179</v>
      </c>
      <c r="C1797" t="s">
        <v>180</v>
      </c>
      <c r="D1797" t="s">
        <v>32</v>
      </c>
      <c r="E1797" t="s">
        <v>124</v>
      </c>
      <c r="F1797">
        <v>0.58648492927424289</v>
      </c>
      <c r="G1797">
        <v>0.87296985854848586</v>
      </c>
      <c r="H1797">
        <v>0.3</v>
      </c>
      <c r="I1797">
        <v>431963049800</v>
      </c>
      <c r="J1797">
        <v>39.799999999999997</v>
      </c>
      <c r="K1797">
        <v>16</v>
      </c>
    </row>
    <row r="1798" spans="1:11" x14ac:dyDescent="0.25">
      <c r="A1798" t="s">
        <v>496</v>
      </c>
      <c r="B1798" t="s">
        <v>88</v>
      </c>
      <c r="C1798" t="s">
        <v>89</v>
      </c>
      <c r="D1798" t="s">
        <v>32</v>
      </c>
      <c r="E1798" t="s">
        <v>33</v>
      </c>
      <c r="F1798">
        <v>0.58030568278592887</v>
      </c>
      <c r="G1798">
        <v>0.81061136557185776</v>
      </c>
      <c r="H1798">
        <v>0.35</v>
      </c>
      <c r="I1798">
        <v>109177053300</v>
      </c>
      <c r="J1798">
        <v>16.350000000000001</v>
      </c>
      <c r="K1798">
        <v>17</v>
      </c>
    </row>
    <row r="1799" spans="1:11" x14ac:dyDescent="0.25">
      <c r="A1799" t="s">
        <v>496</v>
      </c>
      <c r="B1799" t="s">
        <v>135</v>
      </c>
      <c r="C1799" t="s">
        <v>136</v>
      </c>
      <c r="D1799" t="s">
        <v>32</v>
      </c>
      <c r="E1799" t="s">
        <v>29</v>
      </c>
      <c r="F1799">
        <v>0.5789812395966627</v>
      </c>
      <c r="G1799">
        <v>0.6579624791933254</v>
      </c>
      <c r="H1799">
        <v>0.5</v>
      </c>
      <c r="I1799">
        <v>373258476300</v>
      </c>
      <c r="J1799">
        <v>17.8</v>
      </c>
      <c r="K1799">
        <v>18</v>
      </c>
    </row>
    <row r="1800" spans="1:11" x14ac:dyDescent="0.25">
      <c r="A1800" t="s">
        <v>496</v>
      </c>
      <c r="B1800" t="s">
        <v>156</v>
      </c>
      <c r="C1800" t="s">
        <v>157</v>
      </c>
      <c r="D1800" t="s">
        <v>14</v>
      </c>
      <c r="E1800" t="s">
        <v>26</v>
      </c>
      <c r="F1800">
        <v>0.57146043955660153</v>
      </c>
      <c r="G1800">
        <v>0.74292087911320304</v>
      </c>
      <c r="H1800">
        <v>0.4</v>
      </c>
      <c r="I1800">
        <v>11440856800</v>
      </c>
      <c r="J1800">
        <v>7.1</v>
      </c>
      <c r="K1800">
        <v>19</v>
      </c>
    </row>
    <row r="1801" spans="1:11" x14ac:dyDescent="0.25">
      <c r="A1801" t="s">
        <v>496</v>
      </c>
      <c r="B1801" t="s">
        <v>162</v>
      </c>
      <c r="C1801" t="s">
        <v>163</v>
      </c>
      <c r="D1801" t="s">
        <v>32</v>
      </c>
      <c r="E1801" t="s">
        <v>29</v>
      </c>
      <c r="F1801">
        <v>0.56520766116411014</v>
      </c>
      <c r="G1801">
        <v>0.88041532232822028</v>
      </c>
      <c r="H1801">
        <v>0.25</v>
      </c>
      <c r="I1801">
        <v>612485097800</v>
      </c>
      <c r="J1801">
        <v>15.6</v>
      </c>
      <c r="K1801">
        <v>20</v>
      </c>
    </row>
    <row r="1802" spans="1:11" x14ac:dyDescent="0.25">
      <c r="A1802" t="s">
        <v>497</v>
      </c>
      <c r="B1802" t="s">
        <v>164</v>
      </c>
      <c r="C1802" t="s">
        <v>165</v>
      </c>
      <c r="D1802" t="s">
        <v>32</v>
      </c>
      <c r="E1802" t="s">
        <v>33</v>
      </c>
      <c r="F1802">
        <v>0.82663880686826841</v>
      </c>
      <c r="G1802">
        <v>0.95327761373653697</v>
      </c>
      <c r="H1802">
        <v>0.7</v>
      </c>
      <c r="I1802">
        <v>416035875000</v>
      </c>
      <c r="J1802">
        <v>108</v>
      </c>
      <c r="K1802">
        <v>1</v>
      </c>
    </row>
    <row r="1803" spans="1:11" x14ac:dyDescent="0.25">
      <c r="A1803" t="s">
        <v>497</v>
      </c>
      <c r="B1803" t="s">
        <v>237</v>
      </c>
      <c r="C1803" t="s">
        <v>238</v>
      </c>
      <c r="D1803" t="s">
        <v>32</v>
      </c>
      <c r="E1803" t="s">
        <v>33</v>
      </c>
      <c r="F1803">
        <v>0.79993763973169596</v>
      </c>
      <c r="G1803">
        <v>0.94987527946339179</v>
      </c>
      <c r="H1803">
        <v>0.65</v>
      </c>
      <c r="I1803">
        <v>464693110400</v>
      </c>
      <c r="J1803">
        <v>87.9</v>
      </c>
      <c r="K1803">
        <v>2</v>
      </c>
    </row>
    <row r="1804" spans="1:11" x14ac:dyDescent="0.25">
      <c r="A1804" t="s">
        <v>497</v>
      </c>
      <c r="B1804" t="s">
        <v>403</v>
      </c>
      <c r="C1804" t="s">
        <v>404</v>
      </c>
      <c r="D1804" t="s">
        <v>32</v>
      </c>
      <c r="E1804" t="s">
        <v>33</v>
      </c>
      <c r="F1804">
        <v>0.77025207204119539</v>
      </c>
      <c r="G1804">
        <v>0.99050414408239074</v>
      </c>
      <c r="H1804">
        <v>0.55000000000000004</v>
      </c>
      <c r="I1804">
        <v>3404144180</v>
      </c>
      <c r="J1804">
        <v>3.74</v>
      </c>
      <c r="K1804">
        <v>3</v>
      </c>
    </row>
    <row r="1805" spans="1:11" x14ac:dyDescent="0.25">
      <c r="A1805" t="s">
        <v>497</v>
      </c>
      <c r="B1805" t="s">
        <v>494</v>
      </c>
      <c r="C1805" t="s">
        <v>495</v>
      </c>
      <c r="D1805" t="s">
        <v>32</v>
      </c>
      <c r="E1805" t="s">
        <v>29</v>
      </c>
      <c r="F1805">
        <v>0.74963282615435356</v>
      </c>
      <c r="G1805">
        <v>0.94926565230870708</v>
      </c>
      <c r="H1805">
        <v>0.55000000000000004</v>
      </c>
      <c r="I1805">
        <v>663427253900</v>
      </c>
      <c r="J1805">
        <v>29.65</v>
      </c>
      <c r="K1805">
        <v>4</v>
      </c>
    </row>
    <row r="1806" spans="1:11" x14ac:dyDescent="0.25">
      <c r="A1806" t="s">
        <v>497</v>
      </c>
      <c r="B1806" t="s">
        <v>232</v>
      </c>
      <c r="C1806" t="s">
        <v>233</v>
      </c>
      <c r="D1806" t="s">
        <v>32</v>
      </c>
      <c r="E1806" t="s">
        <v>26</v>
      </c>
      <c r="F1806">
        <v>0.74874842470470282</v>
      </c>
      <c r="G1806">
        <v>0.84749684940940562</v>
      </c>
      <c r="H1806">
        <v>0.65</v>
      </c>
      <c r="I1806">
        <v>9158049940</v>
      </c>
      <c r="J1806">
        <v>10.75</v>
      </c>
      <c r="K1806">
        <v>5</v>
      </c>
    </row>
    <row r="1807" spans="1:11" x14ac:dyDescent="0.25">
      <c r="A1807" t="s">
        <v>497</v>
      </c>
      <c r="B1807" t="s">
        <v>108</v>
      </c>
      <c r="C1807" t="s">
        <v>109</v>
      </c>
      <c r="D1807" t="s">
        <v>32</v>
      </c>
      <c r="E1807" t="s">
        <v>33</v>
      </c>
      <c r="F1807">
        <v>0.70364387653438243</v>
      </c>
      <c r="G1807">
        <v>0.9572877530687649</v>
      </c>
      <c r="H1807">
        <v>0.45</v>
      </c>
      <c r="I1807">
        <v>167724304100</v>
      </c>
      <c r="J1807">
        <v>23.85</v>
      </c>
      <c r="K1807">
        <v>6</v>
      </c>
    </row>
    <row r="1808" spans="1:11" x14ac:dyDescent="0.25">
      <c r="A1808" t="s">
        <v>497</v>
      </c>
      <c r="B1808" t="s">
        <v>445</v>
      </c>
      <c r="C1808" t="s">
        <v>446</v>
      </c>
      <c r="D1808" t="s">
        <v>32</v>
      </c>
      <c r="E1808" t="s">
        <v>74</v>
      </c>
      <c r="F1808">
        <v>0.69865452298909858</v>
      </c>
      <c r="G1808">
        <v>0.74730904597819725</v>
      </c>
      <c r="H1808">
        <v>0.65</v>
      </c>
      <c r="I1808">
        <v>598483919600</v>
      </c>
      <c r="J1808">
        <v>34.950000000000003</v>
      </c>
      <c r="K1808">
        <v>7</v>
      </c>
    </row>
    <row r="1809" spans="1:11" x14ac:dyDescent="0.25">
      <c r="A1809" t="s">
        <v>497</v>
      </c>
      <c r="B1809" t="s">
        <v>377</v>
      </c>
      <c r="C1809" t="s">
        <v>378</v>
      </c>
      <c r="D1809" t="s">
        <v>32</v>
      </c>
      <c r="E1809" t="s">
        <v>33</v>
      </c>
      <c r="F1809">
        <v>0.68735353471888549</v>
      </c>
      <c r="G1809">
        <v>0.87470706943777088</v>
      </c>
      <c r="H1809">
        <v>0.5</v>
      </c>
      <c r="I1809">
        <v>2603341720</v>
      </c>
      <c r="J1809">
        <v>4.7</v>
      </c>
      <c r="K1809">
        <v>8</v>
      </c>
    </row>
    <row r="1810" spans="1:11" x14ac:dyDescent="0.25">
      <c r="A1810" t="s">
        <v>497</v>
      </c>
      <c r="B1810" t="s">
        <v>489</v>
      </c>
      <c r="C1810" t="s">
        <v>490</v>
      </c>
      <c r="D1810" t="s">
        <v>32</v>
      </c>
      <c r="E1810" t="s">
        <v>29</v>
      </c>
      <c r="F1810">
        <v>0.65888331058086314</v>
      </c>
      <c r="G1810">
        <v>0.66776662116172625</v>
      </c>
      <c r="H1810">
        <v>0.65</v>
      </c>
      <c r="I1810">
        <v>161646087700</v>
      </c>
      <c r="J1810">
        <v>40.9</v>
      </c>
      <c r="K1810">
        <v>9</v>
      </c>
    </row>
    <row r="1811" spans="1:11" x14ac:dyDescent="0.25">
      <c r="A1811" t="s">
        <v>497</v>
      </c>
      <c r="B1811" t="s">
        <v>498</v>
      </c>
      <c r="C1811" t="s">
        <v>499</v>
      </c>
      <c r="D1811" t="s">
        <v>14</v>
      </c>
      <c r="E1811" t="s">
        <v>33</v>
      </c>
      <c r="F1811">
        <v>0.6446335713130138</v>
      </c>
      <c r="G1811">
        <v>0.7892671426260276</v>
      </c>
      <c r="H1811">
        <v>0.5</v>
      </c>
      <c r="I1811">
        <v>2282216000</v>
      </c>
      <c r="J1811">
        <v>20</v>
      </c>
      <c r="K1811">
        <v>10</v>
      </c>
    </row>
    <row r="1812" spans="1:11" x14ac:dyDescent="0.25">
      <c r="A1812" t="s">
        <v>497</v>
      </c>
      <c r="B1812" t="s">
        <v>491</v>
      </c>
      <c r="C1812" t="s">
        <v>492</v>
      </c>
      <c r="D1812" t="s">
        <v>18</v>
      </c>
      <c r="E1812" t="s">
        <v>29</v>
      </c>
      <c r="F1812">
        <v>0.64161847116413218</v>
      </c>
      <c r="G1812">
        <v>0.73323694232826442</v>
      </c>
      <c r="H1812">
        <v>0.55000000000000004</v>
      </c>
      <c r="I1812">
        <v>232729214400</v>
      </c>
      <c r="J1812">
        <v>14.6</v>
      </c>
      <c r="K1812">
        <v>11</v>
      </c>
    </row>
    <row r="1813" spans="1:11" x14ac:dyDescent="0.25">
      <c r="A1813" t="s">
        <v>497</v>
      </c>
      <c r="B1813" t="s">
        <v>287</v>
      </c>
      <c r="C1813" t="s">
        <v>288</v>
      </c>
      <c r="D1813" t="s">
        <v>14</v>
      </c>
      <c r="E1813" t="s">
        <v>59</v>
      </c>
      <c r="F1813">
        <v>0.64122094310796895</v>
      </c>
      <c r="G1813">
        <v>0.73244188621593775</v>
      </c>
      <c r="H1813">
        <v>0.55000000000000004</v>
      </c>
      <c r="I1813">
        <v>64792996000</v>
      </c>
      <c r="J1813">
        <v>27.9</v>
      </c>
      <c r="K1813">
        <v>12</v>
      </c>
    </row>
    <row r="1814" spans="1:11" x14ac:dyDescent="0.25">
      <c r="A1814" t="s">
        <v>497</v>
      </c>
      <c r="B1814" t="s">
        <v>465</v>
      </c>
      <c r="C1814" t="s">
        <v>466</v>
      </c>
      <c r="D1814" t="s">
        <v>32</v>
      </c>
      <c r="E1814" t="s">
        <v>39</v>
      </c>
      <c r="F1814">
        <v>0.63163258961658653</v>
      </c>
      <c r="G1814">
        <v>0.81326517923317299</v>
      </c>
      <c r="H1814">
        <v>0.45</v>
      </c>
      <c r="I1814">
        <v>405535513400</v>
      </c>
      <c r="J1814">
        <v>76.5</v>
      </c>
      <c r="K1814">
        <v>13</v>
      </c>
    </row>
    <row r="1815" spans="1:11" x14ac:dyDescent="0.25">
      <c r="A1815" t="s">
        <v>497</v>
      </c>
      <c r="B1815" t="s">
        <v>335</v>
      </c>
      <c r="C1815" t="s">
        <v>336</v>
      </c>
      <c r="D1815" t="s">
        <v>18</v>
      </c>
      <c r="E1815" t="s">
        <v>33</v>
      </c>
      <c r="F1815">
        <v>0.62679162637459385</v>
      </c>
      <c r="G1815">
        <v>0.80358325274918774</v>
      </c>
      <c r="H1815">
        <v>0.45</v>
      </c>
      <c r="I1815">
        <v>5794860600</v>
      </c>
      <c r="J1815">
        <v>7.7</v>
      </c>
      <c r="K1815">
        <v>14</v>
      </c>
    </row>
    <row r="1816" spans="1:11" x14ac:dyDescent="0.25">
      <c r="A1816" t="s">
        <v>497</v>
      </c>
      <c r="B1816" t="s">
        <v>193</v>
      </c>
      <c r="C1816" t="s">
        <v>194</v>
      </c>
      <c r="D1816" t="s">
        <v>32</v>
      </c>
      <c r="E1816" t="s">
        <v>33</v>
      </c>
      <c r="F1816">
        <v>0.62571237002330715</v>
      </c>
      <c r="G1816">
        <v>0.90142474004661421</v>
      </c>
      <c r="H1816">
        <v>0.35</v>
      </c>
      <c r="I1816">
        <v>26192669020</v>
      </c>
      <c r="J1816">
        <v>3.74</v>
      </c>
      <c r="K1816">
        <v>15</v>
      </c>
    </row>
    <row r="1817" spans="1:11" x14ac:dyDescent="0.25">
      <c r="A1817" t="s">
        <v>497</v>
      </c>
      <c r="B1817" t="s">
        <v>500</v>
      </c>
      <c r="C1817" t="s">
        <v>501</v>
      </c>
      <c r="D1817" t="s">
        <v>18</v>
      </c>
      <c r="E1817" t="s">
        <v>33</v>
      </c>
      <c r="F1817">
        <v>0.62002588944514636</v>
      </c>
      <c r="G1817">
        <v>0.94005177889029268</v>
      </c>
      <c r="H1817">
        <v>0.3</v>
      </c>
      <c r="I1817">
        <v>2095206400</v>
      </c>
      <c r="J1817">
        <v>11</v>
      </c>
      <c r="K1817">
        <v>16</v>
      </c>
    </row>
    <row r="1818" spans="1:11" x14ac:dyDescent="0.25">
      <c r="A1818" t="s">
        <v>497</v>
      </c>
      <c r="B1818" t="s">
        <v>70</v>
      </c>
      <c r="C1818" t="s">
        <v>71</v>
      </c>
      <c r="D1818" t="s">
        <v>32</v>
      </c>
      <c r="E1818" t="s">
        <v>33</v>
      </c>
      <c r="F1818">
        <v>0.61824529905558079</v>
      </c>
      <c r="G1818">
        <v>0.73649059811116158</v>
      </c>
      <c r="H1818">
        <v>0.5</v>
      </c>
      <c r="I1818">
        <v>33539581280</v>
      </c>
      <c r="J1818">
        <v>7.6</v>
      </c>
      <c r="K1818">
        <v>17</v>
      </c>
    </row>
    <row r="1819" spans="1:11" x14ac:dyDescent="0.25">
      <c r="A1819" t="s">
        <v>497</v>
      </c>
      <c r="B1819" t="s">
        <v>430</v>
      </c>
      <c r="C1819" t="s">
        <v>431</v>
      </c>
      <c r="D1819" t="s">
        <v>32</v>
      </c>
      <c r="E1819" t="s">
        <v>317</v>
      </c>
      <c r="F1819">
        <v>0.60162904965463992</v>
      </c>
      <c r="G1819">
        <v>0.55325809930927994</v>
      </c>
      <c r="H1819">
        <v>0.65</v>
      </c>
      <c r="I1819">
        <v>102410575800</v>
      </c>
      <c r="J1819">
        <v>44</v>
      </c>
      <c r="K1819">
        <v>18</v>
      </c>
    </row>
    <row r="1820" spans="1:11" x14ac:dyDescent="0.25">
      <c r="A1820" t="s">
        <v>497</v>
      </c>
      <c r="B1820" t="s">
        <v>418</v>
      </c>
      <c r="C1820" t="s">
        <v>419</v>
      </c>
      <c r="D1820" t="s">
        <v>32</v>
      </c>
      <c r="E1820" t="s">
        <v>74</v>
      </c>
      <c r="F1820">
        <v>0.60111651753526352</v>
      </c>
      <c r="G1820">
        <v>0.60223303507052717</v>
      </c>
      <c r="H1820">
        <v>0.6</v>
      </c>
      <c r="I1820">
        <v>143811550180</v>
      </c>
      <c r="J1820">
        <v>11.1</v>
      </c>
      <c r="K1820">
        <v>19</v>
      </c>
    </row>
    <row r="1821" spans="1:11" x14ac:dyDescent="0.25">
      <c r="A1821" t="s">
        <v>497</v>
      </c>
      <c r="B1821" t="s">
        <v>179</v>
      </c>
      <c r="C1821" t="s">
        <v>180</v>
      </c>
      <c r="D1821" t="s">
        <v>32</v>
      </c>
      <c r="E1821" t="s">
        <v>124</v>
      </c>
      <c r="F1821">
        <v>0.60069081826937254</v>
      </c>
      <c r="G1821">
        <v>0.90138163653874515</v>
      </c>
      <c r="H1821">
        <v>0.3</v>
      </c>
      <c r="I1821">
        <v>440362734800</v>
      </c>
      <c r="J1821">
        <v>40</v>
      </c>
      <c r="K1821">
        <v>20</v>
      </c>
    </row>
    <row r="1822" spans="1:11" x14ac:dyDescent="0.25">
      <c r="A1822" t="s">
        <v>502</v>
      </c>
      <c r="B1822" t="s">
        <v>237</v>
      </c>
      <c r="C1822" t="s">
        <v>238</v>
      </c>
      <c r="D1822" t="s">
        <v>32</v>
      </c>
      <c r="E1822" t="s">
        <v>33</v>
      </c>
      <c r="F1822">
        <v>0.85404504646096591</v>
      </c>
      <c r="G1822">
        <v>0.95809009292193181</v>
      </c>
      <c r="H1822">
        <v>0.75</v>
      </c>
      <c r="I1822">
        <v>467531954600</v>
      </c>
      <c r="J1822">
        <v>88.8</v>
      </c>
      <c r="K1822">
        <v>1</v>
      </c>
    </row>
    <row r="1823" spans="1:11" x14ac:dyDescent="0.25">
      <c r="A1823" t="s">
        <v>502</v>
      </c>
      <c r="B1823" t="s">
        <v>494</v>
      </c>
      <c r="C1823" t="s">
        <v>495</v>
      </c>
      <c r="D1823" t="s">
        <v>32</v>
      </c>
      <c r="E1823" t="s">
        <v>29</v>
      </c>
      <c r="F1823">
        <v>0.81510541898389199</v>
      </c>
      <c r="G1823">
        <v>0.93021083796778392</v>
      </c>
      <c r="H1823">
        <v>0.7</v>
      </c>
      <c r="I1823">
        <v>689741881400</v>
      </c>
      <c r="J1823">
        <v>29.75</v>
      </c>
      <c r="K1823">
        <v>2</v>
      </c>
    </row>
    <row r="1824" spans="1:11" x14ac:dyDescent="0.25">
      <c r="A1824" t="s">
        <v>502</v>
      </c>
      <c r="B1824" t="s">
        <v>469</v>
      </c>
      <c r="C1824" t="s">
        <v>470</v>
      </c>
      <c r="D1824" t="s">
        <v>18</v>
      </c>
      <c r="E1824" t="s">
        <v>29</v>
      </c>
      <c r="F1824">
        <v>0.76708173909613286</v>
      </c>
      <c r="G1824">
        <v>0.98416347819226579</v>
      </c>
      <c r="H1824">
        <v>0.55000000000000004</v>
      </c>
      <c r="I1824">
        <v>5087578800</v>
      </c>
      <c r="J1824">
        <v>7.8</v>
      </c>
      <c r="K1824">
        <v>3</v>
      </c>
    </row>
    <row r="1825" spans="1:11" x14ac:dyDescent="0.25">
      <c r="A1825" t="s">
        <v>502</v>
      </c>
      <c r="B1825" t="s">
        <v>418</v>
      </c>
      <c r="C1825" t="s">
        <v>419</v>
      </c>
      <c r="D1825" t="s">
        <v>32</v>
      </c>
      <c r="E1825" t="s">
        <v>74</v>
      </c>
      <c r="F1825">
        <v>0.72680206908667411</v>
      </c>
      <c r="G1825">
        <v>0.80360413817334808</v>
      </c>
      <c r="H1825">
        <v>0.65</v>
      </c>
      <c r="I1825">
        <v>147752711980</v>
      </c>
      <c r="J1825">
        <v>11.6</v>
      </c>
      <c r="K1825">
        <v>4</v>
      </c>
    </row>
    <row r="1826" spans="1:11" x14ac:dyDescent="0.25">
      <c r="A1826" t="s">
        <v>502</v>
      </c>
      <c r="B1826" t="s">
        <v>445</v>
      </c>
      <c r="C1826" t="s">
        <v>446</v>
      </c>
      <c r="D1826" t="s">
        <v>32</v>
      </c>
      <c r="E1826" t="s">
        <v>74</v>
      </c>
      <c r="F1826">
        <v>0.71175049110744637</v>
      </c>
      <c r="G1826">
        <v>0.72350098221489267</v>
      </c>
      <c r="H1826">
        <v>0.7</v>
      </c>
      <c r="I1826">
        <v>606417054800</v>
      </c>
      <c r="J1826">
        <v>35.1</v>
      </c>
      <c r="K1826">
        <v>5</v>
      </c>
    </row>
    <row r="1827" spans="1:11" x14ac:dyDescent="0.25">
      <c r="A1827" t="s">
        <v>502</v>
      </c>
      <c r="B1827" t="s">
        <v>354</v>
      </c>
      <c r="C1827" t="s">
        <v>355</v>
      </c>
      <c r="D1827" t="s">
        <v>32</v>
      </c>
      <c r="E1827" t="s">
        <v>42</v>
      </c>
      <c r="F1827">
        <v>0.71157903532528488</v>
      </c>
      <c r="G1827">
        <v>0.92315807065056987</v>
      </c>
      <c r="H1827">
        <v>0.5</v>
      </c>
      <c r="I1827">
        <v>3287359780</v>
      </c>
      <c r="J1827">
        <v>2.63</v>
      </c>
      <c r="K1827">
        <v>6</v>
      </c>
    </row>
    <row r="1828" spans="1:11" x14ac:dyDescent="0.25">
      <c r="A1828" t="s">
        <v>502</v>
      </c>
      <c r="B1828" t="s">
        <v>410</v>
      </c>
      <c r="C1828" t="s">
        <v>411</v>
      </c>
      <c r="D1828" t="s">
        <v>32</v>
      </c>
      <c r="E1828" t="s">
        <v>26</v>
      </c>
      <c r="F1828">
        <v>0.70336498441638307</v>
      </c>
      <c r="G1828">
        <v>0.90672996883276613</v>
      </c>
      <c r="H1828">
        <v>0.5</v>
      </c>
      <c r="I1828">
        <v>3640597120</v>
      </c>
      <c r="J1828">
        <v>5.73</v>
      </c>
      <c r="K1828">
        <v>7</v>
      </c>
    </row>
    <row r="1829" spans="1:11" x14ac:dyDescent="0.25">
      <c r="A1829" t="s">
        <v>502</v>
      </c>
      <c r="B1829" t="s">
        <v>232</v>
      </c>
      <c r="C1829" t="s">
        <v>233</v>
      </c>
      <c r="D1829" t="s">
        <v>32</v>
      </c>
      <c r="E1829" t="s">
        <v>26</v>
      </c>
      <c r="F1829">
        <v>0.70157290613487522</v>
      </c>
      <c r="G1829">
        <v>0.90314581226975033</v>
      </c>
      <c r="H1829">
        <v>0.5</v>
      </c>
      <c r="I1829">
        <v>9558056140</v>
      </c>
      <c r="J1829">
        <v>10.95</v>
      </c>
      <c r="K1829">
        <v>8</v>
      </c>
    </row>
    <row r="1830" spans="1:11" x14ac:dyDescent="0.25">
      <c r="A1830" t="s">
        <v>502</v>
      </c>
      <c r="B1830" t="s">
        <v>335</v>
      </c>
      <c r="C1830" t="s">
        <v>336</v>
      </c>
      <c r="D1830" t="s">
        <v>18</v>
      </c>
      <c r="E1830" t="s">
        <v>33</v>
      </c>
      <c r="F1830">
        <v>0.69437919890389233</v>
      </c>
      <c r="G1830">
        <v>0.93875839780778469</v>
      </c>
      <c r="H1830">
        <v>0.45</v>
      </c>
      <c r="I1830">
        <v>6149711000</v>
      </c>
      <c r="J1830">
        <v>8.4</v>
      </c>
      <c r="K1830">
        <v>9</v>
      </c>
    </row>
    <row r="1831" spans="1:11" x14ac:dyDescent="0.25">
      <c r="A1831" t="s">
        <v>502</v>
      </c>
      <c r="B1831" t="s">
        <v>403</v>
      </c>
      <c r="C1831" t="s">
        <v>404</v>
      </c>
      <c r="D1831" t="s">
        <v>32</v>
      </c>
      <c r="E1831" t="s">
        <v>33</v>
      </c>
      <c r="F1831">
        <v>0.69077148027254398</v>
      </c>
      <c r="G1831">
        <v>0.98154296054508783</v>
      </c>
      <c r="H1831">
        <v>0.4</v>
      </c>
      <c r="I1831">
        <v>3752966920</v>
      </c>
      <c r="J1831">
        <v>3.53</v>
      </c>
      <c r="K1831">
        <v>10</v>
      </c>
    </row>
    <row r="1832" spans="1:11" x14ac:dyDescent="0.25">
      <c r="A1832" t="s">
        <v>502</v>
      </c>
      <c r="B1832" t="s">
        <v>108</v>
      </c>
      <c r="C1832" t="s">
        <v>109</v>
      </c>
      <c r="D1832" t="s">
        <v>32</v>
      </c>
      <c r="E1832" t="s">
        <v>33</v>
      </c>
      <c r="F1832">
        <v>0.68568132517153424</v>
      </c>
      <c r="G1832">
        <v>0.97136265034306846</v>
      </c>
      <c r="H1832">
        <v>0.4</v>
      </c>
      <c r="I1832">
        <v>170146816400</v>
      </c>
      <c r="J1832">
        <v>24.85</v>
      </c>
      <c r="K1832">
        <v>11</v>
      </c>
    </row>
    <row r="1833" spans="1:11" x14ac:dyDescent="0.25">
      <c r="A1833" t="s">
        <v>502</v>
      </c>
      <c r="B1833" t="s">
        <v>287</v>
      </c>
      <c r="C1833" t="s">
        <v>288</v>
      </c>
      <c r="D1833" t="s">
        <v>14</v>
      </c>
      <c r="E1833" t="s">
        <v>59</v>
      </c>
      <c r="F1833">
        <v>0.68218406253883634</v>
      </c>
      <c r="G1833">
        <v>0.61436812507767269</v>
      </c>
      <c r="H1833">
        <v>0.75</v>
      </c>
      <c r="I1833">
        <v>63918387600</v>
      </c>
      <c r="J1833">
        <v>27.8</v>
      </c>
      <c r="K1833">
        <v>12</v>
      </c>
    </row>
    <row r="1834" spans="1:11" x14ac:dyDescent="0.25">
      <c r="A1834" t="s">
        <v>502</v>
      </c>
      <c r="B1834" t="s">
        <v>179</v>
      </c>
      <c r="C1834" t="s">
        <v>180</v>
      </c>
      <c r="D1834" t="s">
        <v>32</v>
      </c>
      <c r="E1834" t="s">
        <v>124</v>
      </c>
      <c r="F1834">
        <v>0.68034856495927076</v>
      </c>
      <c r="G1834">
        <v>0.86069712991854153</v>
      </c>
      <c r="H1834">
        <v>0.5</v>
      </c>
      <c r="I1834">
        <v>437890427900</v>
      </c>
      <c r="J1834">
        <v>39.700000000000003</v>
      </c>
      <c r="K1834">
        <v>13</v>
      </c>
    </row>
    <row r="1835" spans="1:11" x14ac:dyDescent="0.25">
      <c r="A1835" t="s">
        <v>502</v>
      </c>
      <c r="B1835" t="s">
        <v>84</v>
      </c>
      <c r="C1835" t="s">
        <v>85</v>
      </c>
      <c r="D1835" t="s">
        <v>14</v>
      </c>
      <c r="E1835" t="s">
        <v>42</v>
      </c>
      <c r="F1835">
        <v>0.65366160870470158</v>
      </c>
      <c r="G1835">
        <v>0.70732321740940307</v>
      </c>
      <c r="H1835">
        <v>0.6</v>
      </c>
      <c r="I1835">
        <v>7475103400</v>
      </c>
      <c r="J1835">
        <v>165</v>
      </c>
      <c r="K1835">
        <v>14</v>
      </c>
    </row>
    <row r="1836" spans="1:11" x14ac:dyDescent="0.25">
      <c r="A1836" t="s">
        <v>502</v>
      </c>
      <c r="B1836" t="s">
        <v>500</v>
      </c>
      <c r="C1836" t="s">
        <v>501</v>
      </c>
      <c r="D1836" t="s">
        <v>18</v>
      </c>
      <c r="E1836" t="s">
        <v>33</v>
      </c>
      <c r="F1836">
        <v>0.64667534701768958</v>
      </c>
      <c r="G1836">
        <v>0.94335069403537919</v>
      </c>
      <c r="H1836">
        <v>0.35</v>
      </c>
      <c r="I1836">
        <v>2259235800</v>
      </c>
      <c r="J1836">
        <v>11.1</v>
      </c>
      <c r="K1836">
        <v>15</v>
      </c>
    </row>
    <row r="1837" spans="1:11" x14ac:dyDescent="0.25">
      <c r="A1837" t="s">
        <v>502</v>
      </c>
      <c r="B1837" t="s">
        <v>503</v>
      </c>
      <c r="C1837" t="s">
        <v>504</v>
      </c>
      <c r="D1837" t="s">
        <v>18</v>
      </c>
      <c r="E1837" t="s">
        <v>59</v>
      </c>
      <c r="F1837">
        <v>0.627384242638519</v>
      </c>
      <c r="G1837">
        <v>0.90476848527703813</v>
      </c>
      <c r="H1837">
        <v>0.35</v>
      </c>
      <c r="I1837">
        <v>2042652600</v>
      </c>
      <c r="J1837">
        <v>19.899999999999999</v>
      </c>
      <c r="K1837">
        <v>16</v>
      </c>
    </row>
    <row r="1838" spans="1:11" x14ac:dyDescent="0.25">
      <c r="A1838" t="s">
        <v>502</v>
      </c>
      <c r="B1838" t="s">
        <v>140</v>
      </c>
      <c r="C1838" t="s">
        <v>141</v>
      </c>
      <c r="D1838" t="s">
        <v>32</v>
      </c>
      <c r="E1838" t="s">
        <v>26</v>
      </c>
      <c r="F1838">
        <v>0.62713436334466444</v>
      </c>
      <c r="G1838">
        <v>0.70426872668932894</v>
      </c>
      <c r="H1838">
        <v>0.55000000000000004</v>
      </c>
      <c r="I1838">
        <v>5230552340</v>
      </c>
      <c r="J1838">
        <v>10.5</v>
      </c>
      <c r="K1838">
        <v>17</v>
      </c>
    </row>
    <row r="1839" spans="1:11" x14ac:dyDescent="0.25">
      <c r="A1839" t="s">
        <v>502</v>
      </c>
      <c r="B1839" t="s">
        <v>166</v>
      </c>
      <c r="C1839" t="s">
        <v>167</v>
      </c>
      <c r="D1839" t="s">
        <v>32</v>
      </c>
      <c r="E1839" t="s">
        <v>59</v>
      </c>
      <c r="F1839">
        <v>0.62583268705335671</v>
      </c>
      <c r="G1839">
        <v>0.60166537410671339</v>
      </c>
      <c r="H1839">
        <v>0.65</v>
      </c>
      <c r="I1839">
        <v>124832172300</v>
      </c>
      <c r="J1839">
        <v>30.65</v>
      </c>
      <c r="K1839">
        <v>18</v>
      </c>
    </row>
    <row r="1840" spans="1:11" x14ac:dyDescent="0.25">
      <c r="A1840" t="s">
        <v>502</v>
      </c>
      <c r="B1840" t="s">
        <v>183</v>
      </c>
      <c r="C1840" t="s">
        <v>184</v>
      </c>
      <c r="D1840" t="s">
        <v>32</v>
      </c>
      <c r="E1840" t="s">
        <v>33</v>
      </c>
      <c r="F1840">
        <v>0.62552124624943084</v>
      </c>
      <c r="G1840">
        <v>0.90104249249886181</v>
      </c>
      <c r="H1840">
        <v>0.35</v>
      </c>
      <c r="I1840">
        <v>7044559060</v>
      </c>
      <c r="J1840">
        <v>2.71</v>
      </c>
      <c r="K1840">
        <v>19</v>
      </c>
    </row>
    <row r="1841" spans="1:11" x14ac:dyDescent="0.25">
      <c r="A1841" t="s">
        <v>502</v>
      </c>
      <c r="B1841" t="s">
        <v>88</v>
      </c>
      <c r="C1841" t="s">
        <v>89</v>
      </c>
      <c r="D1841" t="s">
        <v>32</v>
      </c>
      <c r="E1841" t="s">
        <v>33</v>
      </c>
      <c r="F1841">
        <v>0.62160935492527258</v>
      </c>
      <c r="G1841">
        <v>0.84321870985054526</v>
      </c>
      <c r="H1841">
        <v>0.4</v>
      </c>
      <c r="I1841">
        <v>112622423500</v>
      </c>
      <c r="J1841">
        <v>16.5</v>
      </c>
      <c r="K1841">
        <v>20</v>
      </c>
    </row>
    <row r="1842" spans="1:11" x14ac:dyDescent="0.25">
      <c r="A1842" t="s">
        <v>505</v>
      </c>
      <c r="B1842" t="s">
        <v>403</v>
      </c>
      <c r="C1842" t="s">
        <v>404</v>
      </c>
      <c r="D1842" t="s">
        <v>32</v>
      </c>
      <c r="E1842" t="s">
        <v>33</v>
      </c>
      <c r="F1842">
        <v>0.91034192089026345</v>
      </c>
      <c r="G1842">
        <v>0.97068384178052691</v>
      </c>
      <c r="H1842">
        <v>0.85</v>
      </c>
      <c r="I1842">
        <v>3973924460</v>
      </c>
      <c r="J1842">
        <v>3.41</v>
      </c>
      <c r="K1842">
        <v>1</v>
      </c>
    </row>
    <row r="1843" spans="1:11" x14ac:dyDescent="0.25">
      <c r="A1843" t="s">
        <v>505</v>
      </c>
      <c r="B1843" t="s">
        <v>494</v>
      </c>
      <c r="C1843" t="s">
        <v>495</v>
      </c>
      <c r="D1843" t="s">
        <v>32</v>
      </c>
      <c r="E1843" t="s">
        <v>29</v>
      </c>
      <c r="F1843">
        <v>0.85462021431436086</v>
      </c>
      <c r="G1843">
        <v>0.95924042862872161</v>
      </c>
      <c r="H1843">
        <v>0.75</v>
      </c>
      <c r="I1843">
        <v>720451907400</v>
      </c>
      <c r="J1843">
        <v>30.5</v>
      </c>
      <c r="K1843">
        <v>2</v>
      </c>
    </row>
    <row r="1844" spans="1:11" x14ac:dyDescent="0.25">
      <c r="A1844" t="s">
        <v>505</v>
      </c>
      <c r="B1844" t="s">
        <v>237</v>
      </c>
      <c r="C1844" t="s">
        <v>238</v>
      </c>
      <c r="D1844" t="s">
        <v>32</v>
      </c>
      <c r="E1844" t="s">
        <v>33</v>
      </c>
      <c r="F1844">
        <v>0.81505363200925063</v>
      </c>
      <c r="G1844">
        <v>0.9301072640185013</v>
      </c>
      <c r="H1844">
        <v>0.7</v>
      </c>
      <c r="I1844">
        <v>468762454000</v>
      </c>
      <c r="J1844">
        <v>87.4</v>
      </c>
      <c r="K1844">
        <v>3</v>
      </c>
    </row>
    <row r="1845" spans="1:11" x14ac:dyDescent="0.25">
      <c r="A1845" t="s">
        <v>505</v>
      </c>
      <c r="B1845" t="s">
        <v>354</v>
      </c>
      <c r="C1845" t="s">
        <v>355</v>
      </c>
      <c r="D1845" t="s">
        <v>32</v>
      </c>
      <c r="E1845" t="s">
        <v>42</v>
      </c>
      <c r="F1845">
        <v>0.81000361482289585</v>
      </c>
      <c r="G1845">
        <v>0.97000722964579167</v>
      </c>
      <c r="H1845">
        <v>0.65</v>
      </c>
      <c r="I1845">
        <v>3824505200</v>
      </c>
      <c r="J1845">
        <v>2.81</v>
      </c>
      <c r="K1845">
        <v>4</v>
      </c>
    </row>
    <row r="1846" spans="1:11" x14ac:dyDescent="0.25">
      <c r="A1846" t="s">
        <v>505</v>
      </c>
      <c r="B1846" t="s">
        <v>335</v>
      </c>
      <c r="C1846" t="s">
        <v>336</v>
      </c>
      <c r="D1846" t="s">
        <v>18</v>
      </c>
      <c r="E1846" t="s">
        <v>33</v>
      </c>
      <c r="F1846">
        <v>0.78562698225201077</v>
      </c>
      <c r="G1846">
        <v>0.92125396450402153</v>
      </c>
      <c r="H1846">
        <v>0.65</v>
      </c>
      <c r="I1846">
        <v>6389746400</v>
      </c>
      <c r="J1846">
        <v>8.3000000000000007</v>
      </c>
      <c r="K1846">
        <v>5</v>
      </c>
    </row>
    <row r="1847" spans="1:11" x14ac:dyDescent="0.25">
      <c r="A1847" t="s">
        <v>505</v>
      </c>
      <c r="B1847" t="s">
        <v>84</v>
      </c>
      <c r="C1847" t="s">
        <v>85</v>
      </c>
      <c r="D1847" t="s">
        <v>14</v>
      </c>
      <c r="E1847" t="s">
        <v>42</v>
      </c>
      <c r="F1847">
        <v>0.75959974494505156</v>
      </c>
      <c r="G1847">
        <v>0.71919948989010296</v>
      </c>
      <c r="H1847">
        <v>0.8</v>
      </c>
      <c r="I1847">
        <v>7513849000</v>
      </c>
      <c r="J1847">
        <v>161.9</v>
      </c>
      <c r="K1847">
        <v>6</v>
      </c>
    </row>
    <row r="1848" spans="1:11" x14ac:dyDescent="0.25">
      <c r="A1848" t="s">
        <v>505</v>
      </c>
      <c r="B1848" t="s">
        <v>108</v>
      </c>
      <c r="C1848" t="s">
        <v>109</v>
      </c>
      <c r="D1848" t="s">
        <v>32</v>
      </c>
      <c r="E1848" t="s">
        <v>33</v>
      </c>
      <c r="F1848">
        <v>0.74482991787196851</v>
      </c>
      <c r="G1848">
        <v>0.93965983574393697</v>
      </c>
      <c r="H1848">
        <v>0.55000000000000004</v>
      </c>
      <c r="I1848">
        <v>172136437500</v>
      </c>
      <c r="J1848">
        <v>23.95</v>
      </c>
      <c r="K1848">
        <v>7</v>
      </c>
    </row>
    <row r="1849" spans="1:11" x14ac:dyDescent="0.25">
      <c r="A1849" t="s">
        <v>505</v>
      </c>
      <c r="B1849" t="s">
        <v>164</v>
      </c>
      <c r="C1849" t="s">
        <v>165</v>
      </c>
      <c r="D1849" t="s">
        <v>32</v>
      </c>
      <c r="E1849" t="s">
        <v>33</v>
      </c>
      <c r="F1849">
        <v>0.72450964133764073</v>
      </c>
      <c r="G1849">
        <v>0.94901928267528146</v>
      </c>
      <c r="H1849">
        <v>0.5</v>
      </c>
      <c r="I1849">
        <v>421572479600</v>
      </c>
      <c r="J1849">
        <v>111.6</v>
      </c>
      <c r="K1849">
        <v>8</v>
      </c>
    </row>
    <row r="1850" spans="1:11" x14ac:dyDescent="0.25">
      <c r="A1850" t="s">
        <v>505</v>
      </c>
      <c r="B1850" t="s">
        <v>287</v>
      </c>
      <c r="C1850" t="s">
        <v>288</v>
      </c>
      <c r="D1850" t="s">
        <v>14</v>
      </c>
      <c r="E1850" t="s">
        <v>59</v>
      </c>
      <c r="F1850">
        <v>0.7161757631215262</v>
      </c>
      <c r="G1850">
        <v>0.68235152624305229</v>
      </c>
      <c r="H1850">
        <v>0.75</v>
      </c>
      <c r="I1850">
        <v>63483798000</v>
      </c>
      <c r="J1850">
        <v>28.2</v>
      </c>
      <c r="K1850">
        <v>9</v>
      </c>
    </row>
    <row r="1851" spans="1:11" x14ac:dyDescent="0.25">
      <c r="A1851" t="s">
        <v>505</v>
      </c>
      <c r="B1851" t="s">
        <v>445</v>
      </c>
      <c r="C1851" t="s">
        <v>446</v>
      </c>
      <c r="D1851" t="s">
        <v>32</v>
      </c>
      <c r="E1851" t="s">
        <v>74</v>
      </c>
      <c r="F1851">
        <v>0.69809345961483693</v>
      </c>
      <c r="G1851">
        <v>0.69618691922967391</v>
      </c>
      <c r="H1851">
        <v>0.7</v>
      </c>
      <c r="I1851">
        <v>605842339700</v>
      </c>
      <c r="J1851">
        <v>34.799999999999997</v>
      </c>
      <c r="K1851">
        <v>10</v>
      </c>
    </row>
    <row r="1852" spans="1:11" x14ac:dyDescent="0.25">
      <c r="A1852" t="s">
        <v>505</v>
      </c>
      <c r="B1852" t="s">
        <v>278</v>
      </c>
      <c r="C1852" t="s">
        <v>279</v>
      </c>
      <c r="D1852" t="s">
        <v>32</v>
      </c>
      <c r="E1852" t="s">
        <v>23</v>
      </c>
      <c r="F1852">
        <v>0.6854474198754712</v>
      </c>
      <c r="G1852">
        <v>0.92089483975094244</v>
      </c>
      <c r="H1852">
        <v>0.45</v>
      </c>
      <c r="I1852">
        <v>6183981160</v>
      </c>
      <c r="J1852">
        <v>13.25</v>
      </c>
      <c r="K1852">
        <v>11</v>
      </c>
    </row>
    <row r="1853" spans="1:11" x14ac:dyDescent="0.25">
      <c r="A1853" t="s">
        <v>505</v>
      </c>
      <c r="B1853" t="s">
        <v>368</v>
      </c>
      <c r="C1853" t="s">
        <v>369</v>
      </c>
      <c r="D1853" t="s">
        <v>32</v>
      </c>
      <c r="E1853" t="s">
        <v>33</v>
      </c>
      <c r="F1853">
        <v>0.68068189197756657</v>
      </c>
      <c r="G1853">
        <v>0.81136378395513298</v>
      </c>
      <c r="H1853">
        <v>0.55000000000000004</v>
      </c>
      <c r="I1853">
        <v>3990071200</v>
      </c>
      <c r="J1853">
        <v>27.3</v>
      </c>
      <c r="K1853">
        <v>12</v>
      </c>
    </row>
    <row r="1854" spans="1:11" x14ac:dyDescent="0.25">
      <c r="A1854" t="s">
        <v>505</v>
      </c>
      <c r="B1854" t="s">
        <v>491</v>
      </c>
      <c r="C1854" t="s">
        <v>492</v>
      </c>
      <c r="D1854" t="s">
        <v>18</v>
      </c>
      <c r="E1854" t="s">
        <v>29</v>
      </c>
      <c r="F1854">
        <v>0.67908363034549835</v>
      </c>
      <c r="G1854">
        <v>0.80816726069099654</v>
      </c>
      <c r="H1854">
        <v>0.55000000000000004</v>
      </c>
      <c r="I1854">
        <v>250845277200</v>
      </c>
      <c r="J1854">
        <v>15</v>
      </c>
      <c r="K1854">
        <v>13</v>
      </c>
    </row>
    <row r="1855" spans="1:11" x14ac:dyDescent="0.25">
      <c r="A1855" t="s">
        <v>505</v>
      </c>
      <c r="B1855" t="s">
        <v>410</v>
      </c>
      <c r="C1855" t="s">
        <v>411</v>
      </c>
      <c r="D1855" t="s">
        <v>32</v>
      </c>
      <c r="E1855" t="s">
        <v>26</v>
      </c>
      <c r="F1855">
        <v>0.67540566180578765</v>
      </c>
      <c r="G1855">
        <v>0.8508113236115753</v>
      </c>
      <c r="H1855">
        <v>0.5</v>
      </c>
      <c r="I1855">
        <v>3712521440</v>
      </c>
      <c r="J1855">
        <v>5.52</v>
      </c>
      <c r="K1855">
        <v>14</v>
      </c>
    </row>
    <row r="1856" spans="1:11" x14ac:dyDescent="0.25">
      <c r="A1856" t="s">
        <v>505</v>
      </c>
      <c r="B1856" t="s">
        <v>232</v>
      </c>
      <c r="C1856" t="s">
        <v>233</v>
      </c>
      <c r="D1856" t="s">
        <v>32</v>
      </c>
      <c r="E1856" t="s">
        <v>26</v>
      </c>
      <c r="F1856">
        <v>0.66535571449089037</v>
      </c>
      <c r="G1856">
        <v>0.78071142898178059</v>
      </c>
      <c r="H1856">
        <v>0.55000000000000004</v>
      </c>
      <c r="I1856">
        <v>9805635020</v>
      </c>
      <c r="J1856">
        <v>10.6</v>
      </c>
      <c r="K1856">
        <v>15</v>
      </c>
    </row>
    <row r="1857" spans="1:11" x14ac:dyDescent="0.25">
      <c r="A1857" t="s">
        <v>505</v>
      </c>
      <c r="B1857" t="s">
        <v>506</v>
      </c>
      <c r="C1857" t="s">
        <v>507</v>
      </c>
      <c r="D1857" t="s">
        <v>32</v>
      </c>
      <c r="E1857" t="s">
        <v>33</v>
      </c>
      <c r="F1857">
        <v>0.66516569769034284</v>
      </c>
      <c r="G1857">
        <v>0.93033139538068566</v>
      </c>
      <c r="H1857">
        <v>0.4</v>
      </c>
      <c r="I1857">
        <v>124988119500</v>
      </c>
      <c r="J1857">
        <v>29.65</v>
      </c>
      <c r="K1857">
        <v>16</v>
      </c>
    </row>
    <row r="1858" spans="1:11" x14ac:dyDescent="0.25">
      <c r="A1858" t="s">
        <v>505</v>
      </c>
      <c r="B1858" t="s">
        <v>481</v>
      </c>
      <c r="C1858" t="s">
        <v>482</v>
      </c>
      <c r="D1858" t="s">
        <v>32</v>
      </c>
      <c r="E1858" t="s">
        <v>236</v>
      </c>
      <c r="F1858">
        <v>0.65566216514467812</v>
      </c>
      <c r="G1858">
        <v>0.81132433028935635</v>
      </c>
      <c r="H1858">
        <v>0.5</v>
      </c>
      <c r="I1858">
        <v>3081469080</v>
      </c>
      <c r="J1858">
        <v>3.03</v>
      </c>
      <c r="K1858">
        <v>17</v>
      </c>
    </row>
    <row r="1859" spans="1:11" x14ac:dyDescent="0.25">
      <c r="A1859" t="s">
        <v>505</v>
      </c>
      <c r="B1859" t="s">
        <v>176</v>
      </c>
      <c r="C1859" t="s">
        <v>177</v>
      </c>
      <c r="D1859" t="s">
        <v>32</v>
      </c>
      <c r="E1859" t="s">
        <v>33</v>
      </c>
      <c r="F1859">
        <v>0.649397107495153</v>
      </c>
      <c r="G1859">
        <v>0.74879421499030585</v>
      </c>
      <c r="H1859">
        <v>0.55000000000000004</v>
      </c>
      <c r="I1859">
        <v>4156964300</v>
      </c>
      <c r="J1859">
        <v>9.7799999999999994</v>
      </c>
      <c r="K1859">
        <v>18</v>
      </c>
    </row>
    <row r="1860" spans="1:11" x14ac:dyDescent="0.25">
      <c r="A1860" t="s">
        <v>505</v>
      </c>
      <c r="B1860" t="s">
        <v>418</v>
      </c>
      <c r="C1860" t="s">
        <v>419</v>
      </c>
      <c r="D1860" t="s">
        <v>32</v>
      </c>
      <c r="E1860" t="s">
        <v>74</v>
      </c>
      <c r="F1860">
        <v>0.64870212253202075</v>
      </c>
      <c r="G1860">
        <v>0.84740424506404144</v>
      </c>
      <c r="H1860">
        <v>0.45</v>
      </c>
      <c r="I1860">
        <v>151881466780</v>
      </c>
      <c r="J1860">
        <v>11.8</v>
      </c>
      <c r="K1860">
        <v>19</v>
      </c>
    </row>
    <row r="1861" spans="1:11" x14ac:dyDescent="0.25">
      <c r="A1861" t="s">
        <v>505</v>
      </c>
      <c r="B1861" t="s">
        <v>469</v>
      </c>
      <c r="C1861" t="s">
        <v>470</v>
      </c>
      <c r="D1861" t="s">
        <v>18</v>
      </c>
      <c r="E1861" t="s">
        <v>29</v>
      </c>
      <c r="F1861">
        <v>0.64637290289073135</v>
      </c>
      <c r="G1861">
        <v>0.99274580578146265</v>
      </c>
      <c r="H1861">
        <v>0.3</v>
      </c>
      <c r="I1861">
        <v>5835930200</v>
      </c>
      <c r="J1861">
        <v>8.4</v>
      </c>
      <c r="K1861">
        <v>20</v>
      </c>
    </row>
    <row r="1862" spans="1:11" x14ac:dyDescent="0.25">
      <c r="A1862" t="s">
        <v>508</v>
      </c>
      <c r="B1862" t="s">
        <v>403</v>
      </c>
      <c r="C1862" t="s">
        <v>404</v>
      </c>
      <c r="D1862" t="s">
        <v>32</v>
      </c>
      <c r="E1862" t="s">
        <v>33</v>
      </c>
      <c r="F1862">
        <v>0.885339627608414</v>
      </c>
      <c r="G1862">
        <v>0.97067925521682807</v>
      </c>
      <c r="H1862">
        <v>0.8</v>
      </c>
      <c r="I1862">
        <v>4108884660</v>
      </c>
      <c r="J1862">
        <v>3.49</v>
      </c>
      <c r="K1862">
        <v>1</v>
      </c>
    </row>
    <row r="1863" spans="1:11" x14ac:dyDescent="0.25">
      <c r="A1863" t="s">
        <v>508</v>
      </c>
      <c r="B1863" t="s">
        <v>237</v>
      </c>
      <c r="C1863" t="s">
        <v>238</v>
      </c>
      <c r="D1863" t="s">
        <v>32</v>
      </c>
      <c r="E1863" t="s">
        <v>33</v>
      </c>
      <c r="F1863">
        <v>0.81089595464056341</v>
      </c>
      <c r="G1863">
        <v>0.92179190928112675</v>
      </c>
      <c r="H1863">
        <v>0.7</v>
      </c>
      <c r="I1863">
        <v>469842950000</v>
      </c>
      <c r="J1863">
        <v>88</v>
      </c>
      <c r="K1863">
        <v>2</v>
      </c>
    </row>
    <row r="1864" spans="1:11" x14ac:dyDescent="0.25">
      <c r="A1864" t="s">
        <v>508</v>
      </c>
      <c r="B1864" t="s">
        <v>494</v>
      </c>
      <c r="C1864" t="s">
        <v>495</v>
      </c>
      <c r="D1864" t="s">
        <v>32</v>
      </c>
      <c r="E1864" t="s">
        <v>29</v>
      </c>
      <c r="F1864">
        <v>0.80783163316265583</v>
      </c>
      <c r="G1864">
        <v>0.96566326632531152</v>
      </c>
      <c r="H1864">
        <v>0.65</v>
      </c>
      <c r="I1864">
        <v>741594356200</v>
      </c>
      <c r="J1864">
        <v>31.6</v>
      </c>
      <c r="K1864">
        <v>3</v>
      </c>
    </row>
    <row r="1865" spans="1:11" x14ac:dyDescent="0.25">
      <c r="A1865" t="s">
        <v>508</v>
      </c>
      <c r="B1865" t="s">
        <v>491</v>
      </c>
      <c r="C1865" t="s">
        <v>492</v>
      </c>
      <c r="D1865" t="s">
        <v>18</v>
      </c>
      <c r="E1865" t="s">
        <v>29</v>
      </c>
      <c r="F1865">
        <v>0.78847922025855477</v>
      </c>
      <c r="G1865">
        <v>0.92695844051710952</v>
      </c>
      <c r="H1865">
        <v>0.65</v>
      </c>
      <c r="I1865">
        <v>268282666200</v>
      </c>
      <c r="J1865">
        <v>16.2</v>
      </c>
      <c r="K1865">
        <v>4</v>
      </c>
    </row>
    <row r="1866" spans="1:11" x14ac:dyDescent="0.25">
      <c r="A1866" t="s">
        <v>508</v>
      </c>
      <c r="B1866" t="s">
        <v>354</v>
      </c>
      <c r="C1866" t="s">
        <v>355</v>
      </c>
      <c r="D1866" t="s">
        <v>32</v>
      </c>
      <c r="E1866" t="s">
        <v>42</v>
      </c>
      <c r="F1866">
        <v>0.76429466020882453</v>
      </c>
      <c r="G1866">
        <v>0.9785893204176489</v>
      </c>
      <c r="H1866">
        <v>0.55000000000000004</v>
      </c>
      <c r="I1866">
        <v>4268150500</v>
      </c>
      <c r="J1866">
        <v>3</v>
      </c>
      <c r="K1866">
        <v>5</v>
      </c>
    </row>
    <row r="1867" spans="1:11" x14ac:dyDescent="0.25">
      <c r="A1867" t="s">
        <v>508</v>
      </c>
      <c r="B1867" t="s">
        <v>162</v>
      </c>
      <c r="C1867" t="s">
        <v>163</v>
      </c>
      <c r="D1867" t="s">
        <v>32</v>
      </c>
      <c r="E1867" t="s">
        <v>29</v>
      </c>
      <c r="F1867">
        <v>0.76265934465396779</v>
      </c>
      <c r="G1867">
        <v>0.97531868930793564</v>
      </c>
      <c r="H1867">
        <v>0.55000000000000004</v>
      </c>
      <c r="I1867">
        <v>667153557300</v>
      </c>
      <c r="J1867">
        <v>17.100000000000001</v>
      </c>
      <c r="K1867">
        <v>6</v>
      </c>
    </row>
    <row r="1868" spans="1:11" x14ac:dyDescent="0.25">
      <c r="A1868" t="s">
        <v>508</v>
      </c>
      <c r="B1868" t="s">
        <v>287</v>
      </c>
      <c r="C1868" t="s">
        <v>288</v>
      </c>
      <c r="D1868" t="s">
        <v>14</v>
      </c>
      <c r="E1868" t="s">
        <v>59</v>
      </c>
      <c r="F1868">
        <v>0.75846943634622221</v>
      </c>
      <c r="G1868">
        <v>0.86693887269244441</v>
      </c>
      <c r="H1868">
        <v>0.65</v>
      </c>
      <c r="I1868">
        <v>64398880400</v>
      </c>
      <c r="J1868">
        <v>29.5</v>
      </c>
      <c r="K1868">
        <v>7</v>
      </c>
    </row>
    <row r="1869" spans="1:11" x14ac:dyDescent="0.25">
      <c r="A1869" t="s">
        <v>508</v>
      </c>
      <c r="B1869" t="s">
        <v>469</v>
      </c>
      <c r="C1869" t="s">
        <v>470</v>
      </c>
      <c r="D1869" t="s">
        <v>18</v>
      </c>
      <c r="E1869" t="s">
        <v>29</v>
      </c>
      <c r="F1869">
        <v>0.7468332717883106</v>
      </c>
      <c r="G1869">
        <v>0.9936665435766211</v>
      </c>
      <c r="H1869">
        <v>0.5</v>
      </c>
      <c r="I1869">
        <v>6407830200</v>
      </c>
      <c r="J1869">
        <v>9.1999999999999993</v>
      </c>
      <c r="K1869">
        <v>8</v>
      </c>
    </row>
    <row r="1870" spans="1:11" x14ac:dyDescent="0.25">
      <c r="A1870" t="s">
        <v>508</v>
      </c>
      <c r="B1870" t="s">
        <v>108</v>
      </c>
      <c r="C1870" t="s">
        <v>109</v>
      </c>
      <c r="D1870" t="s">
        <v>32</v>
      </c>
      <c r="E1870" t="s">
        <v>33</v>
      </c>
      <c r="F1870">
        <v>0.73782919862890073</v>
      </c>
      <c r="G1870">
        <v>0.92565839725780141</v>
      </c>
      <c r="H1870">
        <v>0.55000000000000004</v>
      </c>
      <c r="I1870">
        <v>171322166700</v>
      </c>
      <c r="J1870">
        <v>24.15</v>
      </c>
      <c r="K1870">
        <v>9</v>
      </c>
    </row>
    <row r="1871" spans="1:11" x14ac:dyDescent="0.25">
      <c r="A1871" t="s">
        <v>508</v>
      </c>
      <c r="B1871" t="s">
        <v>278</v>
      </c>
      <c r="C1871" t="s">
        <v>279</v>
      </c>
      <c r="D1871" t="s">
        <v>32</v>
      </c>
      <c r="E1871" t="s">
        <v>23</v>
      </c>
      <c r="F1871">
        <v>0.7234546914953871</v>
      </c>
      <c r="G1871">
        <v>0.94690938299077421</v>
      </c>
      <c r="H1871">
        <v>0.5</v>
      </c>
      <c r="I1871">
        <v>6390517860</v>
      </c>
      <c r="J1871">
        <v>13.35</v>
      </c>
      <c r="K1871">
        <v>10</v>
      </c>
    </row>
    <row r="1872" spans="1:11" x14ac:dyDescent="0.25">
      <c r="A1872" t="s">
        <v>508</v>
      </c>
      <c r="B1872" t="s">
        <v>368</v>
      </c>
      <c r="C1872" t="s">
        <v>369</v>
      </c>
      <c r="D1872" t="s">
        <v>32</v>
      </c>
      <c r="E1872" t="s">
        <v>33</v>
      </c>
      <c r="F1872">
        <v>0.70706371938906809</v>
      </c>
      <c r="G1872">
        <v>0.76412743877813605</v>
      </c>
      <c r="H1872">
        <v>0.65</v>
      </c>
      <c r="I1872">
        <v>4195381600</v>
      </c>
      <c r="J1872">
        <v>27.4</v>
      </c>
      <c r="K1872">
        <v>11</v>
      </c>
    </row>
    <row r="1873" spans="1:11" x14ac:dyDescent="0.25">
      <c r="A1873" t="s">
        <v>508</v>
      </c>
      <c r="B1873" t="s">
        <v>445</v>
      </c>
      <c r="C1873" t="s">
        <v>446</v>
      </c>
      <c r="D1873" t="s">
        <v>32</v>
      </c>
      <c r="E1873" t="s">
        <v>74</v>
      </c>
      <c r="F1873">
        <v>0.70027612104698878</v>
      </c>
      <c r="G1873">
        <v>0.70055224209397748</v>
      </c>
      <c r="H1873">
        <v>0.7</v>
      </c>
      <c r="I1873">
        <v>609028941200</v>
      </c>
      <c r="J1873">
        <v>35.25</v>
      </c>
      <c r="K1873">
        <v>12</v>
      </c>
    </row>
    <row r="1874" spans="1:11" x14ac:dyDescent="0.25">
      <c r="A1874" t="s">
        <v>508</v>
      </c>
      <c r="B1874" t="s">
        <v>63</v>
      </c>
      <c r="C1874" t="s">
        <v>64</v>
      </c>
      <c r="D1874" t="s">
        <v>32</v>
      </c>
      <c r="E1874" t="s">
        <v>33</v>
      </c>
      <c r="F1874">
        <v>0.69493049570960985</v>
      </c>
      <c r="G1874">
        <v>0.38986099141921959</v>
      </c>
      <c r="H1874">
        <v>1</v>
      </c>
      <c r="I1874">
        <v>8971708000</v>
      </c>
      <c r="J1874">
        <v>165.7</v>
      </c>
      <c r="K1874">
        <v>13</v>
      </c>
    </row>
    <row r="1875" spans="1:11" x14ac:dyDescent="0.25">
      <c r="A1875" t="s">
        <v>508</v>
      </c>
      <c r="B1875" t="s">
        <v>232</v>
      </c>
      <c r="C1875" t="s">
        <v>233</v>
      </c>
      <c r="D1875" t="s">
        <v>32</v>
      </c>
      <c r="E1875" t="s">
        <v>26</v>
      </c>
      <c r="F1875">
        <v>0.6934904922810381</v>
      </c>
      <c r="G1875">
        <v>0.68698098456207635</v>
      </c>
      <c r="H1875">
        <v>0.7</v>
      </c>
      <c r="I1875">
        <v>9823582460</v>
      </c>
      <c r="J1875">
        <v>10.75</v>
      </c>
      <c r="K1875">
        <v>14</v>
      </c>
    </row>
    <row r="1876" spans="1:11" x14ac:dyDescent="0.25">
      <c r="A1876" t="s">
        <v>508</v>
      </c>
      <c r="B1876" t="s">
        <v>418</v>
      </c>
      <c r="C1876" t="s">
        <v>419</v>
      </c>
      <c r="D1876" t="s">
        <v>32</v>
      </c>
      <c r="E1876" t="s">
        <v>74</v>
      </c>
      <c r="F1876">
        <v>0.68431028477902434</v>
      </c>
      <c r="G1876">
        <v>0.76862056955804881</v>
      </c>
      <c r="H1876">
        <v>0.6</v>
      </c>
      <c r="I1876">
        <v>153302937180</v>
      </c>
      <c r="J1876">
        <v>11.9</v>
      </c>
      <c r="K1876">
        <v>15</v>
      </c>
    </row>
    <row r="1877" spans="1:11" x14ac:dyDescent="0.25">
      <c r="A1877" t="s">
        <v>508</v>
      </c>
      <c r="B1877" t="s">
        <v>301</v>
      </c>
      <c r="C1877" t="s">
        <v>302</v>
      </c>
      <c r="D1877" t="s">
        <v>32</v>
      </c>
      <c r="E1877" t="s">
        <v>74</v>
      </c>
      <c r="F1877">
        <v>0.68087252275899413</v>
      </c>
      <c r="G1877">
        <v>0.96174504551798823</v>
      </c>
      <c r="H1877">
        <v>0.4</v>
      </c>
      <c r="I1877">
        <v>12195596400</v>
      </c>
      <c r="J1877">
        <v>20.3</v>
      </c>
      <c r="K1877">
        <v>16</v>
      </c>
    </row>
    <row r="1878" spans="1:11" x14ac:dyDescent="0.25">
      <c r="A1878" t="s">
        <v>508</v>
      </c>
      <c r="B1878" t="s">
        <v>506</v>
      </c>
      <c r="C1878" t="s">
        <v>507</v>
      </c>
      <c r="D1878" t="s">
        <v>32</v>
      </c>
      <c r="E1878" t="s">
        <v>33</v>
      </c>
      <c r="F1878">
        <v>0.67554073604378428</v>
      </c>
      <c r="G1878">
        <v>0.9010814720875685</v>
      </c>
      <c r="H1878">
        <v>0.45</v>
      </c>
      <c r="I1878">
        <v>126412050900</v>
      </c>
      <c r="J1878">
        <v>29.75</v>
      </c>
      <c r="K1878">
        <v>17</v>
      </c>
    </row>
    <row r="1879" spans="1:11" x14ac:dyDescent="0.25">
      <c r="A1879" t="s">
        <v>508</v>
      </c>
      <c r="B1879" t="s">
        <v>140</v>
      </c>
      <c r="C1879" t="s">
        <v>141</v>
      </c>
      <c r="D1879" t="s">
        <v>32</v>
      </c>
      <c r="E1879" t="s">
        <v>26</v>
      </c>
      <c r="F1879">
        <v>0.67028493196053773</v>
      </c>
      <c r="G1879">
        <v>0.79056986392107553</v>
      </c>
      <c r="H1879">
        <v>0.55000000000000004</v>
      </c>
      <c r="I1879">
        <v>5634301860</v>
      </c>
      <c r="J1879">
        <v>10.75</v>
      </c>
      <c r="K1879">
        <v>18</v>
      </c>
    </row>
    <row r="1880" spans="1:11" x14ac:dyDescent="0.25">
      <c r="A1880" t="s">
        <v>508</v>
      </c>
      <c r="B1880" t="s">
        <v>335</v>
      </c>
      <c r="C1880" t="s">
        <v>336</v>
      </c>
      <c r="D1880" t="s">
        <v>18</v>
      </c>
      <c r="E1880" t="s">
        <v>33</v>
      </c>
      <c r="F1880">
        <v>0.65853844140852646</v>
      </c>
      <c r="G1880">
        <v>0.96707688281705306</v>
      </c>
      <c r="H1880">
        <v>0.35</v>
      </c>
      <c r="I1880">
        <v>6671807600</v>
      </c>
      <c r="J1880">
        <v>8.9</v>
      </c>
      <c r="K1880">
        <v>19</v>
      </c>
    </row>
    <row r="1881" spans="1:11" x14ac:dyDescent="0.25">
      <c r="A1881" t="s">
        <v>508</v>
      </c>
      <c r="B1881" t="s">
        <v>337</v>
      </c>
      <c r="C1881" t="s">
        <v>338</v>
      </c>
      <c r="D1881" t="s">
        <v>18</v>
      </c>
      <c r="E1881" t="s">
        <v>33</v>
      </c>
      <c r="F1881">
        <v>0.6438708420156678</v>
      </c>
      <c r="G1881">
        <v>0.93774168403133562</v>
      </c>
      <c r="H1881">
        <v>0.35</v>
      </c>
      <c r="I1881">
        <v>6557146000</v>
      </c>
      <c r="J1881">
        <v>5.9</v>
      </c>
      <c r="K1881">
        <v>20</v>
      </c>
    </row>
    <row r="1882" spans="1:11" x14ac:dyDescent="0.25">
      <c r="A1882" t="s">
        <v>509</v>
      </c>
      <c r="B1882" t="s">
        <v>403</v>
      </c>
      <c r="C1882" t="s">
        <v>404</v>
      </c>
      <c r="D1882" t="s">
        <v>32</v>
      </c>
      <c r="E1882" t="s">
        <v>33</v>
      </c>
      <c r="F1882">
        <v>0.93083906647383174</v>
      </c>
      <c r="G1882">
        <v>0.96167813294766358</v>
      </c>
      <c r="H1882">
        <v>0.9</v>
      </c>
      <c r="I1882">
        <v>4272177380</v>
      </c>
      <c r="J1882">
        <v>3.47</v>
      </c>
      <c r="K1882">
        <v>1</v>
      </c>
    </row>
    <row r="1883" spans="1:11" x14ac:dyDescent="0.25">
      <c r="A1883" t="s">
        <v>509</v>
      </c>
      <c r="B1883" t="s">
        <v>162</v>
      </c>
      <c r="C1883" t="s">
        <v>163</v>
      </c>
      <c r="D1883" t="s">
        <v>32</v>
      </c>
      <c r="E1883" t="s">
        <v>29</v>
      </c>
      <c r="F1883">
        <v>0.8379706869832626</v>
      </c>
      <c r="G1883">
        <v>0.97594137396652514</v>
      </c>
      <c r="H1883">
        <v>0.7</v>
      </c>
      <c r="I1883">
        <v>678871072900</v>
      </c>
      <c r="J1883">
        <v>17.649999999999999</v>
      </c>
      <c r="K1883">
        <v>2</v>
      </c>
    </row>
    <row r="1884" spans="1:11" x14ac:dyDescent="0.25">
      <c r="A1884" t="s">
        <v>509</v>
      </c>
      <c r="B1884" t="s">
        <v>494</v>
      </c>
      <c r="C1884" t="s">
        <v>495</v>
      </c>
      <c r="D1884" t="s">
        <v>32</v>
      </c>
      <c r="E1884" t="s">
        <v>29</v>
      </c>
      <c r="F1884">
        <v>0.83213885239249819</v>
      </c>
      <c r="G1884">
        <v>0.96427770478499641</v>
      </c>
      <c r="H1884">
        <v>0.7</v>
      </c>
      <c r="I1884">
        <v>764729569400</v>
      </c>
      <c r="J1884">
        <v>31.9</v>
      </c>
      <c r="K1884">
        <v>3</v>
      </c>
    </row>
    <row r="1885" spans="1:11" x14ac:dyDescent="0.25">
      <c r="A1885" t="s">
        <v>509</v>
      </c>
      <c r="B1885" t="s">
        <v>337</v>
      </c>
      <c r="C1885" t="s">
        <v>338</v>
      </c>
      <c r="D1885" t="s">
        <v>18</v>
      </c>
      <c r="E1885" t="s">
        <v>33</v>
      </c>
      <c r="F1885">
        <v>0.81286887932989704</v>
      </c>
      <c r="G1885">
        <v>0.97573775865979417</v>
      </c>
      <c r="H1885">
        <v>0.65</v>
      </c>
      <c r="I1885">
        <v>7086561800</v>
      </c>
      <c r="J1885">
        <v>6.2</v>
      </c>
      <c r="K1885">
        <v>4</v>
      </c>
    </row>
    <row r="1886" spans="1:11" x14ac:dyDescent="0.25">
      <c r="A1886" t="s">
        <v>509</v>
      </c>
      <c r="B1886" t="s">
        <v>491</v>
      </c>
      <c r="C1886" t="s">
        <v>492</v>
      </c>
      <c r="D1886" t="s">
        <v>18</v>
      </c>
      <c r="E1886" t="s">
        <v>29</v>
      </c>
      <c r="F1886">
        <v>0.7949552751003105</v>
      </c>
      <c r="G1886">
        <v>0.93991055020062098</v>
      </c>
      <c r="H1886">
        <v>0.65</v>
      </c>
      <c r="I1886">
        <v>280499755200</v>
      </c>
      <c r="J1886">
        <v>16.5</v>
      </c>
      <c r="K1886">
        <v>5</v>
      </c>
    </row>
    <row r="1887" spans="1:11" x14ac:dyDescent="0.25">
      <c r="A1887" t="s">
        <v>509</v>
      </c>
      <c r="B1887" t="s">
        <v>354</v>
      </c>
      <c r="C1887" t="s">
        <v>355</v>
      </c>
      <c r="D1887" t="s">
        <v>32</v>
      </c>
      <c r="E1887" t="s">
        <v>42</v>
      </c>
      <c r="F1887">
        <v>0.78929466020882444</v>
      </c>
      <c r="G1887">
        <v>0.9785893204176489</v>
      </c>
      <c r="H1887">
        <v>0.6</v>
      </c>
      <c r="I1887">
        <v>4576004320</v>
      </c>
      <c r="J1887">
        <v>3.18</v>
      </c>
      <c r="K1887">
        <v>6</v>
      </c>
    </row>
    <row r="1888" spans="1:11" x14ac:dyDescent="0.25">
      <c r="A1888" t="s">
        <v>509</v>
      </c>
      <c r="B1888" t="s">
        <v>510</v>
      </c>
      <c r="C1888" t="s">
        <v>511</v>
      </c>
      <c r="D1888" t="s">
        <v>32</v>
      </c>
      <c r="E1888" t="s">
        <v>33</v>
      </c>
      <c r="F1888">
        <v>0.77185634820394122</v>
      </c>
      <c r="G1888">
        <v>0.89371269640788242</v>
      </c>
      <c r="H1888">
        <v>0.65</v>
      </c>
      <c r="I1888">
        <v>223484345700</v>
      </c>
      <c r="J1888">
        <v>20.9</v>
      </c>
      <c r="K1888">
        <v>7</v>
      </c>
    </row>
    <row r="1889" spans="1:11" x14ac:dyDescent="0.25">
      <c r="A1889" t="s">
        <v>509</v>
      </c>
      <c r="B1889" t="s">
        <v>469</v>
      </c>
      <c r="C1889" t="s">
        <v>470</v>
      </c>
      <c r="D1889" t="s">
        <v>18</v>
      </c>
      <c r="E1889" t="s">
        <v>29</v>
      </c>
      <c r="F1889">
        <v>0.74692369863582841</v>
      </c>
      <c r="G1889">
        <v>0.99384739727165683</v>
      </c>
      <c r="H1889">
        <v>0.5</v>
      </c>
      <c r="I1889">
        <v>7380518200</v>
      </c>
      <c r="J1889">
        <v>10</v>
      </c>
      <c r="K1889">
        <v>8</v>
      </c>
    </row>
    <row r="1890" spans="1:11" x14ac:dyDescent="0.25">
      <c r="A1890" t="s">
        <v>509</v>
      </c>
      <c r="B1890" t="s">
        <v>506</v>
      </c>
      <c r="C1890" t="s">
        <v>507</v>
      </c>
      <c r="D1890" t="s">
        <v>32</v>
      </c>
      <c r="E1890" t="s">
        <v>33</v>
      </c>
      <c r="F1890">
        <v>0.73315145487230171</v>
      </c>
      <c r="G1890">
        <v>0.91630290974460349</v>
      </c>
      <c r="H1890">
        <v>0.55000000000000004</v>
      </c>
      <c r="I1890">
        <v>131052009500</v>
      </c>
      <c r="J1890">
        <v>30.4</v>
      </c>
      <c r="K1890">
        <v>9</v>
      </c>
    </row>
    <row r="1891" spans="1:11" x14ac:dyDescent="0.25">
      <c r="A1891" t="s">
        <v>509</v>
      </c>
      <c r="B1891" t="s">
        <v>335</v>
      </c>
      <c r="C1891" t="s">
        <v>336</v>
      </c>
      <c r="D1891" t="s">
        <v>18</v>
      </c>
      <c r="E1891" t="s">
        <v>33</v>
      </c>
      <c r="F1891">
        <v>0.70836083386127702</v>
      </c>
      <c r="G1891">
        <v>0.96672166772255397</v>
      </c>
      <c r="H1891">
        <v>0.45</v>
      </c>
      <c r="I1891">
        <v>6900293600</v>
      </c>
      <c r="J1891">
        <v>9</v>
      </c>
      <c r="K1891">
        <v>10</v>
      </c>
    </row>
    <row r="1892" spans="1:11" x14ac:dyDescent="0.25">
      <c r="A1892" t="s">
        <v>509</v>
      </c>
      <c r="B1892" t="s">
        <v>287</v>
      </c>
      <c r="C1892" t="s">
        <v>288</v>
      </c>
      <c r="D1892" t="s">
        <v>14</v>
      </c>
      <c r="E1892" t="s">
        <v>59</v>
      </c>
      <c r="F1892">
        <v>0.70683692054684522</v>
      </c>
      <c r="G1892">
        <v>0.86367384109369028</v>
      </c>
      <c r="H1892">
        <v>0.55000000000000004</v>
      </c>
      <c r="I1892">
        <v>64047750200</v>
      </c>
      <c r="J1892">
        <v>30.4</v>
      </c>
      <c r="K1892">
        <v>11</v>
      </c>
    </row>
    <row r="1893" spans="1:11" x14ac:dyDescent="0.25">
      <c r="A1893" t="s">
        <v>509</v>
      </c>
      <c r="B1893" t="s">
        <v>140</v>
      </c>
      <c r="C1893" t="s">
        <v>141</v>
      </c>
      <c r="D1893" t="s">
        <v>32</v>
      </c>
      <c r="E1893" t="s">
        <v>26</v>
      </c>
      <c r="F1893">
        <v>0.6971711587777526</v>
      </c>
      <c r="G1893">
        <v>0.84434231755550515</v>
      </c>
      <c r="H1893">
        <v>0.55000000000000004</v>
      </c>
      <c r="I1893">
        <v>5991556660</v>
      </c>
      <c r="J1893">
        <v>11</v>
      </c>
      <c r="K1893">
        <v>12</v>
      </c>
    </row>
    <row r="1894" spans="1:11" x14ac:dyDescent="0.25">
      <c r="A1894" t="s">
        <v>509</v>
      </c>
      <c r="B1894" t="s">
        <v>418</v>
      </c>
      <c r="C1894" t="s">
        <v>419</v>
      </c>
      <c r="D1894" t="s">
        <v>32</v>
      </c>
      <c r="E1894" t="s">
        <v>74</v>
      </c>
      <c r="F1894">
        <v>0.68625113081737754</v>
      </c>
      <c r="G1894">
        <v>0.77250226163475499</v>
      </c>
      <c r="H1894">
        <v>0.6</v>
      </c>
      <c r="I1894">
        <v>154370518280</v>
      </c>
      <c r="J1894">
        <v>11.9</v>
      </c>
      <c r="K1894">
        <v>13</v>
      </c>
    </row>
    <row r="1895" spans="1:11" x14ac:dyDescent="0.25">
      <c r="A1895" t="s">
        <v>509</v>
      </c>
      <c r="B1895" t="s">
        <v>63</v>
      </c>
      <c r="C1895" t="s">
        <v>64</v>
      </c>
      <c r="D1895" t="s">
        <v>32</v>
      </c>
      <c r="E1895" t="s">
        <v>33</v>
      </c>
      <c r="F1895">
        <v>0.67666957384627002</v>
      </c>
      <c r="G1895">
        <v>0.35333914769254021</v>
      </c>
      <c r="H1895">
        <v>1</v>
      </c>
      <c r="I1895">
        <v>8769829600</v>
      </c>
      <c r="J1895">
        <v>165.8</v>
      </c>
      <c r="K1895">
        <v>14</v>
      </c>
    </row>
    <row r="1896" spans="1:11" x14ac:dyDescent="0.25">
      <c r="A1896" t="s">
        <v>509</v>
      </c>
      <c r="B1896" t="s">
        <v>368</v>
      </c>
      <c r="C1896" t="s">
        <v>369</v>
      </c>
      <c r="D1896" t="s">
        <v>32</v>
      </c>
      <c r="E1896" t="s">
        <v>33</v>
      </c>
      <c r="F1896">
        <v>0.66765636700886466</v>
      </c>
      <c r="G1896">
        <v>0.83531273401772921</v>
      </c>
      <c r="H1896">
        <v>0.5</v>
      </c>
      <c r="I1896">
        <v>4507874000</v>
      </c>
      <c r="J1896">
        <v>27.9</v>
      </c>
      <c r="K1896">
        <v>15</v>
      </c>
    </row>
    <row r="1897" spans="1:11" x14ac:dyDescent="0.25">
      <c r="A1897" t="s">
        <v>509</v>
      </c>
      <c r="B1897" t="s">
        <v>122</v>
      </c>
      <c r="C1897" t="s">
        <v>123</v>
      </c>
      <c r="D1897" t="s">
        <v>32</v>
      </c>
      <c r="E1897" t="s">
        <v>124</v>
      </c>
      <c r="F1897">
        <v>0.65869007935255253</v>
      </c>
      <c r="G1897">
        <v>0.96738015870510519</v>
      </c>
      <c r="H1897">
        <v>0.35</v>
      </c>
      <c r="I1897">
        <v>105098189600</v>
      </c>
      <c r="J1897">
        <v>121.2</v>
      </c>
      <c r="K1897">
        <v>16</v>
      </c>
    </row>
    <row r="1898" spans="1:11" x14ac:dyDescent="0.25">
      <c r="A1898" t="s">
        <v>509</v>
      </c>
      <c r="B1898" t="s">
        <v>371</v>
      </c>
      <c r="C1898" t="s">
        <v>372</v>
      </c>
      <c r="D1898" t="s">
        <v>18</v>
      </c>
      <c r="E1898" t="s">
        <v>33</v>
      </c>
      <c r="F1898">
        <v>0.65672032482981657</v>
      </c>
      <c r="G1898">
        <v>0.96344064965963305</v>
      </c>
      <c r="H1898">
        <v>0.35</v>
      </c>
      <c r="I1898">
        <v>327662928200</v>
      </c>
      <c r="J1898">
        <v>21</v>
      </c>
      <c r="K1898">
        <v>17</v>
      </c>
    </row>
    <row r="1899" spans="1:11" x14ac:dyDescent="0.25">
      <c r="A1899" t="s">
        <v>509</v>
      </c>
      <c r="B1899" t="s">
        <v>110</v>
      </c>
      <c r="C1899" t="s">
        <v>111</v>
      </c>
      <c r="D1899" t="s">
        <v>32</v>
      </c>
      <c r="E1899" t="s">
        <v>112</v>
      </c>
      <c r="F1899">
        <v>0.65254965633538231</v>
      </c>
      <c r="G1899">
        <v>0.95509931267076464</v>
      </c>
      <c r="H1899">
        <v>0.35</v>
      </c>
      <c r="I1899">
        <v>3565157140</v>
      </c>
      <c r="J1899">
        <v>6.3</v>
      </c>
      <c r="K1899">
        <v>18</v>
      </c>
    </row>
    <row r="1900" spans="1:11" x14ac:dyDescent="0.25">
      <c r="A1900" t="s">
        <v>509</v>
      </c>
      <c r="B1900" t="s">
        <v>193</v>
      </c>
      <c r="C1900" t="s">
        <v>194</v>
      </c>
      <c r="D1900" t="s">
        <v>32</v>
      </c>
      <c r="E1900" t="s">
        <v>33</v>
      </c>
      <c r="F1900">
        <v>0.65013429641700604</v>
      </c>
      <c r="G1900">
        <v>0.90026859283401217</v>
      </c>
      <c r="H1900">
        <v>0.4</v>
      </c>
      <c r="I1900">
        <v>29188655760</v>
      </c>
      <c r="J1900">
        <v>3.77</v>
      </c>
      <c r="K1900">
        <v>19</v>
      </c>
    </row>
    <row r="1901" spans="1:11" x14ac:dyDescent="0.25">
      <c r="A1901" t="s">
        <v>509</v>
      </c>
      <c r="B1901" t="s">
        <v>481</v>
      </c>
      <c r="C1901" t="s">
        <v>482</v>
      </c>
      <c r="D1901" t="s">
        <v>32</v>
      </c>
      <c r="E1901" t="s">
        <v>236</v>
      </c>
      <c r="F1901">
        <v>0.64852102551883561</v>
      </c>
      <c r="G1901">
        <v>0.7470420510376713</v>
      </c>
      <c r="H1901">
        <v>0.55000000000000004</v>
      </c>
      <c r="I1901">
        <v>3227622780</v>
      </c>
      <c r="J1901">
        <v>3.06</v>
      </c>
      <c r="K1901">
        <v>20</v>
      </c>
    </row>
    <row r="1902" spans="1:11" x14ac:dyDescent="0.25">
      <c r="A1902" t="s">
        <v>512</v>
      </c>
      <c r="B1902" t="s">
        <v>494</v>
      </c>
      <c r="C1902" t="s">
        <v>495</v>
      </c>
      <c r="D1902" t="s">
        <v>32</v>
      </c>
      <c r="E1902" t="s">
        <v>29</v>
      </c>
      <c r="F1902">
        <v>0.82781074477807137</v>
      </c>
      <c r="G1902">
        <v>0.95562148955614268</v>
      </c>
      <c r="H1902">
        <v>0.7</v>
      </c>
      <c r="I1902">
        <v>782093812100</v>
      </c>
      <c r="J1902">
        <v>31.8</v>
      </c>
      <c r="K1902">
        <v>1</v>
      </c>
    </row>
    <row r="1903" spans="1:11" x14ac:dyDescent="0.25">
      <c r="A1903" t="s">
        <v>512</v>
      </c>
      <c r="B1903" t="s">
        <v>162</v>
      </c>
      <c r="C1903" t="s">
        <v>163</v>
      </c>
      <c r="D1903" t="s">
        <v>32</v>
      </c>
      <c r="E1903" t="s">
        <v>29</v>
      </c>
      <c r="F1903">
        <v>0.81878155854311618</v>
      </c>
      <c r="G1903">
        <v>0.98756311708623223</v>
      </c>
      <c r="H1903">
        <v>0.65</v>
      </c>
      <c r="I1903">
        <v>693711114500</v>
      </c>
      <c r="J1903">
        <v>18.850000000000001</v>
      </c>
      <c r="K1903">
        <v>2</v>
      </c>
    </row>
    <row r="1904" spans="1:11" x14ac:dyDescent="0.25">
      <c r="A1904" t="s">
        <v>512</v>
      </c>
      <c r="B1904" t="s">
        <v>491</v>
      </c>
      <c r="C1904" t="s">
        <v>492</v>
      </c>
      <c r="D1904" t="s">
        <v>18</v>
      </c>
      <c r="E1904" t="s">
        <v>29</v>
      </c>
      <c r="F1904">
        <v>0.81629431174562317</v>
      </c>
      <c r="G1904">
        <v>0.93258862349124627</v>
      </c>
      <c r="H1904">
        <v>0.7</v>
      </c>
      <c r="I1904">
        <v>291827353800</v>
      </c>
      <c r="J1904">
        <v>16.8</v>
      </c>
      <c r="K1904">
        <v>3</v>
      </c>
    </row>
    <row r="1905" spans="1:11" x14ac:dyDescent="0.25">
      <c r="A1905" t="s">
        <v>512</v>
      </c>
      <c r="B1905" t="s">
        <v>418</v>
      </c>
      <c r="C1905" t="s">
        <v>419</v>
      </c>
      <c r="D1905" t="s">
        <v>32</v>
      </c>
      <c r="E1905" t="s">
        <v>74</v>
      </c>
      <c r="F1905">
        <v>0.7765963742210078</v>
      </c>
      <c r="G1905">
        <v>0.85319274844201576</v>
      </c>
      <c r="H1905">
        <v>0.7</v>
      </c>
      <c r="I1905">
        <v>158605843960</v>
      </c>
      <c r="J1905">
        <v>12.2</v>
      </c>
      <c r="K1905">
        <v>4</v>
      </c>
    </row>
    <row r="1906" spans="1:11" x14ac:dyDescent="0.25">
      <c r="A1906" t="s">
        <v>512</v>
      </c>
      <c r="B1906" t="s">
        <v>469</v>
      </c>
      <c r="C1906" t="s">
        <v>470</v>
      </c>
      <c r="D1906" t="s">
        <v>18</v>
      </c>
      <c r="E1906" t="s">
        <v>29</v>
      </c>
      <c r="F1906">
        <v>0.77138959936020135</v>
      </c>
      <c r="G1906">
        <v>0.99277919872040266</v>
      </c>
      <c r="H1906">
        <v>0.55000000000000004</v>
      </c>
      <c r="I1906">
        <v>7972619600</v>
      </c>
      <c r="J1906">
        <v>9.6</v>
      </c>
      <c r="K1906">
        <v>5</v>
      </c>
    </row>
    <row r="1907" spans="1:11" x14ac:dyDescent="0.25">
      <c r="A1907" t="s">
        <v>512</v>
      </c>
      <c r="B1907" t="s">
        <v>237</v>
      </c>
      <c r="C1907" t="s">
        <v>238</v>
      </c>
      <c r="D1907" t="s">
        <v>32</v>
      </c>
      <c r="E1907" t="s">
        <v>33</v>
      </c>
      <c r="F1907">
        <v>0.76135117585353473</v>
      </c>
      <c r="G1907">
        <v>0.97270235170706953</v>
      </c>
      <c r="H1907">
        <v>0.55000000000000004</v>
      </c>
      <c r="I1907">
        <v>477818805600</v>
      </c>
      <c r="J1907">
        <v>96</v>
      </c>
      <c r="K1907">
        <v>6</v>
      </c>
    </row>
    <row r="1908" spans="1:11" x14ac:dyDescent="0.25">
      <c r="A1908" t="s">
        <v>512</v>
      </c>
      <c r="B1908" t="s">
        <v>403</v>
      </c>
      <c r="C1908" t="s">
        <v>404</v>
      </c>
      <c r="D1908" t="s">
        <v>32</v>
      </c>
      <c r="E1908" t="s">
        <v>33</v>
      </c>
      <c r="F1908">
        <v>0.74165372872703639</v>
      </c>
      <c r="G1908">
        <v>0.98330745745407278</v>
      </c>
      <c r="H1908">
        <v>0.5</v>
      </c>
      <c r="I1908">
        <v>4580947520</v>
      </c>
      <c r="J1908">
        <v>3.71</v>
      </c>
      <c r="K1908">
        <v>7</v>
      </c>
    </row>
    <row r="1909" spans="1:11" x14ac:dyDescent="0.25">
      <c r="A1909" t="s">
        <v>512</v>
      </c>
      <c r="B1909" t="s">
        <v>329</v>
      </c>
      <c r="C1909" t="s">
        <v>330</v>
      </c>
      <c r="D1909" t="s">
        <v>18</v>
      </c>
      <c r="E1909" t="s">
        <v>26</v>
      </c>
      <c r="F1909">
        <v>0.72704590925749857</v>
      </c>
      <c r="G1909">
        <v>0.95409181851499714</v>
      </c>
      <c r="H1909">
        <v>0.5</v>
      </c>
      <c r="I1909">
        <v>8010739400</v>
      </c>
      <c r="J1909">
        <v>37</v>
      </c>
      <c r="K1909">
        <v>8</v>
      </c>
    </row>
    <row r="1910" spans="1:11" x14ac:dyDescent="0.25">
      <c r="A1910" t="s">
        <v>512</v>
      </c>
      <c r="B1910" t="s">
        <v>354</v>
      </c>
      <c r="C1910" t="s">
        <v>355</v>
      </c>
      <c r="D1910" t="s">
        <v>32</v>
      </c>
      <c r="E1910" t="s">
        <v>42</v>
      </c>
      <c r="F1910">
        <v>0.71369691359015885</v>
      </c>
      <c r="G1910">
        <v>0.97739382718031775</v>
      </c>
      <c r="H1910">
        <v>0.45</v>
      </c>
      <c r="I1910">
        <v>4822381320</v>
      </c>
      <c r="J1910">
        <v>3.05</v>
      </c>
      <c r="K1910">
        <v>9</v>
      </c>
    </row>
    <row r="1911" spans="1:11" x14ac:dyDescent="0.25">
      <c r="A1911" t="s">
        <v>512</v>
      </c>
      <c r="B1911" t="s">
        <v>108</v>
      </c>
      <c r="C1911" t="s">
        <v>109</v>
      </c>
      <c r="D1911" t="s">
        <v>32</v>
      </c>
      <c r="E1911" t="s">
        <v>33</v>
      </c>
      <c r="F1911">
        <v>0.7114698305982412</v>
      </c>
      <c r="G1911">
        <v>0.92293966119648241</v>
      </c>
      <c r="H1911">
        <v>0.5</v>
      </c>
      <c r="I1911">
        <v>169602530900</v>
      </c>
      <c r="J1911">
        <v>24.5</v>
      </c>
      <c r="K1911">
        <v>10</v>
      </c>
    </row>
    <row r="1912" spans="1:11" x14ac:dyDescent="0.25">
      <c r="A1912" t="s">
        <v>512</v>
      </c>
      <c r="B1912" t="s">
        <v>335</v>
      </c>
      <c r="C1912" t="s">
        <v>336</v>
      </c>
      <c r="D1912" t="s">
        <v>18</v>
      </c>
      <c r="E1912" t="s">
        <v>33</v>
      </c>
      <c r="F1912">
        <v>0.70817138942462032</v>
      </c>
      <c r="G1912">
        <v>0.91634277884924065</v>
      </c>
      <c r="H1912">
        <v>0.5</v>
      </c>
      <c r="I1912">
        <v>7159042600</v>
      </c>
      <c r="J1912">
        <v>8.5</v>
      </c>
      <c r="K1912">
        <v>11</v>
      </c>
    </row>
    <row r="1913" spans="1:11" x14ac:dyDescent="0.25">
      <c r="A1913" t="s">
        <v>512</v>
      </c>
      <c r="B1913" t="s">
        <v>506</v>
      </c>
      <c r="C1913" t="s">
        <v>507</v>
      </c>
      <c r="D1913" t="s">
        <v>32</v>
      </c>
      <c r="E1913" t="s">
        <v>33</v>
      </c>
      <c r="F1913">
        <v>0.69736628015114277</v>
      </c>
      <c r="G1913">
        <v>0.89473256030228554</v>
      </c>
      <c r="H1913">
        <v>0.5</v>
      </c>
      <c r="I1913">
        <v>134557407400</v>
      </c>
      <c r="J1913">
        <v>30</v>
      </c>
      <c r="K1913">
        <v>12</v>
      </c>
    </row>
    <row r="1914" spans="1:11" x14ac:dyDescent="0.25">
      <c r="A1914" t="s">
        <v>512</v>
      </c>
      <c r="B1914" t="s">
        <v>380</v>
      </c>
      <c r="C1914" t="s">
        <v>381</v>
      </c>
      <c r="D1914" t="s">
        <v>18</v>
      </c>
      <c r="E1914" t="s">
        <v>382</v>
      </c>
      <c r="F1914">
        <v>0.69408774504325499</v>
      </c>
      <c r="G1914">
        <v>0.63817549008650987</v>
      </c>
      <c r="H1914">
        <v>0.75</v>
      </c>
      <c r="I1914">
        <v>5220249400</v>
      </c>
      <c r="J1914">
        <v>31.4</v>
      </c>
      <c r="K1914">
        <v>13</v>
      </c>
    </row>
    <row r="1915" spans="1:11" x14ac:dyDescent="0.25">
      <c r="A1915" t="s">
        <v>512</v>
      </c>
      <c r="B1915" t="s">
        <v>309</v>
      </c>
      <c r="C1915" t="s">
        <v>310</v>
      </c>
      <c r="D1915" t="s">
        <v>32</v>
      </c>
      <c r="E1915" t="s">
        <v>33</v>
      </c>
      <c r="F1915">
        <v>0.69151381719617133</v>
      </c>
      <c r="G1915">
        <v>0.9330276343923426</v>
      </c>
      <c r="H1915">
        <v>0.45</v>
      </c>
      <c r="I1915">
        <v>382347385200</v>
      </c>
      <c r="J1915">
        <v>16.95</v>
      </c>
      <c r="K1915">
        <v>14</v>
      </c>
    </row>
    <row r="1916" spans="1:11" x14ac:dyDescent="0.25">
      <c r="A1916" t="s">
        <v>512</v>
      </c>
      <c r="B1916" t="s">
        <v>371</v>
      </c>
      <c r="C1916" t="s">
        <v>372</v>
      </c>
      <c r="D1916" t="s">
        <v>18</v>
      </c>
      <c r="E1916" t="s">
        <v>33</v>
      </c>
      <c r="F1916">
        <v>0.68752767433369466</v>
      </c>
      <c r="G1916">
        <v>0.97505534866738941</v>
      </c>
      <c r="H1916">
        <v>0.4</v>
      </c>
      <c r="I1916">
        <v>340361123000</v>
      </c>
      <c r="J1916">
        <v>22.6</v>
      </c>
      <c r="K1916">
        <v>15</v>
      </c>
    </row>
    <row r="1917" spans="1:11" x14ac:dyDescent="0.25">
      <c r="A1917" t="s">
        <v>512</v>
      </c>
      <c r="B1917" t="s">
        <v>122</v>
      </c>
      <c r="C1917" t="s">
        <v>123</v>
      </c>
      <c r="D1917" t="s">
        <v>32</v>
      </c>
      <c r="E1917" t="s">
        <v>124</v>
      </c>
      <c r="F1917">
        <v>0.68641566665843867</v>
      </c>
      <c r="G1917">
        <v>0.97283133331687732</v>
      </c>
      <c r="H1917">
        <v>0.4</v>
      </c>
      <c r="I1917">
        <v>107013573600</v>
      </c>
      <c r="J1917">
        <v>125.4</v>
      </c>
      <c r="K1917">
        <v>16</v>
      </c>
    </row>
    <row r="1918" spans="1:11" x14ac:dyDescent="0.25">
      <c r="A1918" t="s">
        <v>512</v>
      </c>
      <c r="B1918" t="s">
        <v>140</v>
      </c>
      <c r="C1918" t="s">
        <v>141</v>
      </c>
      <c r="D1918" t="s">
        <v>32</v>
      </c>
      <c r="E1918" t="s">
        <v>26</v>
      </c>
      <c r="F1918">
        <v>0.68239533558390009</v>
      </c>
      <c r="G1918">
        <v>0.81479067116780013</v>
      </c>
      <c r="H1918">
        <v>0.55000000000000004</v>
      </c>
      <c r="I1918">
        <v>6232441920</v>
      </c>
      <c r="J1918">
        <v>11</v>
      </c>
      <c r="K1918">
        <v>17</v>
      </c>
    </row>
    <row r="1919" spans="1:11" x14ac:dyDescent="0.25">
      <c r="A1919" t="s">
        <v>512</v>
      </c>
      <c r="B1919" t="s">
        <v>337</v>
      </c>
      <c r="C1919" t="s">
        <v>338</v>
      </c>
      <c r="D1919" t="s">
        <v>18</v>
      </c>
      <c r="E1919" t="s">
        <v>33</v>
      </c>
      <c r="F1919">
        <v>0.68187198189467846</v>
      </c>
      <c r="G1919">
        <v>0.96374396378935689</v>
      </c>
      <c r="H1919">
        <v>0.4</v>
      </c>
      <c r="I1919">
        <v>7443025800</v>
      </c>
      <c r="J1919">
        <v>6.1</v>
      </c>
      <c r="K1919">
        <v>18</v>
      </c>
    </row>
    <row r="1920" spans="1:11" x14ac:dyDescent="0.25">
      <c r="A1920" t="s">
        <v>512</v>
      </c>
      <c r="B1920" t="s">
        <v>301</v>
      </c>
      <c r="C1920" t="s">
        <v>302</v>
      </c>
      <c r="D1920" t="s">
        <v>32</v>
      </c>
      <c r="E1920" t="s">
        <v>74</v>
      </c>
      <c r="F1920">
        <v>0.67039288550122422</v>
      </c>
      <c r="G1920">
        <v>0.94078577100244853</v>
      </c>
      <c r="H1920">
        <v>0.4</v>
      </c>
      <c r="I1920">
        <v>12845603600</v>
      </c>
      <c r="J1920">
        <v>20.7</v>
      </c>
      <c r="K1920">
        <v>19</v>
      </c>
    </row>
    <row r="1921" spans="1:11" x14ac:dyDescent="0.25">
      <c r="A1921" t="s">
        <v>512</v>
      </c>
      <c r="B1921" t="s">
        <v>486</v>
      </c>
      <c r="C1921" t="s">
        <v>487</v>
      </c>
      <c r="D1921" t="s">
        <v>18</v>
      </c>
      <c r="E1921" t="s">
        <v>26</v>
      </c>
      <c r="F1921">
        <v>0.6576703964394125</v>
      </c>
      <c r="G1921">
        <v>0.96534079287882502</v>
      </c>
      <c r="H1921">
        <v>0.35</v>
      </c>
      <c r="I1921">
        <v>3783969000</v>
      </c>
      <c r="J1921">
        <v>3.9</v>
      </c>
      <c r="K1921">
        <v>20</v>
      </c>
    </row>
    <row r="1922" spans="1:11" x14ac:dyDescent="0.25">
      <c r="A1922" t="s">
        <v>513</v>
      </c>
      <c r="B1922" t="s">
        <v>162</v>
      </c>
      <c r="C1922" t="s">
        <v>163</v>
      </c>
      <c r="D1922" t="s">
        <v>32</v>
      </c>
      <c r="E1922" t="s">
        <v>29</v>
      </c>
      <c r="F1922">
        <v>0.81870289398164542</v>
      </c>
      <c r="G1922">
        <v>0.9874057879632907</v>
      </c>
      <c r="H1922">
        <v>0.65</v>
      </c>
      <c r="I1922">
        <v>713706267900</v>
      </c>
      <c r="J1922">
        <v>19.3</v>
      </c>
      <c r="K1922">
        <v>1</v>
      </c>
    </row>
    <row r="1923" spans="1:11" x14ac:dyDescent="0.25">
      <c r="A1923" t="s">
        <v>513</v>
      </c>
      <c r="B1923" t="s">
        <v>494</v>
      </c>
      <c r="C1923" t="s">
        <v>495</v>
      </c>
      <c r="D1923" t="s">
        <v>32</v>
      </c>
      <c r="E1923" t="s">
        <v>29</v>
      </c>
      <c r="F1923">
        <v>0.79975997161763579</v>
      </c>
      <c r="G1923">
        <v>0.94951994323527156</v>
      </c>
      <c r="H1923">
        <v>0.65</v>
      </c>
      <c r="I1923">
        <v>807309251200</v>
      </c>
      <c r="J1923">
        <v>31.35</v>
      </c>
      <c r="K1923">
        <v>2</v>
      </c>
    </row>
    <row r="1924" spans="1:11" x14ac:dyDescent="0.25">
      <c r="A1924" t="s">
        <v>513</v>
      </c>
      <c r="B1924" t="s">
        <v>506</v>
      </c>
      <c r="C1924" t="s">
        <v>507</v>
      </c>
      <c r="D1924" t="s">
        <v>32</v>
      </c>
      <c r="E1924" t="s">
        <v>33</v>
      </c>
      <c r="F1924">
        <v>0.72938262824193734</v>
      </c>
      <c r="G1924">
        <v>0.90876525648387463</v>
      </c>
      <c r="H1924">
        <v>0.55000000000000004</v>
      </c>
      <c r="I1924">
        <v>138830315900</v>
      </c>
      <c r="J1924">
        <v>30.25</v>
      </c>
      <c r="K1924">
        <v>3</v>
      </c>
    </row>
    <row r="1925" spans="1:11" x14ac:dyDescent="0.25">
      <c r="A1925" t="s">
        <v>513</v>
      </c>
      <c r="B1925" t="s">
        <v>491</v>
      </c>
      <c r="C1925" t="s">
        <v>492</v>
      </c>
      <c r="D1925" t="s">
        <v>18</v>
      </c>
      <c r="E1925" t="s">
        <v>29</v>
      </c>
      <c r="F1925">
        <v>0.72902566970052907</v>
      </c>
      <c r="G1925">
        <v>0.90805133940105809</v>
      </c>
      <c r="H1925">
        <v>0.55000000000000004</v>
      </c>
      <c r="I1925">
        <v>304206335400</v>
      </c>
      <c r="J1925">
        <v>16.399999999999999</v>
      </c>
      <c r="K1925">
        <v>4</v>
      </c>
    </row>
    <row r="1926" spans="1:11" x14ac:dyDescent="0.25">
      <c r="A1926" t="s">
        <v>513</v>
      </c>
      <c r="B1926" t="s">
        <v>498</v>
      </c>
      <c r="C1926" t="s">
        <v>499</v>
      </c>
      <c r="D1926" t="s">
        <v>14</v>
      </c>
      <c r="E1926" t="s">
        <v>33</v>
      </c>
      <c r="F1926">
        <v>0.72862380435668639</v>
      </c>
      <c r="G1926">
        <v>0.95724760871337289</v>
      </c>
      <c r="H1926">
        <v>0.5</v>
      </c>
      <c r="I1926">
        <v>2601602800</v>
      </c>
      <c r="J1926">
        <v>23</v>
      </c>
      <c r="K1926">
        <v>5</v>
      </c>
    </row>
    <row r="1927" spans="1:11" x14ac:dyDescent="0.25">
      <c r="A1927" t="s">
        <v>513</v>
      </c>
      <c r="B1927" t="s">
        <v>371</v>
      </c>
      <c r="C1927" t="s">
        <v>372</v>
      </c>
      <c r="D1927" t="s">
        <v>18</v>
      </c>
      <c r="E1927" t="s">
        <v>33</v>
      </c>
      <c r="F1927">
        <v>0.7274232013687707</v>
      </c>
      <c r="G1927">
        <v>0.95484640273754129</v>
      </c>
      <c r="H1927">
        <v>0.5</v>
      </c>
      <c r="I1927">
        <v>352043678000</v>
      </c>
      <c r="J1927">
        <v>21.9</v>
      </c>
      <c r="K1927">
        <v>6</v>
      </c>
    </row>
    <row r="1928" spans="1:11" x14ac:dyDescent="0.25">
      <c r="A1928" t="s">
        <v>513</v>
      </c>
      <c r="B1928" t="s">
        <v>108</v>
      </c>
      <c r="C1928" t="s">
        <v>109</v>
      </c>
      <c r="D1928" t="s">
        <v>32</v>
      </c>
      <c r="E1928" t="s">
        <v>33</v>
      </c>
      <c r="F1928">
        <v>0.72254108327467237</v>
      </c>
      <c r="G1928">
        <v>0.8950821665493448</v>
      </c>
      <c r="H1928">
        <v>0.55000000000000004</v>
      </c>
      <c r="I1928">
        <v>168630899100</v>
      </c>
      <c r="J1928">
        <v>24.05</v>
      </c>
      <c r="K1928">
        <v>7</v>
      </c>
    </row>
    <row r="1929" spans="1:11" x14ac:dyDescent="0.25">
      <c r="A1929" t="s">
        <v>513</v>
      </c>
      <c r="B1929" t="s">
        <v>354</v>
      </c>
      <c r="C1929" t="s">
        <v>355</v>
      </c>
      <c r="D1929" t="s">
        <v>32</v>
      </c>
      <c r="E1929" t="s">
        <v>42</v>
      </c>
      <c r="F1929">
        <v>0.70961095621226911</v>
      </c>
      <c r="G1929">
        <v>0.96922191242453815</v>
      </c>
      <c r="H1929">
        <v>0.45</v>
      </c>
      <c r="I1929">
        <v>5291429040</v>
      </c>
      <c r="J1929">
        <v>2.84</v>
      </c>
      <c r="K1929">
        <v>8</v>
      </c>
    </row>
    <row r="1930" spans="1:11" x14ac:dyDescent="0.25">
      <c r="A1930" t="s">
        <v>513</v>
      </c>
      <c r="B1930" t="s">
        <v>110</v>
      </c>
      <c r="C1930" t="s">
        <v>111</v>
      </c>
      <c r="D1930" t="s">
        <v>32</v>
      </c>
      <c r="E1930" t="s">
        <v>112</v>
      </c>
      <c r="F1930">
        <v>0.70926603979215497</v>
      </c>
      <c r="G1930">
        <v>0.91853207958430994</v>
      </c>
      <c r="H1930">
        <v>0.5</v>
      </c>
      <c r="I1930">
        <v>3676342400</v>
      </c>
      <c r="J1930">
        <v>6.25</v>
      </c>
      <c r="K1930">
        <v>9</v>
      </c>
    </row>
    <row r="1931" spans="1:11" x14ac:dyDescent="0.25">
      <c r="A1931" t="s">
        <v>513</v>
      </c>
      <c r="B1931" t="s">
        <v>418</v>
      </c>
      <c r="C1931" t="s">
        <v>419</v>
      </c>
      <c r="D1931" t="s">
        <v>32</v>
      </c>
      <c r="E1931" t="s">
        <v>74</v>
      </c>
      <c r="F1931">
        <v>0.70460486388007904</v>
      </c>
      <c r="G1931">
        <v>0.959209727760158</v>
      </c>
      <c r="H1931">
        <v>0.45</v>
      </c>
      <c r="I1931">
        <v>166572854200</v>
      </c>
      <c r="J1931">
        <v>12.85</v>
      </c>
      <c r="K1931">
        <v>10</v>
      </c>
    </row>
    <row r="1932" spans="1:11" x14ac:dyDescent="0.25">
      <c r="A1932" t="s">
        <v>513</v>
      </c>
      <c r="B1932" t="s">
        <v>486</v>
      </c>
      <c r="C1932" t="s">
        <v>487</v>
      </c>
      <c r="D1932" t="s">
        <v>18</v>
      </c>
      <c r="E1932" t="s">
        <v>26</v>
      </c>
      <c r="F1932">
        <v>0.70034430432375239</v>
      </c>
      <c r="G1932">
        <v>0.95068860864750471</v>
      </c>
      <c r="H1932">
        <v>0.45</v>
      </c>
      <c r="I1932">
        <v>4008118600</v>
      </c>
      <c r="J1932">
        <v>3.9</v>
      </c>
      <c r="K1932">
        <v>11</v>
      </c>
    </row>
    <row r="1933" spans="1:11" x14ac:dyDescent="0.25">
      <c r="A1933" t="s">
        <v>513</v>
      </c>
      <c r="B1933" t="s">
        <v>368</v>
      </c>
      <c r="C1933" t="s">
        <v>369</v>
      </c>
      <c r="D1933" t="s">
        <v>32</v>
      </c>
      <c r="E1933" t="s">
        <v>33</v>
      </c>
      <c r="F1933">
        <v>0.68679594770699604</v>
      </c>
      <c r="G1933">
        <v>0.87359189541399196</v>
      </c>
      <c r="H1933">
        <v>0.5</v>
      </c>
      <c r="I1933">
        <v>5080434800</v>
      </c>
      <c r="J1933">
        <v>28.7</v>
      </c>
      <c r="K1933">
        <v>12</v>
      </c>
    </row>
    <row r="1934" spans="1:11" x14ac:dyDescent="0.25">
      <c r="A1934" t="s">
        <v>513</v>
      </c>
      <c r="B1934" t="s">
        <v>481</v>
      </c>
      <c r="C1934" t="s">
        <v>482</v>
      </c>
      <c r="D1934" t="s">
        <v>32</v>
      </c>
      <c r="E1934" t="s">
        <v>236</v>
      </c>
      <c r="F1934">
        <v>0.67534600647338383</v>
      </c>
      <c r="G1934">
        <v>0.85069201294676766</v>
      </c>
      <c r="H1934">
        <v>0.5</v>
      </c>
      <c r="I1934">
        <v>3512590980</v>
      </c>
      <c r="J1934">
        <v>3.11</v>
      </c>
      <c r="K1934">
        <v>13</v>
      </c>
    </row>
    <row r="1935" spans="1:11" x14ac:dyDescent="0.25">
      <c r="A1935" t="s">
        <v>513</v>
      </c>
      <c r="B1935" t="s">
        <v>403</v>
      </c>
      <c r="C1935" t="s">
        <v>404</v>
      </c>
      <c r="D1935" t="s">
        <v>32</v>
      </c>
      <c r="E1935" t="s">
        <v>33</v>
      </c>
      <c r="F1935">
        <v>0.67063471139849617</v>
      </c>
      <c r="G1935">
        <v>0.99126942279699237</v>
      </c>
      <c r="H1935">
        <v>0.35</v>
      </c>
      <c r="I1935">
        <v>5049062320</v>
      </c>
      <c r="J1935">
        <v>3.95</v>
      </c>
      <c r="K1935">
        <v>14</v>
      </c>
    </row>
    <row r="1936" spans="1:11" x14ac:dyDescent="0.25">
      <c r="A1936" t="s">
        <v>513</v>
      </c>
      <c r="B1936" t="s">
        <v>237</v>
      </c>
      <c r="C1936" t="s">
        <v>238</v>
      </c>
      <c r="D1936" t="s">
        <v>32</v>
      </c>
      <c r="E1936" t="s">
        <v>33</v>
      </c>
      <c r="F1936">
        <v>0.66884670186872075</v>
      </c>
      <c r="G1936">
        <v>0.93769340373744148</v>
      </c>
      <c r="H1936">
        <v>0.4</v>
      </c>
      <c r="I1936">
        <v>481074661800</v>
      </c>
      <c r="J1936">
        <v>92</v>
      </c>
      <c r="K1936">
        <v>15</v>
      </c>
    </row>
    <row r="1937" spans="1:11" x14ac:dyDescent="0.25">
      <c r="A1937" t="s">
        <v>513</v>
      </c>
      <c r="B1937" t="s">
        <v>329</v>
      </c>
      <c r="C1937" t="s">
        <v>330</v>
      </c>
      <c r="D1937" t="s">
        <v>18</v>
      </c>
      <c r="E1937" t="s">
        <v>26</v>
      </c>
      <c r="F1937">
        <v>0.66520559576030314</v>
      </c>
      <c r="G1937">
        <v>0.88041119152060632</v>
      </c>
      <c r="H1937">
        <v>0.45</v>
      </c>
      <c r="I1937">
        <v>8388503000</v>
      </c>
      <c r="J1937">
        <v>35.1</v>
      </c>
      <c r="K1937">
        <v>16</v>
      </c>
    </row>
    <row r="1938" spans="1:11" x14ac:dyDescent="0.25">
      <c r="A1938" t="s">
        <v>513</v>
      </c>
      <c r="B1938" t="s">
        <v>120</v>
      </c>
      <c r="C1938" t="s">
        <v>121</v>
      </c>
      <c r="D1938" t="s">
        <v>32</v>
      </c>
      <c r="E1938" t="s">
        <v>29</v>
      </c>
      <c r="F1938">
        <v>0.66335757072438106</v>
      </c>
      <c r="G1938">
        <v>0.67671514144876199</v>
      </c>
      <c r="H1938">
        <v>0.65</v>
      </c>
      <c r="I1938">
        <v>366972031900</v>
      </c>
      <c r="J1938">
        <v>40.65</v>
      </c>
      <c r="K1938">
        <v>17</v>
      </c>
    </row>
    <row r="1939" spans="1:11" x14ac:dyDescent="0.25">
      <c r="A1939" t="s">
        <v>513</v>
      </c>
      <c r="B1939" t="s">
        <v>301</v>
      </c>
      <c r="C1939" t="s">
        <v>302</v>
      </c>
      <c r="D1939" t="s">
        <v>32</v>
      </c>
      <c r="E1939" t="s">
        <v>74</v>
      </c>
      <c r="F1939">
        <v>0.66139945065843797</v>
      </c>
      <c r="G1939">
        <v>0.92279890131687581</v>
      </c>
      <c r="H1939">
        <v>0.4</v>
      </c>
      <c r="I1939">
        <v>13269315600</v>
      </c>
      <c r="J1939">
        <v>20</v>
      </c>
      <c r="K1939">
        <v>18</v>
      </c>
    </row>
    <row r="1940" spans="1:11" x14ac:dyDescent="0.25">
      <c r="A1940" t="s">
        <v>513</v>
      </c>
      <c r="B1940" t="s">
        <v>287</v>
      </c>
      <c r="C1940" t="s">
        <v>288</v>
      </c>
      <c r="D1940" t="s">
        <v>14</v>
      </c>
      <c r="E1940" t="s">
        <v>59</v>
      </c>
      <c r="F1940">
        <v>0.65937660630720329</v>
      </c>
      <c r="G1940">
        <v>0.76875321261440643</v>
      </c>
      <c r="H1940">
        <v>0.55000000000000004</v>
      </c>
      <c r="I1940">
        <v>64126782200</v>
      </c>
      <c r="J1940">
        <v>29.6</v>
      </c>
      <c r="K1940">
        <v>19</v>
      </c>
    </row>
    <row r="1941" spans="1:11" x14ac:dyDescent="0.25">
      <c r="A1941" t="s">
        <v>513</v>
      </c>
      <c r="B1941" t="s">
        <v>68</v>
      </c>
      <c r="C1941" t="s">
        <v>69</v>
      </c>
      <c r="D1941" t="s">
        <v>32</v>
      </c>
      <c r="E1941" t="s">
        <v>33</v>
      </c>
      <c r="F1941">
        <v>0.65249452363902716</v>
      </c>
      <c r="G1941">
        <v>0.9049890472780544</v>
      </c>
      <c r="H1941">
        <v>0.4</v>
      </c>
      <c r="I1941">
        <v>18965918400</v>
      </c>
      <c r="J1941">
        <v>13.6</v>
      </c>
      <c r="K1941">
        <v>20</v>
      </c>
    </row>
    <row r="1942" spans="1:11" x14ac:dyDescent="0.25">
      <c r="A1942" t="s">
        <v>514</v>
      </c>
      <c r="B1942" t="s">
        <v>491</v>
      </c>
      <c r="C1942" t="s">
        <v>492</v>
      </c>
      <c r="D1942" t="s">
        <v>18</v>
      </c>
      <c r="E1942" t="s">
        <v>29</v>
      </c>
      <c r="F1942">
        <v>0.83741449418216884</v>
      </c>
      <c r="G1942">
        <v>0.97482898836433762</v>
      </c>
      <c r="H1942">
        <v>0.7</v>
      </c>
      <c r="I1942">
        <v>316828100000</v>
      </c>
      <c r="J1942">
        <v>17.399999999999999</v>
      </c>
      <c r="K1942">
        <v>1</v>
      </c>
    </row>
    <row r="1943" spans="1:11" x14ac:dyDescent="0.25">
      <c r="A1943" t="s">
        <v>514</v>
      </c>
      <c r="B1943" t="s">
        <v>494</v>
      </c>
      <c r="C1943" t="s">
        <v>495</v>
      </c>
      <c r="D1943" t="s">
        <v>32</v>
      </c>
      <c r="E1943" t="s">
        <v>29</v>
      </c>
      <c r="F1943">
        <v>0.8267523024073915</v>
      </c>
      <c r="G1943">
        <v>0.95350460481478294</v>
      </c>
      <c r="H1943">
        <v>0.7</v>
      </c>
      <c r="I1943">
        <v>834848266000</v>
      </c>
      <c r="J1943">
        <v>32</v>
      </c>
      <c r="K1943">
        <v>2</v>
      </c>
    </row>
    <row r="1944" spans="1:11" x14ac:dyDescent="0.25">
      <c r="A1944" t="s">
        <v>514</v>
      </c>
      <c r="B1944" t="s">
        <v>486</v>
      </c>
      <c r="C1944" t="s">
        <v>487</v>
      </c>
      <c r="D1944" t="s">
        <v>18</v>
      </c>
      <c r="E1944" t="s">
        <v>26</v>
      </c>
      <c r="F1944">
        <v>0.80480086065139367</v>
      </c>
      <c r="G1944">
        <v>0.9596017213027872</v>
      </c>
      <c r="H1944">
        <v>0.65</v>
      </c>
      <c r="I1944">
        <v>4096561000</v>
      </c>
      <c r="J1944">
        <v>4</v>
      </c>
      <c r="K1944">
        <v>3</v>
      </c>
    </row>
    <row r="1945" spans="1:11" x14ac:dyDescent="0.25">
      <c r="A1945" t="s">
        <v>514</v>
      </c>
      <c r="B1945" t="s">
        <v>418</v>
      </c>
      <c r="C1945" t="s">
        <v>419</v>
      </c>
      <c r="D1945" t="s">
        <v>32</v>
      </c>
      <c r="E1945" t="s">
        <v>74</v>
      </c>
      <c r="F1945">
        <v>0.75766075518017817</v>
      </c>
      <c r="G1945">
        <v>0.96532151036035618</v>
      </c>
      <c r="H1945">
        <v>0.55000000000000004</v>
      </c>
      <c r="I1945">
        <v>169667416000</v>
      </c>
      <c r="J1945">
        <v>13.3</v>
      </c>
      <c r="K1945">
        <v>4</v>
      </c>
    </row>
    <row r="1946" spans="1:11" x14ac:dyDescent="0.25">
      <c r="A1946" t="s">
        <v>514</v>
      </c>
      <c r="B1946" t="s">
        <v>301</v>
      </c>
      <c r="C1946" t="s">
        <v>302</v>
      </c>
      <c r="D1946" t="s">
        <v>32</v>
      </c>
      <c r="E1946" t="s">
        <v>74</v>
      </c>
      <c r="F1946">
        <v>0.74578956333541735</v>
      </c>
      <c r="G1946">
        <v>0.89157912667083472</v>
      </c>
      <c r="H1946">
        <v>0.6</v>
      </c>
      <c r="I1946">
        <v>13401607800</v>
      </c>
      <c r="J1946">
        <v>20.3</v>
      </c>
      <c r="K1946">
        <v>5</v>
      </c>
    </row>
    <row r="1947" spans="1:11" x14ac:dyDescent="0.25">
      <c r="A1947" t="s">
        <v>514</v>
      </c>
      <c r="B1947" t="s">
        <v>162</v>
      </c>
      <c r="C1947" t="s">
        <v>163</v>
      </c>
      <c r="D1947" t="s">
        <v>32</v>
      </c>
      <c r="E1947" t="s">
        <v>29</v>
      </c>
      <c r="F1947">
        <v>0.7437540924724817</v>
      </c>
      <c r="G1947">
        <v>0.98750818494496351</v>
      </c>
      <c r="H1947">
        <v>0.5</v>
      </c>
      <c r="I1947">
        <v>723655346800</v>
      </c>
      <c r="J1947">
        <v>20.65</v>
      </c>
      <c r="K1947">
        <v>6</v>
      </c>
    </row>
    <row r="1948" spans="1:11" x14ac:dyDescent="0.25">
      <c r="A1948" t="s">
        <v>514</v>
      </c>
      <c r="B1948" t="s">
        <v>506</v>
      </c>
      <c r="C1948" t="s">
        <v>507</v>
      </c>
      <c r="D1948" t="s">
        <v>32</v>
      </c>
      <c r="E1948" t="s">
        <v>33</v>
      </c>
      <c r="F1948">
        <v>0.73251108689170907</v>
      </c>
      <c r="G1948">
        <v>0.9150221737834181</v>
      </c>
      <c r="H1948">
        <v>0.55000000000000004</v>
      </c>
      <c r="I1948">
        <v>142306819400</v>
      </c>
      <c r="J1948">
        <v>30.9</v>
      </c>
      <c r="K1948">
        <v>7</v>
      </c>
    </row>
    <row r="1949" spans="1:11" x14ac:dyDescent="0.25">
      <c r="A1949" t="s">
        <v>514</v>
      </c>
      <c r="B1949" t="s">
        <v>469</v>
      </c>
      <c r="C1949" t="s">
        <v>470</v>
      </c>
      <c r="D1949" t="s">
        <v>18</v>
      </c>
      <c r="E1949" t="s">
        <v>29</v>
      </c>
      <c r="F1949">
        <v>0.71829850605835233</v>
      </c>
      <c r="G1949">
        <v>0.98659701211670459</v>
      </c>
      <c r="H1949">
        <v>0.45</v>
      </c>
      <c r="I1949">
        <v>8846825800</v>
      </c>
      <c r="J1949">
        <v>9</v>
      </c>
      <c r="K1949">
        <v>8</v>
      </c>
    </row>
    <row r="1950" spans="1:11" x14ac:dyDescent="0.25">
      <c r="A1950" t="s">
        <v>514</v>
      </c>
      <c r="B1950" t="s">
        <v>110</v>
      </c>
      <c r="C1950" t="s">
        <v>111</v>
      </c>
      <c r="D1950" t="s">
        <v>32</v>
      </c>
      <c r="E1950" t="s">
        <v>112</v>
      </c>
      <c r="F1950">
        <v>0.71033634211194996</v>
      </c>
      <c r="G1950">
        <v>0.92067268422389981</v>
      </c>
      <c r="H1950">
        <v>0.5</v>
      </c>
      <c r="I1950">
        <v>3747577120</v>
      </c>
      <c r="J1950">
        <v>6.26</v>
      </c>
      <c r="K1950">
        <v>9</v>
      </c>
    </row>
    <row r="1951" spans="1:11" x14ac:dyDescent="0.25">
      <c r="A1951" t="s">
        <v>514</v>
      </c>
      <c r="B1951" t="s">
        <v>371</v>
      </c>
      <c r="C1951" t="s">
        <v>372</v>
      </c>
      <c r="D1951" t="s">
        <v>18</v>
      </c>
      <c r="E1951" t="s">
        <v>33</v>
      </c>
      <c r="F1951">
        <v>0.70605649375150015</v>
      </c>
      <c r="G1951">
        <v>0.96211298750300034</v>
      </c>
      <c r="H1951">
        <v>0.45</v>
      </c>
      <c r="I1951">
        <v>361094763400</v>
      </c>
      <c r="J1951">
        <v>22.4</v>
      </c>
      <c r="K1951">
        <v>10</v>
      </c>
    </row>
    <row r="1952" spans="1:11" x14ac:dyDescent="0.25">
      <c r="A1952" t="s">
        <v>514</v>
      </c>
      <c r="B1952" t="s">
        <v>108</v>
      </c>
      <c r="C1952" t="s">
        <v>109</v>
      </c>
      <c r="D1952" t="s">
        <v>32</v>
      </c>
      <c r="E1952" t="s">
        <v>33</v>
      </c>
      <c r="F1952">
        <v>0.70399804195640847</v>
      </c>
      <c r="G1952">
        <v>0.90799608391281705</v>
      </c>
      <c r="H1952">
        <v>0.5</v>
      </c>
      <c r="I1952">
        <v>168284516700</v>
      </c>
      <c r="J1952">
        <v>24.6</v>
      </c>
      <c r="K1952">
        <v>11</v>
      </c>
    </row>
    <row r="1953" spans="1:11" x14ac:dyDescent="0.25">
      <c r="A1953" t="s">
        <v>514</v>
      </c>
      <c r="B1953" t="s">
        <v>460</v>
      </c>
      <c r="C1953" t="s">
        <v>461</v>
      </c>
      <c r="D1953" t="s">
        <v>32</v>
      </c>
      <c r="E1953" t="s">
        <v>39</v>
      </c>
      <c r="F1953">
        <v>0.69550099131826337</v>
      </c>
      <c r="G1953">
        <v>0.94100198263652679</v>
      </c>
      <c r="H1953">
        <v>0.45</v>
      </c>
      <c r="I1953">
        <v>63189866600</v>
      </c>
      <c r="J1953">
        <v>23.85</v>
      </c>
      <c r="K1953">
        <v>12</v>
      </c>
    </row>
    <row r="1954" spans="1:11" x14ac:dyDescent="0.25">
      <c r="A1954" t="s">
        <v>514</v>
      </c>
      <c r="B1954" t="s">
        <v>368</v>
      </c>
      <c r="C1954" t="s">
        <v>369</v>
      </c>
      <c r="D1954" t="s">
        <v>32</v>
      </c>
      <c r="E1954" t="s">
        <v>33</v>
      </c>
      <c r="F1954">
        <v>0.68679594770699604</v>
      </c>
      <c r="G1954">
        <v>0.87359189541399196</v>
      </c>
      <c r="H1954">
        <v>0.5</v>
      </c>
      <c r="I1954">
        <v>5080434800</v>
      </c>
      <c r="J1954">
        <v>28.7</v>
      </c>
      <c r="K1954">
        <v>13</v>
      </c>
    </row>
    <row r="1955" spans="1:11" x14ac:dyDescent="0.25">
      <c r="A1955" t="s">
        <v>514</v>
      </c>
      <c r="B1955" t="s">
        <v>354</v>
      </c>
      <c r="C1955" t="s">
        <v>355</v>
      </c>
      <c r="D1955" t="s">
        <v>32</v>
      </c>
      <c r="E1955" t="s">
        <v>42</v>
      </c>
      <c r="F1955">
        <v>0.67829080256070839</v>
      </c>
      <c r="G1955">
        <v>0.95658160512141666</v>
      </c>
      <c r="H1955">
        <v>0.4</v>
      </c>
      <c r="I1955">
        <v>5449969680</v>
      </c>
      <c r="J1955">
        <v>2.76</v>
      </c>
      <c r="K1955">
        <v>14</v>
      </c>
    </row>
    <row r="1956" spans="1:11" x14ac:dyDescent="0.25">
      <c r="A1956" t="s">
        <v>514</v>
      </c>
      <c r="B1956" t="s">
        <v>287</v>
      </c>
      <c r="C1956" t="s">
        <v>288</v>
      </c>
      <c r="D1956" t="s">
        <v>14</v>
      </c>
      <c r="E1956" t="s">
        <v>59</v>
      </c>
      <c r="F1956">
        <v>0.67700725078401414</v>
      </c>
      <c r="G1956">
        <v>0.75401450156802829</v>
      </c>
      <c r="H1956">
        <v>0.6</v>
      </c>
      <c r="I1956">
        <v>64339022200</v>
      </c>
      <c r="J1956">
        <v>29.8</v>
      </c>
      <c r="K1956">
        <v>15</v>
      </c>
    </row>
    <row r="1957" spans="1:11" x14ac:dyDescent="0.25">
      <c r="A1957" t="s">
        <v>514</v>
      </c>
      <c r="B1957" t="s">
        <v>68</v>
      </c>
      <c r="C1957" t="s">
        <v>69</v>
      </c>
      <c r="D1957" t="s">
        <v>32</v>
      </c>
      <c r="E1957" t="s">
        <v>33</v>
      </c>
      <c r="F1957">
        <v>0.67632886160794847</v>
      </c>
      <c r="G1957">
        <v>0.90265772321589688</v>
      </c>
      <c r="H1957">
        <v>0.45</v>
      </c>
      <c r="I1957">
        <v>19787215800</v>
      </c>
      <c r="J1957">
        <v>13.65</v>
      </c>
      <c r="K1957">
        <v>16</v>
      </c>
    </row>
    <row r="1958" spans="1:11" x14ac:dyDescent="0.25">
      <c r="A1958" t="s">
        <v>514</v>
      </c>
      <c r="B1958" t="s">
        <v>120</v>
      </c>
      <c r="C1958" t="s">
        <v>121</v>
      </c>
      <c r="D1958" t="s">
        <v>32</v>
      </c>
      <c r="E1958" t="s">
        <v>29</v>
      </c>
      <c r="F1958">
        <v>0.67203195199097543</v>
      </c>
      <c r="G1958">
        <v>0.69406390398195084</v>
      </c>
      <c r="H1958">
        <v>0.65</v>
      </c>
      <c r="I1958">
        <v>375204963800</v>
      </c>
      <c r="J1958">
        <v>41.75</v>
      </c>
      <c r="K1958">
        <v>17</v>
      </c>
    </row>
    <row r="1959" spans="1:11" x14ac:dyDescent="0.25">
      <c r="A1959" t="s">
        <v>514</v>
      </c>
      <c r="B1959" t="s">
        <v>278</v>
      </c>
      <c r="C1959" t="s">
        <v>279</v>
      </c>
      <c r="D1959" t="s">
        <v>32</v>
      </c>
      <c r="E1959" t="s">
        <v>23</v>
      </c>
      <c r="F1959">
        <v>0.66799498844135452</v>
      </c>
      <c r="G1959">
        <v>0.83598997688270915</v>
      </c>
      <c r="H1959">
        <v>0.5</v>
      </c>
      <c r="I1959">
        <v>5767615000</v>
      </c>
      <c r="J1959">
        <v>12.85</v>
      </c>
      <c r="K1959">
        <v>18</v>
      </c>
    </row>
    <row r="1960" spans="1:11" x14ac:dyDescent="0.25">
      <c r="A1960" t="s">
        <v>514</v>
      </c>
      <c r="B1960" t="s">
        <v>408</v>
      </c>
      <c r="C1960" t="s">
        <v>409</v>
      </c>
      <c r="D1960" t="s">
        <v>32</v>
      </c>
      <c r="E1960" t="s">
        <v>317</v>
      </c>
      <c r="F1960">
        <v>0.66793779212430138</v>
      </c>
      <c r="G1960">
        <v>0.93587558424860273</v>
      </c>
      <c r="H1960">
        <v>0.4</v>
      </c>
      <c r="I1960">
        <v>30863062400</v>
      </c>
      <c r="J1960">
        <v>27.85</v>
      </c>
      <c r="K1960">
        <v>19</v>
      </c>
    </row>
    <row r="1961" spans="1:11" x14ac:dyDescent="0.25">
      <c r="A1961" t="s">
        <v>514</v>
      </c>
      <c r="B1961" t="s">
        <v>403</v>
      </c>
      <c r="C1961" t="s">
        <v>404</v>
      </c>
      <c r="D1961" t="s">
        <v>32</v>
      </c>
      <c r="E1961" t="s">
        <v>33</v>
      </c>
      <c r="F1961">
        <v>0.66328047768909937</v>
      </c>
      <c r="G1961">
        <v>0.97656095537819876</v>
      </c>
      <c r="H1961">
        <v>0.35</v>
      </c>
      <c r="I1961">
        <v>5293063760</v>
      </c>
      <c r="J1961">
        <v>3.68</v>
      </c>
      <c r="K1961">
        <v>20</v>
      </c>
    </row>
    <row r="1962" spans="1:11" x14ac:dyDescent="0.25">
      <c r="A1962" t="s">
        <v>515</v>
      </c>
      <c r="B1962" t="s">
        <v>403</v>
      </c>
      <c r="C1962" t="s">
        <v>404</v>
      </c>
      <c r="D1962" t="s">
        <v>32</v>
      </c>
      <c r="E1962" t="s">
        <v>33</v>
      </c>
      <c r="F1962">
        <v>0.85710118278960756</v>
      </c>
      <c r="G1962">
        <v>0.96420236557921513</v>
      </c>
      <c r="H1962">
        <v>0.75</v>
      </c>
      <c r="I1962">
        <v>5598613820</v>
      </c>
      <c r="J1962">
        <v>3.53</v>
      </c>
      <c r="K1962">
        <v>1</v>
      </c>
    </row>
    <row r="1963" spans="1:11" x14ac:dyDescent="0.25">
      <c r="A1963" t="s">
        <v>515</v>
      </c>
      <c r="B1963" t="s">
        <v>491</v>
      </c>
      <c r="C1963" t="s">
        <v>492</v>
      </c>
      <c r="D1963" t="s">
        <v>18</v>
      </c>
      <c r="E1963" t="s">
        <v>29</v>
      </c>
      <c r="F1963">
        <v>0.81494067496177391</v>
      </c>
      <c r="G1963">
        <v>0.97988134992354781</v>
      </c>
      <c r="H1963">
        <v>0.65</v>
      </c>
      <c r="I1963">
        <v>324496866000</v>
      </c>
      <c r="J1963">
        <v>17.8</v>
      </c>
      <c r="K1963">
        <v>2</v>
      </c>
    </row>
    <row r="1964" spans="1:11" x14ac:dyDescent="0.25">
      <c r="A1964" t="s">
        <v>515</v>
      </c>
      <c r="B1964" t="s">
        <v>506</v>
      </c>
      <c r="C1964" t="s">
        <v>507</v>
      </c>
      <c r="D1964" t="s">
        <v>32</v>
      </c>
      <c r="E1964" t="s">
        <v>33</v>
      </c>
      <c r="F1964">
        <v>0.78361384161899572</v>
      </c>
      <c r="G1964">
        <v>0.96722768323799158</v>
      </c>
      <c r="H1964">
        <v>0.6</v>
      </c>
      <c r="I1964">
        <v>148046960200</v>
      </c>
      <c r="J1964">
        <v>32.200000000000003</v>
      </c>
      <c r="K1964">
        <v>3</v>
      </c>
    </row>
    <row r="1965" spans="1:11" x14ac:dyDescent="0.25">
      <c r="A1965" t="s">
        <v>515</v>
      </c>
      <c r="B1965" t="s">
        <v>345</v>
      </c>
      <c r="C1965" t="s">
        <v>346</v>
      </c>
      <c r="D1965" t="s">
        <v>32</v>
      </c>
      <c r="E1965" t="s">
        <v>23</v>
      </c>
      <c r="F1965">
        <v>0.77779485650742497</v>
      </c>
      <c r="G1965">
        <v>0.85558971301484998</v>
      </c>
      <c r="H1965">
        <v>0.7</v>
      </c>
      <c r="I1965">
        <v>151675738700</v>
      </c>
      <c r="J1965">
        <v>18.899999999999999</v>
      </c>
      <c r="K1965">
        <v>4</v>
      </c>
    </row>
    <row r="1966" spans="1:11" x14ac:dyDescent="0.25">
      <c r="A1966" t="s">
        <v>515</v>
      </c>
      <c r="B1966" t="s">
        <v>494</v>
      </c>
      <c r="C1966" t="s">
        <v>495</v>
      </c>
      <c r="D1966" t="s">
        <v>32</v>
      </c>
      <c r="E1966" t="s">
        <v>29</v>
      </c>
      <c r="F1966">
        <v>0.7748650939457371</v>
      </c>
      <c r="G1966">
        <v>0.94973018789147434</v>
      </c>
      <c r="H1966">
        <v>0.6</v>
      </c>
      <c r="I1966">
        <v>845626052000</v>
      </c>
      <c r="J1966">
        <v>32.25</v>
      </c>
      <c r="K1966">
        <v>5</v>
      </c>
    </row>
    <row r="1967" spans="1:11" x14ac:dyDescent="0.25">
      <c r="A1967" t="s">
        <v>515</v>
      </c>
      <c r="B1967" t="s">
        <v>110</v>
      </c>
      <c r="C1967" t="s">
        <v>111</v>
      </c>
      <c r="D1967" t="s">
        <v>32</v>
      </c>
      <c r="E1967" t="s">
        <v>112</v>
      </c>
      <c r="F1967">
        <v>0.76009213122061614</v>
      </c>
      <c r="G1967">
        <v>0.9201842624412323</v>
      </c>
      <c r="H1967">
        <v>0.6</v>
      </c>
      <c r="I1967">
        <v>3777333920</v>
      </c>
      <c r="J1967">
        <v>6.26</v>
      </c>
      <c r="K1967">
        <v>6</v>
      </c>
    </row>
    <row r="1968" spans="1:11" x14ac:dyDescent="0.25">
      <c r="A1968" t="s">
        <v>515</v>
      </c>
      <c r="B1968" t="s">
        <v>418</v>
      </c>
      <c r="C1968" t="s">
        <v>419</v>
      </c>
      <c r="D1968" t="s">
        <v>32</v>
      </c>
      <c r="E1968" t="s">
        <v>74</v>
      </c>
      <c r="F1968">
        <v>0.75182896682491318</v>
      </c>
      <c r="G1968">
        <v>0.95365793364982632</v>
      </c>
      <c r="H1968">
        <v>0.55000000000000004</v>
      </c>
      <c r="I1968">
        <v>174595037040</v>
      </c>
      <c r="J1968">
        <v>13.15</v>
      </c>
      <c r="K1968">
        <v>7</v>
      </c>
    </row>
    <row r="1969" spans="1:11" x14ac:dyDescent="0.25">
      <c r="A1969" t="s">
        <v>515</v>
      </c>
      <c r="B1969" t="s">
        <v>108</v>
      </c>
      <c r="C1969" t="s">
        <v>109</v>
      </c>
      <c r="D1969" t="s">
        <v>32</v>
      </c>
      <c r="E1969" t="s">
        <v>33</v>
      </c>
      <c r="F1969">
        <v>0.74173039465888535</v>
      </c>
      <c r="G1969">
        <v>0.93346078931777077</v>
      </c>
      <c r="H1969">
        <v>0.55000000000000004</v>
      </c>
      <c r="I1969">
        <v>170678963900</v>
      </c>
      <c r="J1969">
        <v>24.95</v>
      </c>
      <c r="K1969">
        <v>8</v>
      </c>
    </row>
    <row r="1970" spans="1:11" x14ac:dyDescent="0.25">
      <c r="A1970" t="s">
        <v>515</v>
      </c>
      <c r="B1970" t="s">
        <v>486</v>
      </c>
      <c r="C1970" t="s">
        <v>487</v>
      </c>
      <c r="D1970" t="s">
        <v>18</v>
      </c>
      <c r="E1970" t="s">
        <v>26</v>
      </c>
      <c r="F1970">
        <v>0.73902020006388613</v>
      </c>
      <c r="G1970">
        <v>0.97804040012777238</v>
      </c>
      <c r="H1970">
        <v>0.5</v>
      </c>
      <c r="I1970">
        <v>4224994200</v>
      </c>
      <c r="J1970">
        <v>4.2</v>
      </c>
      <c r="K1970">
        <v>9</v>
      </c>
    </row>
    <row r="1971" spans="1:11" x14ac:dyDescent="0.25">
      <c r="A1971" t="s">
        <v>515</v>
      </c>
      <c r="B1971" t="s">
        <v>371</v>
      </c>
      <c r="C1971" t="s">
        <v>372</v>
      </c>
      <c r="D1971" t="s">
        <v>18</v>
      </c>
      <c r="E1971" t="s">
        <v>33</v>
      </c>
      <c r="F1971">
        <v>0.72403660111541901</v>
      </c>
      <c r="G1971">
        <v>0.94807320223083802</v>
      </c>
      <c r="H1971">
        <v>0.5</v>
      </c>
      <c r="I1971">
        <v>370959255400</v>
      </c>
      <c r="J1971">
        <v>22</v>
      </c>
      <c r="K1971">
        <v>10</v>
      </c>
    </row>
    <row r="1972" spans="1:11" x14ac:dyDescent="0.25">
      <c r="A1972" t="s">
        <v>515</v>
      </c>
      <c r="B1972" t="s">
        <v>380</v>
      </c>
      <c r="C1972" t="s">
        <v>381</v>
      </c>
      <c r="D1972" t="s">
        <v>18</v>
      </c>
      <c r="E1972" t="s">
        <v>382</v>
      </c>
      <c r="F1972">
        <v>0.70586840489621716</v>
      </c>
      <c r="G1972">
        <v>0.66173680979243443</v>
      </c>
      <c r="H1972">
        <v>0.75</v>
      </c>
      <c r="I1972">
        <v>5440627200</v>
      </c>
      <c r="J1972">
        <v>31.5</v>
      </c>
      <c r="K1972">
        <v>11</v>
      </c>
    </row>
    <row r="1973" spans="1:11" x14ac:dyDescent="0.25">
      <c r="A1973" t="s">
        <v>515</v>
      </c>
      <c r="B1973" t="s">
        <v>55</v>
      </c>
      <c r="C1973" t="s">
        <v>56</v>
      </c>
      <c r="D1973" t="s">
        <v>32</v>
      </c>
      <c r="E1973" t="s">
        <v>29</v>
      </c>
      <c r="F1973">
        <v>0.69961889356422147</v>
      </c>
      <c r="G1973">
        <v>0.94923778712844298</v>
      </c>
      <c r="H1973">
        <v>0.45</v>
      </c>
      <c r="I1973">
        <v>73824558300</v>
      </c>
      <c r="J1973">
        <v>36.799999999999997</v>
      </c>
      <c r="K1973">
        <v>12</v>
      </c>
    </row>
    <row r="1974" spans="1:11" x14ac:dyDescent="0.25">
      <c r="A1974" t="s">
        <v>515</v>
      </c>
      <c r="B1974" t="s">
        <v>120</v>
      </c>
      <c r="C1974" t="s">
        <v>121</v>
      </c>
      <c r="D1974" t="s">
        <v>32</v>
      </c>
      <c r="E1974" t="s">
        <v>29</v>
      </c>
      <c r="F1974">
        <v>0.68861563052152885</v>
      </c>
      <c r="G1974">
        <v>0.67723126104305775</v>
      </c>
      <c r="H1974">
        <v>0.7</v>
      </c>
      <c r="I1974">
        <v>377287402600</v>
      </c>
      <c r="J1974">
        <v>41.6</v>
      </c>
      <c r="K1974">
        <v>13</v>
      </c>
    </row>
    <row r="1975" spans="1:11" x14ac:dyDescent="0.25">
      <c r="A1975" t="s">
        <v>515</v>
      </c>
      <c r="B1975" t="s">
        <v>368</v>
      </c>
      <c r="C1975" t="s">
        <v>369</v>
      </c>
      <c r="D1975" t="s">
        <v>32</v>
      </c>
      <c r="E1975" t="s">
        <v>33</v>
      </c>
      <c r="F1975">
        <v>0.68679594770699604</v>
      </c>
      <c r="G1975">
        <v>0.87359189541399196</v>
      </c>
      <c r="H1975">
        <v>0.5</v>
      </c>
      <c r="I1975">
        <v>5080434800</v>
      </c>
      <c r="J1975">
        <v>28.7</v>
      </c>
      <c r="K1975">
        <v>14</v>
      </c>
    </row>
    <row r="1976" spans="1:11" x14ac:dyDescent="0.25">
      <c r="A1976" t="s">
        <v>515</v>
      </c>
      <c r="B1976" t="s">
        <v>287</v>
      </c>
      <c r="C1976" t="s">
        <v>288</v>
      </c>
      <c r="D1976" t="s">
        <v>14</v>
      </c>
      <c r="E1976" t="s">
        <v>59</v>
      </c>
      <c r="F1976">
        <v>0.68199934862686307</v>
      </c>
      <c r="G1976">
        <v>0.81399869725372609</v>
      </c>
      <c r="H1976">
        <v>0.55000000000000004</v>
      </c>
      <c r="I1976">
        <v>64426929800</v>
      </c>
      <c r="J1976">
        <v>30.3</v>
      </c>
      <c r="K1976">
        <v>15</v>
      </c>
    </row>
    <row r="1977" spans="1:11" x14ac:dyDescent="0.25">
      <c r="A1977" t="s">
        <v>515</v>
      </c>
      <c r="B1977" t="s">
        <v>301</v>
      </c>
      <c r="C1977" t="s">
        <v>302</v>
      </c>
      <c r="D1977" t="s">
        <v>32</v>
      </c>
      <c r="E1977" t="s">
        <v>74</v>
      </c>
      <c r="F1977">
        <v>0.68017639813510711</v>
      </c>
      <c r="G1977">
        <v>0.91035279627021426</v>
      </c>
      <c r="H1977">
        <v>0.45</v>
      </c>
      <c r="I1977">
        <v>13605855200</v>
      </c>
      <c r="J1977">
        <v>20.9</v>
      </c>
      <c r="K1977">
        <v>16</v>
      </c>
    </row>
    <row r="1978" spans="1:11" x14ac:dyDescent="0.25">
      <c r="A1978" t="s">
        <v>515</v>
      </c>
      <c r="B1978" t="s">
        <v>408</v>
      </c>
      <c r="C1978" t="s">
        <v>409</v>
      </c>
      <c r="D1978" t="s">
        <v>32</v>
      </c>
      <c r="E1978" t="s">
        <v>317</v>
      </c>
      <c r="F1978">
        <v>0.6773238651677207</v>
      </c>
      <c r="G1978">
        <v>0.95464773033544126</v>
      </c>
      <c r="H1978">
        <v>0.4</v>
      </c>
      <c r="I1978">
        <v>31564757800</v>
      </c>
      <c r="J1978">
        <v>28.95</v>
      </c>
      <c r="K1978">
        <v>17</v>
      </c>
    </row>
    <row r="1979" spans="1:11" x14ac:dyDescent="0.25">
      <c r="A1979" t="s">
        <v>515</v>
      </c>
      <c r="B1979" t="s">
        <v>460</v>
      </c>
      <c r="C1979" t="s">
        <v>461</v>
      </c>
      <c r="D1979" t="s">
        <v>32</v>
      </c>
      <c r="E1979" t="s">
        <v>39</v>
      </c>
      <c r="F1979">
        <v>0.6746102137330422</v>
      </c>
      <c r="G1979">
        <v>0.89922042746608444</v>
      </c>
      <c r="H1979">
        <v>0.45</v>
      </c>
      <c r="I1979">
        <v>64742472600</v>
      </c>
      <c r="J1979">
        <v>23.8</v>
      </c>
      <c r="K1979">
        <v>18</v>
      </c>
    </row>
    <row r="1980" spans="1:11" x14ac:dyDescent="0.25">
      <c r="A1980" t="s">
        <v>515</v>
      </c>
      <c r="B1980" t="s">
        <v>453</v>
      </c>
      <c r="C1980" t="s">
        <v>454</v>
      </c>
      <c r="D1980" t="s">
        <v>32</v>
      </c>
      <c r="E1980" t="s">
        <v>33</v>
      </c>
      <c r="F1980">
        <v>0.67360146414103506</v>
      </c>
      <c r="G1980">
        <v>0.6972029282820702</v>
      </c>
      <c r="H1980">
        <v>0.65</v>
      </c>
      <c r="I1980">
        <v>7686126400</v>
      </c>
      <c r="J1980">
        <v>35.9</v>
      </c>
      <c r="K1980">
        <v>19</v>
      </c>
    </row>
    <row r="1981" spans="1:11" x14ac:dyDescent="0.25">
      <c r="A1981" t="s">
        <v>515</v>
      </c>
      <c r="B1981" t="s">
        <v>469</v>
      </c>
      <c r="C1981" t="s">
        <v>470</v>
      </c>
      <c r="D1981" t="s">
        <v>18</v>
      </c>
      <c r="E1981" t="s">
        <v>29</v>
      </c>
      <c r="F1981">
        <v>0.66220439848880952</v>
      </c>
      <c r="G1981">
        <v>0.97440879697761906</v>
      </c>
      <c r="H1981">
        <v>0.35</v>
      </c>
      <c r="I1981">
        <v>9055817800</v>
      </c>
      <c r="J1981">
        <v>8.6999999999999993</v>
      </c>
      <c r="K1981">
        <v>20</v>
      </c>
    </row>
    <row r="1982" spans="1:11" x14ac:dyDescent="0.25">
      <c r="A1982" t="s">
        <v>516</v>
      </c>
      <c r="B1982" t="s">
        <v>403</v>
      </c>
      <c r="C1982" t="s">
        <v>404</v>
      </c>
      <c r="D1982" t="s">
        <v>32</v>
      </c>
      <c r="E1982" t="s">
        <v>33</v>
      </c>
      <c r="F1982">
        <v>0.83563303239347619</v>
      </c>
      <c r="G1982">
        <v>0.92126606478695228</v>
      </c>
      <c r="H1982">
        <v>0.75</v>
      </c>
      <c r="I1982">
        <v>5657956760</v>
      </c>
      <c r="J1982">
        <v>3.53</v>
      </c>
      <c r="K1982">
        <v>1</v>
      </c>
    </row>
    <row r="1983" spans="1:11" x14ac:dyDescent="0.25">
      <c r="A1983" t="s">
        <v>516</v>
      </c>
      <c r="B1983" t="s">
        <v>494</v>
      </c>
      <c r="C1983" t="s">
        <v>495</v>
      </c>
      <c r="D1983" t="s">
        <v>32</v>
      </c>
      <c r="E1983" t="s">
        <v>29</v>
      </c>
      <c r="F1983">
        <v>0.81657068489061746</v>
      </c>
      <c r="G1983">
        <v>0.93314136978123496</v>
      </c>
      <c r="H1983">
        <v>0.7</v>
      </c>
      <c r="I1983">
        <v>861868882400</v>
      </c>
      <c r="J1983">
        <v>32</v>
      </c>
      <c r="K1983">
        <v>2</v>
      </c>
    </row>
    <row r="1984" spans="1:11" x14ac:dyDescent="0.25">
      <c r="A1984" t="s">
        <v>516</v>
      </c>
      <c r="B1984" t="s">
        <v>110</v>
      </c>
      <c r="C1984" t="s">
        <v>111</v>
      </c>
      <c r="D1984" t="s">
        <v>32</v>
      </c>
      <c r="E1984" t="s">
        <v>112</v>
      </c>
      <c r="F1984">
        <v>0.79505697568637268</v>
      </c>
      <c r="G1984">
        <v>0.8901139513727454</v>
      </c>
      <c r="H1984">
        <v>0.7</v>
      </c>
      <c r="I1984">
        <v>3786872160</v>
      </c>
      <c r="J1984">
        <v>6.28</v>
      </c>
      <c r="K1984">
        <v>3</v>
      </c>
    </row>
    <row r="1985" spans="1:11" x14ac:dyDescent="0.25">
      <c r="A1985" t="s">
        <v>516</v>
      </c>
      <c r="B1985" t="s">
        <v>491</v>
      </c>
      <c r="C1985" t="s">
        <v>492</v>
      </c>
      <c r="D1985" t="s">
        <v>18</v>
      </c>
      <c r="E1985" t="s">
        <v>29</v>
      </c>
      <c r="F1985">
        <v>0.76244809026121907</v>
      </c>
      <c r="G1985">
        <v>0.97489618052243809</v>
      </c>
      <c r="H1985">
        <v>0.55000000000000004</v>
      </c>
      <c r="I1985">
        <v>330849700000</v>
      </c>
      <c r="J1985">
        <v>17.8</v>
      </c>
      <c r="K1985">
        <v>4</v>
      </c>
    </row>
    <row r="1986" spans="1:11" x14ac:dyDescent="0.25">
      <c r="A1986" t="s">
        <v>516</v>
      </c>
      <c r="B1986" t="s">
        <v>469</v>
      </c>
      <c r="C1986" t="s">
        <v>470</v>
      </c>
      <c r="D1986" t="s">
        <v>18</v>
      </c>
      <c r="E1986" t="s">
        <v>29</v>
      </c>
      <c r="F1986">
        <v>0.73947187666132375</v>
      </c>
      <c r="G1986">
        <v>0.9789437533226476</v>
      </c>
      <c r="H1986">
        <v>0.5</v>
      </c>
      <c r="I1986">
        <v>9355429400</v>
      </c>
      <c r="J1986">
        <v>9</v>
      </c>
      <c r="K1986">
        <v>5</v>
      </c>
    </row>
    <row r="1987" spans="1:11" x14ac:dyDescent="0.25">
      <c r="A1987" t="s">
        <v>516</v>
      </c>
      <c r="B1987" t="s">
        <v>506</v>
      </c>
      <c r="C1987" t="s">
        <v>507</v>
      </c>
      <c r="D1987" t="s">
        <v>32</v>
      </c>
      <c r="E1987" t="s">
        <v>33</v>
      </c>
      <c r="F1987">
        <v>0.73395750294415218</v>
      </c>
      <c r="G1987">
        <v>0.96791500588830437</v>
      </c>
      <c r="H1987">
        <v>0.5</v>
      </c>
      <c r="I1987">
        <v>150640545200</v>
      </c>
      <c r="J1987">
        <v>32.950000000000003</v>
      </c>
      <c r="K1987">
        <v>6</v>
      </c>
    </row>
    <row r="1988" spans="1:11" x14ac:dyDescent="0.25">
      <c r="A1988" t="s">
        <v>516</v>
      </c>
      <c r="B1988" t="s">
        <v>108</v>
      </c>
      <c r="C1988" t="s">
        <v>109</v>
      </c>
      <c r="D1988" t="s">
        <v>32</v>
      </c>
      <c r="E1988" t="s">
        <v>33</v>
      </c>
      <c r="F1988">
        <v>0.71599941247117571</v>
      </c>
      <c r="G1988">
        <v>0.93199882494235131</v>
      </c>
      <c r="H1988">
        <v>0.5</v>
      </c>
      <c r="I1988">
        <v>170262345300</v>
      </c>
      <c r="J1988">
        <v>25.25</v>
      </c>
      <c r="K1988">
        <v>7</v>
      </c>
    </row>
    <row r="1989" spans="1:11" x14ac:dyDescent="0.25">
      <c r="A1989" t="s">
        <v>516</v>
      </c>
      <c r="B1989" t="s">
        <v>354</v>
      </c>
      <c r="C1989" t="s">
        <v>355</v>
      </c>
      <c r="D1989" t="s">
        <v>32</v>
      </c>
      <c r="E1989" t="s">
        <v>42</v>
      </c>
      <c r="F1989">
        <v>0.71278717644045397</v>
      </c>
      <c r="G1989">
        <v>0.97557435288090788</v>
      </c>
      <c r="H1989">
        <v>0.45</v>
      </c>
      <c r="I1989">
        <v>5851101940</v>
      </c>
      <c r="J1989">
        <v>3.14</v>
      </c>
      <c r="K1989">
        <v>8</v>
      </c>
    </row>
    <row r="1990" spans="1:11" x14ac:dyDescent="0.25">
      <c r="A1990" t="s">
        <v>516</v>
      </c>
      <c r="B1990" t="s">
        <v>371</v>
      </c>
      <c r="C1990" t="s">
        <v>372</v>
      </c>
      <c r="D1990" t="s">
        <v>18</v>
      </c>
      <c r="E1990" t="s">
        <v>33</v>
      </c>
      <c r="F1990">
        <v>0.69452448712303427</v>
      </c>
      <c r="G1990">
        <v>0.93904897424606859</v>
      </c>
      <c r="H1990">
        <v>0.45</v>
      </c>
      <c r="I1990">
        <v>376112255800</v>
      </c>
      <c r="J1990">
        <v>22.2</v>
      </c>
      <c r="K1990">
        <v>9</v>
      </c>
    </row>
    <row r="1991" spans="1:11" x14ac:dyDescent="0.25">
      <c r="A1991" t="s">
        <v>516</v>
      </c>
      <c r="B1991" t="s">
        <v>517</v>
      </c>
      <c r="C1991" t="s">
        <v>518</v>
      </c>
      <c r="D1991" t="s">
        <v>14</v>
      </c>
      <c r="E1991" t="s">
        <v>33</v>
      </c>
      <c r="F1991">
        <v>0.69240220320362222</v>
      </c>
      <c r="G1991">
        <v>0.98480440640724443</v>
      </c>
      <c r="H1991">
        <v>0.4</v>
      </c>
      <c r="I1991">
        <v>3016438200</v>
      </c>
      <c r="J1991">
        <v>17</v>
      </c>
      <c r="K1991">
        <v>10</v>
      </c>
    </row>
    <row r="1992" spans="1:11" x14ac:dyDescent="0.25">
      <c r="A1992" t="s">
        <v>516</v>
      </c>
      <c r="B1992" t="s">
        <v>368</v>
      </c>
      <c r="C1992" t="s">
        <v>369</v>
      </c>
      <c r="D1992" t="s">
        <v>32</v>
      </c>
      <c r="E1992" t="s">
        <v>33</v>
      </c>
      <c r="F1992">
        <v>0.68679594770699604</v>
      </c>
      <c r="G1992">
        <v>0.87359189541399196</v>
      </c>
      <c r="H1992">
        <v>0.5</v>
      </c>
      <c r="I1992">
        <v>5080434800</v>
      </c>
      <c r="J1992">
        <v>28.7</v>
      </c>
      <c r="K1992">
        <v>11</v>
      </c>
    </row>
    <row r="1993" spans="1:11" x14ac:dyDescent="0.25">
      <c r="A1993" t="s">
        <v>516</v>
      </c>
      <c r="B1993" t="s">
        <v>55</v>
      </c>
      <c r="C1993" t="s">
        <v>56</v>
      </c>
      <c r="D1993" t="s">
        <v>32</v>
      </c>
      <c r="E1993" t="s">
        <v>29</v>
      </c>
      <c r="F1993">
        <v>0.67401179789210108</v>
      </c>
      <c r="G1993">
        <v>0.94802359578420214</v>
      </c>
      <c r="H1993">
        <v>0.4</v>
      </c>
      <c r="I1993">
        <v>75877566600</v>
      </c>
      <c r="J1993">
        <v>38.15</v>
      </c>
      <c r="K1993">
        <v>12</v>
      </c>
    </row>
    <row r="1994" spans="1:11" x14ac:dyDescent="0.25">
      <c r="A1994" t="s">
        <v>516</v>
      </c>
      <c r="B1994" t="s">
        <v>171</v>
      </c>
      <c r="C1994" t="s">
        <v>172</v>
      </c>
      <c r="D1994" t="s">
        <v>32</v>
      </c>
      <c r="E1994" t="s">
        <v>33</v>
      </c>
      <c r="F1994">
        <v>0.67345211260602933</v>
      </c>
      <c r="G1994">
        <v>0.94690422521205875</v>
      </c>
      <c r="H1994">
        <v>0.4</v>
      </c>
      <c r="I1994">
        <v>41860677700</v>
      </c>
      <c r="J1994">
        <v>11.3</v>
      </c>
      <c r="K1994">
        <v>13</v>
      </c>
    </row>
    <row r="1995" spans="1:11" x14ac:dyDescent="0.25">
      <c r="A1995" t="s">
        <v>516</v>
      </c>
      <c r="B1995" t="s">
        <v>380</v>
      </c>
      <c r="C1995" t="s">
        <v>381</v>
      </c>
      <c r="D1995" t="s">
        <v>18</v>
      </c>
      <c r="E1995" t="s">
        <v>382</v>
      </c>
      <c r="F1995">
        <v>0.66915732722404764</v>
      </c>
      <c r="G1995">
        <v>0.58831465444809539</v>
      </c>
      <c r="H1995">
        <v>0.75</v>
      </c>
      <c r="I1995">
        <v>5540009400</v>
      </c>
      <c r="J1995">
        <v>31.5</v>
      </c>
      <c r="K1995">
        <v>14</v>
      </c>
    </row>
    <row r="1996" spans="1:11" x14ac:dyDescent="0.25">
      <c r="A1996" t="s">
        <v>516</v>
      </c>
      <c r="B1996" t="s">
        <v>301</v>
      </c>
      <c r="C1996" t="s">
        <v>302</v>
      </c>
      <c r="D1996" t="s">
        <v>32</v>
      </c>
      <c r="E1996" t="s">
        <v>74</v>
      </c>
      <c r="F1996">
        <v>0.66737756166274653</v>
      </c>
      <c r="G1996">
        <v>0.88475512332549311</v>
      </c>
      <c r="H1996">
        <v>0.45</v>
      </c>
      <c r="I1996">
        <v>13692383600</v>
      </c>
      <c r="J1996">
        <v>20.8</v>
      </c>
      <c r="K1996">
        <v>15</v>
      </c>
    </row>
    <row r="1997" spans="1:11" x14ac:dyDescent="0.25">
      <c r="A1997" t="s">
        <v>516</v>
      </c>
      <c r="B1997" t="s">
        <v>21</v>
      </c>
      <c r="C1997" t="s">
        <v>22</v>
      </c>
      <c r="D1997" t="s">
        <v>14</v>
      </c>
      <c r="E1997" t="s">
        <v>23</v>
      </c>
      <c r="F1997">
        <v>0.65912945296782199</v>
      </c>
      <c r="G1997">
        <v>0.66825890593564397</v>
      </c>
      <c r="H1997">
        <v>0.65</v>
      </c>
      <c r="I1997">
        <v>4288997000</v>
      </c>
      <c r="J1997">
        <v>8.1999999999999993</v>
      </c>
      <c r="K1997">
        <v>16</v>
      </c>
    </row>
    <row r="1998" spans="1:11" x14ac:dyDescent="0.25">
      <c r="A1998" t="s">
        <v>516</v>
      </c>
      <c r="B1998" t="s">
        <v>287</v>
      </c>
      <c r="C1998" t="s">
        <v>288</v>
      </c>
      <c r="D1998" t="s">
        <v>14</v>
      </c>
      <c r="E1998" t="s">
        <v>59</v>
      </c>
      <c r="F1998">
        <v>0.65811259273269718</v>
      </c>
      <c r="G1998">
        <v>0.81622518546539446</v>
      </c>
      <c r="H1998">
        <v>0.5</v>
      </c>
      <c r="I1998">
        <v>63119187400</v>
      </c>
      <c r="J1998">
        <v>30.8</v>
      </c>
      <c r="K1998">
        <v>17</v>
      </c>
    </row>
    <row r="1999" spans="1:11" x14ac:dyDescent="0.25">
      <c r="A1999" t="s">
        <v>516</v>
      </c>
      <c r="B1999" t="s">
        <v>498</v>
      </c>
      <c r="C1999" t="s">
        <v>499</v>
      </c>
      <c r="D1999" t="s">
        <v>14</v>
      </c>
      <c r="E1999" t="s">
        <v>33</v>
      </c>
      <c r="F1999">
        <v>0.64519811870704924</v>
      </c>
      <c r="G1999">
        <v>0.94039623741409839</v>
      </c>
      <c r="H1999">
        <v>0.35</v>
      </c>
      <c r="I1999">
        <v>3029919600</v>
      </c>
      <c r="J1999">
        <v>22.9</v>
      </c>
      <c r="K1999">
        <v>18</v>
      </c>
    </row>
    <row r="2000" spans="1:11" x14ac:dyDescent="0.25">
      <c r="A2000" t="s">
        <v>516</v>
      </c>
      <c r="B2000" t="s">
        <v>164</v>
      </c>
      <c r="C2000" t="s">
        <v>165</v>
      </c>
      <c r="D2000" t="s">
        <v>32</v>
      </c>
      <c r="E2000" t="s">
        <v>33</v>
      </c>
      <c r="F2000">
        <v>0.6440800812141676</v>
      </c>
      <c r="G2000">
        <v>0.93816016242833522</v>
      </c>
      <c r="H2000">
        <v>0.35</v>
      </c>
      <c r="I2000">
        <v>416454169600</v>
      </c>
      <c r="J2000">
        <v>116</v>
      </c>
      <c r="K2000">
        <v>19</v>
      </c>
    </row>
    <row r="2001" spans="1:11" x14ac:dyDescent="0.25">
      <c r="A2001" t="s">
        <v>516</v>
      </c>
      <c r="B2001" t="s">
        <v>418</v>
      </c>
      <c r="C2001" t="s">
        <v>419</v>
      </c>
      <c r="D2001" t="s">
        <v>32</v>
      </c>
      <c r="E2001" t="s">
        <v>74</v>
      </c>
      <c r="F2001">
        <v>0.64247487151152827</v>
      </c>
      <c r="G2001">
        <v>0.9849497430230566</v>
      </c>
      <c r="H2001">
        <v>0.3</v>
      </c>
      <c r="I2001">
        <v>182718583540</v>
      </c>
      <c r="J2001">
        <v>13.95</v>
      </c>
      <c r="K2001">
        <v>20</v>
      </c>
    </row>
    <row r="2002" spans="1:11" x14ac:dyDescent="0.25">
      <c r="A2002" t="s">
        <v>519</v>
      </c>
      <c r="B2002" t="s">
        <v>135</v>
      </c>
      <c r="C2002" t="s">
        <v>136</v>
      </c>
      <c r="D2002" t="s">
        <v>32</v>
      </c>
      <c r="E2002" t="s">
        <v>29</v>
      </c>
      <c r="F2002">
        <v>0.90213781637630031</v>
      </c>
      <c r="G2002">
        <v>0.95427563275260052</v>
      </c>
      <c r="H2002">
        <v>0.85</v>
      </c>
      <c r="I2002">
        <v>498698411200</v>
      </c>
      <c r="J2002">
        <v>21.15</v>
      </c>
      <c r="K2002">
        <v>1</v>
      </c>
    </row>
    <row r="2003" spans="1:11" x14ac:dyDescent="0.25">
      <c r="A2003" t="s">
        <v>519</v>
      </c>
      <c r="B2003" t="s">
        <v>403</v>
      </c>
      <c r="C2003" t="s">
        <v>404</v>
      </c>
      <c r="D2003" t="s">
        <v>32</v>
      </c>
      <c r="E2003" t="s">
        <v>33</v>
      </c>
      <c r="F2003">
        <v>0.88636566173248055</v>
      </c>
      <c r="G2003">
        <v>0.92273132346496112</v>
      </c>
      <c r="H2003">
        <v>0.85</v>
      </c>
      <c r="I2003">
        <v>5750889400</v>
      </c>
      <c r="J2003">
        <v>3.56</v>
      </c>
      <c r="K2003">
        <v>2</v>
      </c>
    </row>
    <row r="2004" spans="1:11" x14ac:dyDescent="0.25">
      <c r="A2004" t="s">
        <v>519</v>
      </c>
      <c r="B2004" t="s">
        <v>494</v>
      </c>
      <c r="C2004" t="s">
        <v>495</v>
      </c>
      <c r="D2004" t="s">
        <v>32</v>
      </c>
      <c r="E2004" t="s">
        <v>29</v>
      </c>
      <c r="F2004">
        <v>0.86370958008227805</v>
      </c>
      <c r="G2004">
        <v>0.97741916016455599</v>
      </c>
      <c r="H2004">
        <v>0.75</v>
      </c>
      <c r="I2004">
        <v>889790117800</v>
      </c>
      <c r="J2004">
        <v>34</v>
      </c>
      <c r="K2004">
        <v>3</v>
      </c>
    </row>
    <row r="2005" spans="1:11" x14ac:dyDescent="0.25">
      <c r="A2005" t="s">
        <v>519</v>
      </c>
      <c r="B2005" t="s">
        <v>469</v>
      </c>
      <c r="C2005" t="s">
        <v>470</v>
      </c>
      <c r="D2005" t="s">
        <v>18</v>
      </c>
      <c r="E2005" t="s">
        <v>29</v>
      </c>
      <c r="F2005">
        <v>0.8460246110546511</v>
      </c>
      <c r="G2005">
        <v>0.99204922210930224</v>
      </c>
      <c r="H2005">
        <v>0.7</v>
      </c>
      <c r="I2005">
        <v>10378658000</v>
      </c>
      <c r="J2005">
        <v>9.9</v>
      </c>
      <c r="K2005">
        <v>4</v>
      </c>
    </row>
    <row r="2006" spans="1:11" x14ac:dyDescent="0.25">
      <c r="A2006" t="s">
        <v>519</v>
      </c>
      <c r="B2006" t="s">
        <v>278</v>
      </c>
      <c r="C2006" t="s">
        <v>279</v>
      </c>
      <c r="D2006" t="s">
        <v>32</v>
      </c>
      <c r="E2006" t="s">
        <v>23</v>
      </c>
      <c r="F2006">
        <v>0.81063407472013749</v>
      </c>
      <c r="G2006">
        <v>0.92126814944027491</v>
      </c>
      <c r="H2006">
        <v>0.7</v>
      </c>
      <c r="I2006">
        <v>5686332200</v>
      </c>
      <c r="J2006">
        <v>13.3</v>
      </c>
      <c r="K2006">
        <v>5</v>
      </c>
    </row>
    <row r="2007" spans="1:11" x14ac:dyDescent="0.25">
      <c r="A2007" t="s">
        <v>519</v>
      </c>
      <c r="B2007" t="s">
        <v>491</v>
      </c>
      <c r="C2007" t="s">
        <v>492</v>
      </c>
      <c r="D2007" t="s">
        <v>18</v>
      </c>
      <c r="E2007" t="s">
        <v>29</v>
      </c>
      <c r="F2007">
        <v>0.79299947990136188</v>
      </c>
      <c r="G2007">
        <v>0.98599895980272378</v>
      </c>
      <c r="H2007">
        <v>0.6</v>
      </c>
      <c r="I2007">
        <v>344004226800</v>
      </c>
      <c r="J2007">
        <v>18.600000000000001</v>
      </c>
      <c r="K2007">
        <v>6</v>
      </c>
    </row>
    <row r="2008" spans="1:11" x14ac:dyDescent="0.25">
      <c r="A2008" t="s">
        <v>519</v>
      </c>
      <c r="B2008" t="s">
        <v>520</v>
      </c>
      <c r="C2008" t="s">
        <v>521</v>
      </c>
      <c r="D2008" t="s">
        <v>32</v>
      </c>
      <c r="E2008" t="s">
        <v>33</v>
      </c>
      <c r="F2008">
        <v>0.78848948572931077</v>
      </c>
      <c r="G2008">
        <v>0.9269789714586214</v>
      </c>
      <c r="H2008">
        <v>0.65</v>
      </c>
      <c r="I2008">
        <v>361962534700</v>
      </c>
      <c r="J2008">
        <v>21.8</v>
      </c>
      <c r="K2008">
        <v>7</v>
      </c>
    </row>
    <row r="2009" spans="1:11" x14ac:dyDescent="0.25">
      <c r="A2009" t="s">
        <v>519</v>
      </c>
      <c r="B2009" t="s">
        <v>164</v>
      </c>
      <c r="C2009" t="s">
        <v>165</v>
      </c>
      <c r="D2009" t="s">
        <v>32</v>
      </c>
      <c r="E2009" t="s">
        <v>33</v>
      </c>
      <c r="F2009">
        <v>0.76898970108487052</v>
      </c>
      <c r="G2009">
        <v>0.88797940216974103</v>
      </c>
      <c r="H2009">
        <v>0.65</v>
      </c>
      <c r="I2009">
        <v>416722469400</v>
      </c>
      <c r="J2009">
        <v>114.1</v>
      </c>
      <c r="K2009">
        <v>8</v>
      </c>
    </row>
    <row r="2010" spans="1:11" x14ac:dyDescent="0.25">
      <c r="A2010" t="s">
        <v>519</v>
      </c>
      <c r="B2010" t="s">
        <v>301</v>
      </c>
      <c r="C2010" t="s">
        <v>302</v>
      </c>
      <c r="D2010" t="s">
        <v>32</v>
      </c>
      <c r="E2010" t="s">
        <v>74</v>
      </c>
      <c r="F2010">
        <v>0.75987634839460849</v>
      </c>
      <c r="G2010">
        <v>0.91975269678921689</v>
      </c>
      <c r="H2010">
        <v>0.6</v>
      </c>
      <c r="I2010">
        <v>13908524600</v>
      </c>
      <c r="J2010">
        <v>21.3</v>
      </c>
      <c r="K2010">
        <v>9</v>
      </c>
    </row>
    <row r="2011" spans="1:11" x14ac:dyDescent="0.25">
      <c r="A2011" t="s">
        <v>519</v>
      </c>
      <c r="B2011" t="s">
        <v>237</v>
      </c>
      <c r="C2011" t="s">
        <v>238</v>
      </c>
      <c r="D2011" t="s">
        <v>32</v>
      </c>
      <c r="E2011" t="s">
        <v>33</v>
      </c>
      <c r="F2011">
        <v>0.74765352087675119</v>
      </c>
      <c r="G2011">
        <v>0.8953070417535024</v>
      </c>
      <c r="H2011">
        <v>0.6</v>
      </c>
      <c r="I2011">
        <v>471124885600</v>
      </c>
      <c r="J2011">
        <v>93.7</v>
      </c>
      <c r="K2011">
        <v>10</v>
      </c>
    </row>
    <row r="2012" spans="1:11" x14ac:dyDescent="0.25">
      <c r="A2012" t="s">
        <v>519</v>
      </c>
      <c r="B2012" t="s">
        <v>108</v>
      </c>
      <c r="C2012" t="s">
        <v>109</v>
      </c>
      <c r="D2012" t="s">
        <v>32</v>
      </c>
      <c r="E2012" t="s">
        <v>33</v>
      </c>
      <c r="F2012">
        <v>0.74576897983247414</v>
      </c>
      <c r="G2012">
        <v>0.94153795966494824</v>
      </c>
      <c r="H2012">
        <v>0.55000000000000004</v>
      </c>
      <c r="I2012">
        <v>169329941900</v>
      </c>
      <c r="J2012">
        <v>25.6</v>
      </c>
      <c r="K2012">
        <v>11</v>
      </c>
    </row>
    <row r="2013" spans="1:11" x14ac:dyDescent="0.25">
      <c r="A2013" t="s">
        <v>519</v>
      </c>
      <c r="B2013" t="s">
        <v>55</v>
      </c>
      <c r="C2013" t="s">
        <v>56</v>
      </c>
      <c r="D2013" t="s">
        <v>32</v>
      </c>
      <c r="E2013" t="s">
        <v>29</v>
      </c>
      <c r="F2013">
        <v>0.74119082865722086</v>
      </c>
      <c r="G2013">
        <v>0.98238165731444183</v>
      </c>
      <c r="H2013">
        <v>0.5</v>
      </c>
      <c r="I2013">
        <v>80224403200</v>
      </c>
      <c r="J2013">
        <v>40.700000000000003</v>
      </c>
      <c r="K2013">
        <v>12</v>
      </c>
    </row>
    <row r="2014" spans="1:11" x14ac:dyDescent="0.25">
      <c r="A2014" t="s">
        <v>519</v>
      </c>
      <c r="B2014" t="s">
        <v>110</v>
      </c>
      <c r="C2014" t="s">
        <v>111</v>
      </c>
      <c r="D2014" t="s">
        <v>32</v>
      </c>
      <c r="E2014" t="s">
        <v>112</v>
      </c>
      <c r="F2014">
        <v>0.73697177646232592</v>
      </c>
      <c r="G2014">
        <v>0.9239435529246518</v>
      </c>
      <c r="H2014">
        <v>0.55000000000000004</v>
      </c>
      <c r="I2014">
        <v>3834457240</v>
      </c>
      <c r="J2014">
        <v>6.37</v>
      </c>
      <c r="K2014">
        <v>13</v>
      </c>
    </row>
    <row r="2015" spans="1:11" x14ac:dyDescent="0.25">
      <c r="A2015" t="s">
        <v>519</v>
      </c>
      <c r="B2015" t="s">
        <v>522</v>
      </c>
      <c r="C2015" t="s">
        <v>523</v>
      </c>
      <c r="D2015" t="s">
        <v>32</v>
      </c>
      <c r="E2015" t="s">
        <v>74</v>
      </c>
      <c r="F2015">
        <v>0.7345356864282101</v>
      </c>
      <c r="G2015">
        <v>0.66907137285642015</v>
      </c>
      <c r="H2015">
        <v>0.8</v>
      </c>
      <c r="I2015">
        <v>524690529200</v>
      </c>
      <c r="J2015">
        <v>28.45</v>
      </c>
      <c r="K2015">
        <v>14</v>
      </c>
    </row>
    <row r="2016" spans="1:11" x14ac:dyDescent="0.25">
      <c r="A2016" t="s">
        <v>519</v>
      </c>
      <c r="B2016" t="s">
        <v>171</v>
      </c>
      <c r="C2016" t="s">
        <v>172</v>
      </c>
      <c r="D2016" t="s">
        <v>32</v>
      </c>
      <c r="E2016" t="s">
        <v>33</v>
      </c>
      <c r="F2016">
        <v>0.73337126455194701</v>
      </c>
      <c r="G2016">
        <v>0.96674252910389402</v>
      </c>
      <c r="H2016">
        <v>0.5</v>
      </c>
      <c r="I2016">
        <v>42844883900</v>
      </c>
      <c r="J2016">
        <v>11.6</v>
      </c>
      <c r="K2016">
        <v>15</v>
      </c>
    </row>
    <row r="2017" spans="1:11" x14ac:dyDescent="0.25">
      <c r="A2017" t="s">
        <v>519</v>
      </c>
      <c r="B2017" t="s">
        <v>506</v>
      </c>
      <c r="C2017" t="s">
        <v>507</v>
      </c>
      <c r="D2017" t="s">
        <v>32</v>
      </c>
      <c r="E2017" t="s">
        <v>33</v>
      </c>
      <c r="F2017">
        <v>0.73271061558348827</v>
      </c>
      <c r="G2017">
        <v>0.96542123116697653</v>
      </c>
      <c r="H2017">
        <v>0.5</v>
      </c>
      <c r="I2017">
        <v>154279751200</v>
      </c>
      <c r="J2017">
        <v>33</v>
      </c>
      <c r="K2017">
        <v>16</v>
      </c>
    </row>
    <row r="2018" spans="1:11" x14ac:dyDescent="0.25">
      <c r="A2018" t="s">
        <v>519</v>
      </c>
      <c r="B2018" t="s">
        <v>371</v>
      </c>
      <c r="C2018" t="s">
        <v>372</v>
      </c>
      <c r="D2018" t="s">
        <v>18</v>
      </c>
      <c r="E2018" t="s">
        <v>33</v>
      </c>
      <c r="F2018">
        <v>0.73158413151580182</v>
      </c>
      <c r="G2018">
        <v>0.96316826303160374</v>
      </c>
      <c r="H2018">
        <v>0.5</v>
      </c>
      <c r="I2018">
        <v>386632933400</v>
      </c>
      <c r="J2018">
        <v>22.9</v>
      </c>
      <c r="K2018">
        <v>17</v>
      </c>
    </row>
    <row r="2019" spans="1:11" x14ac:dyDescent="0.25">
      <c r="A2019" t="s">
        <v>519</v>
      </c>
      <c r="B2019" t="s">
        <v>460</v>
      </c>
      <c r="C2019" t="s">
        <v>461</v>
      </c>
      <c r="D2019" t="s">
        <v>32</v>
      </c>
      <c r="E2019" t="s">
        <v>39</v>
      </c>
      <c r="F2019">
        <v>0.71806929304544842</v>
      </c>
      <c r="G2019">
        <v>0.93613858609089673</v>
      </c>
      <c r="H2019">
        <v>0.5</v>
      </c>
      <c r="I2019">
        <v>70724285800</v>
      </c>
      <c r="J2019">
        <v>24.55</v>
      </c>
      <c r="K2019">
        <v>18</v>
      </c>
    </row>
    <row r="2020" spans="1:11" x14ac:dyDescent="0.25">
      <c r="A2020" t="s">
        <v>519</v>
      </c>
      <c r="B2020" t="s">
        <v>486</v>
      </c>
      <c r="C2020" t="s">
        <v>487</v>
      </c>
      <c r="D2020" t="s">
        <v>18</v>
      </c>
      <c r="E2020" t="s">
        <v>26</v>
      </c>
      <c r="F2020">
        <v>0.71561522817872347</v>
      </c>
      <c r="G2020">
        <v>0.98123045635744699</v>
      </c>
      <c r="H2020">
        <v>0.45</v>
      </c>
      <c r="I2020">
        <v>4424055400</v>
      </c>
      <c r="J2020">
        <v>4.4000000000000004</v>
      </c>
      <c r="K2020">
        <v>19</v>
      </c>
    </row>
    <row r="2021" spans="1:11" x14ac:dyDescent="0.25">
      <c r="A2021" t="s">
        <v>519</v>
      </c>
      <c r="B2021" t="s">
        <v>261</v>
      </c>
      <c r="C2021" t="s">
        <v>262</v>
      </c>
      <c r="D2021" t="s">
        <v>32</v>
      </c>
      <c r="E2021" t="s">
        <v>42</v>
      </c>
      <c r="F2021">
        <v>0.71062117219831367</v>
      </c>
      <c r="G2021">
        <v>0.67124234439662733</v>
      </c>
      <c r="H2021">
        <v>0.75</v>
      </c>
      <c r="I2021">
        <v>221421420800</v>
      </c>
      <c r="J2021">
        <v>74.3</v>
      </c>
      <c r="K2021">
        <v>20</v>
      </c>
    </row>
    <row r="2022" spans="1:11" x14ac:dyDescent="0.25">
      <c r="A2022" t="s">
        <v>524</v>
      </c>
      <c r="B2022" t="s">
        <v>403</v>
      </c>
      <c r="C2022" t="s">
        <v>404</v>
      </c>
      <c r="D2022" t="s">
        <v>32</v>
      </c>
      <c r="E2022" t="s">
        <v>33</v>
      </c>
      <c r="F2022">
        <v>0.93812308783430531</v>
      </c>
      <c r="G2022">
        <v>0.92624617566861067</v>
      </c>
      <c r="H2022">
        <v>0.95</v>
      </c>
      <c r="I2022">
        <v>6024537900</v>
      </c>
      <c r="J2022">
        <v>3.5</v>
      </c>
      <c r="K2022">
        <v>1</v>
      </c>
    </row>
    <row r="2023" spans="1:11" x14ac:dyDescent="0.25">
      <c r="A2023" t="s">
        <v>524</v>
      </c>
      <c r="B2023" t="s">
        <v>135</v>
      </c>
      <c r="C2023" t="s">
        <v>136</v>
      </c>
      <c r="D2023" t="s">
        <v>32</v>
      </c>
      <c r="E2023" t="s">
        <v>29</v>
      </c>
      <c r="F2023">
        <v>0.91113662855995647</v>
      </c>
      <c r="G2023">
        <v>0.97227325711991308</v>
      </c>
      <c r="H2023">
        <v>0.85</v>
      </c>
      <c r="I2023">
        <v>512284549600</v>
      </c>
      <c r="J2023">
        <v>22.6</v>
      </c>
      <c r="K2023">
        <v>2</v>
      </c>
    </row>
    <row r="2024" spans="1:11" x14ac:dyDescent="0.25">
      <c r="A2024" t="s">
        <v>524</v>
      </c>
      <c r="B2024" t="s">
        <v>278</v>
      </c>
      <c r="C2024" t="s">
        <v>279</v>
      </c>
      <c r="D2024" t="s">
        <v>32</v>
      </c>
      <c r="E2024" t="s">
        <v>23</v>
      </c>
      <c r="F2024">
        <v>0.89795268003004536</v>
      </c>
      <c r="G2024">
        <v>0.94590536006009074</v>
      </c>
      <c r="H2024">
        <v>0.85</v>
      </c>
      <c r="I2024">
        <v>5808209800</v>
      </c>
      <c r="J2024">
        <v>13.4</v>
      </c>
      <c r="K2024">
        <v>3</v>
      </c>
    </row>
    <row r="2025" spans="1:11" x14ac:dyDescent="0.25">
      <c r="A2025" t="s">
        <v>524</v>
      </c>
      <c r="B2025" t="s">
        <v>494</v>
      </c>
      <c r="C2025" t="s">
        <v>495</v>
      </c>
      <c r="D2025" t="s">
        <v>32</v>
      </c>
      <c r="E2025" t="s">
        <v>29</v>
      </c>
      <c r="F2025">
        <v>0.84214372997089204</v>
      </c>
      <c r="G2025">
        <v>0.98428745994178402</v>
      </c>
      <c r="H2025">
        <v>0.7</v>
      </c>
      <c r="I2025">
        <v>916072174900</v>
      </c>
      <c r="J2025">
        <v>35.799999999999997</v>
      </c>
      <c r="K2025">
        <v>4</v>
      </c>
    </row>
    <row r="2026" spans="1:11" x14ac:dyDescent="0.25">
      <c r="A2026" t="s">
        <v>524</v>
      </c>
      <c r="B2026" t="s">
        <v>520</v>
      </c>
      <c r="C2026" t="s">
        <v>521</v>
      </c>
      <c r="D2026" t="s">
        <v>32</v>
      </c>
      <c r="E2026" t="s">
        <v>33</v>
      </c>
      <c r="F2026">
        <v>0.83431109548086568</v>
      </c>
      <c r="G2026">
        <v>0.9686221909617313</v>
      </c>
      <c r="H2026">
        <v>0.7</v>
      </c>
      <c r="I2026">
        <v>371597347100</v>
      </c>
      <c r="J2026">
        <v>23.3</v>
      </c>
      <c r="K2026">
        <v>5</v>
      </c>
    </row>
    <row r="2027" spans="1:11" x14ac:dyDescent="0.25">
      <c r="A2027" t="s">
        <v>524</v>
      </c>
      <c r="B2027" t="s">
        <v>164</v>
      </c>
      <c r="C2027" t="s">
        <v>165</v>
      </c>
      <c r="D2027" t="s">
        <v>32</v>
      </c>
      <c r="E2027" t="s">
        <v>33</v>
      </c>
      <c r="F2027">
        <v>0.79660111748731444</v>
      </c>
      <c r="G2027">
        <v>0.89320223497462881</v>
      </c>
      <c r="H2027">
        <v>0.7</v>
      </c>
      <c r="I2027">
        <v>408602951800</v>
      </c>
      <c r="J2027">
        <v>115.6</v>
      </c>
      <c r="K2027">
        <v>6</v>
      </c>
    </row>
    <row r="2028" spans="1:11" x14ac:dyDescent="0.25">
      <c r="A2028" t="s">
        <v>524</v>
      </c>
      <c r="B2028" t="s">
        <v>510</v>
      </c>
      <c r="C2028" t="s">
        <v>511</v>
      </c>
      <c r="D2028" t="s">
        <v>32</v>
      </c>
      <c r="E2028" t="s">
        <v>33</v>
      </c>
      <c r="F2028">
        <v>0.77522097146493629</v>
      </c>
      <c r="G2028">
        <v>0.95044194292987272</v>
      </c>
      <c r="H2028">
        <v>0.6</v>
      </c>
      <c r="I2028">
        <v>273684295900</v>
      </c>
      <c r="J2028">
        <v>22.2</v>
      </c>
      <c r="K2028">
        <v>7</v>
      </c>
    </row>
    <row r="2029" spans="1:11" x14ac:dyDescent="0.25">
      <c r="A2029" t="s">
        <v>524</v>
      </c>
      <c r="B2029" t="s">
        <v>171</v>
      </c>
      <c r="C2029" t="s">
        <v>172</v>
      </c>
      <c r="D2029" t="s">
        <v>32</v>
      </c>
      <c r="E2029" t="s">
        <v>33</v>
      </c>
      <c r="F2029">
        <v>0.76076103064064982</v>
      </c>
      <c r="G2029">
        <v>0.97152206128129948</v>
      </c>
      <c r="H2029">
        <v>0.55000000000000004</v>
      </c>
      <c r="I2029">
        <v>44339618900</v>
      </c>
      <c r="J2029">
        <v>11.85</v>
      </c>
      <c r="K2029">
        <v>8</v>
      </c>
    </row>
    <row r="2030" spans="1:11" x14ac:dyDescent="0.25">
      <c r="A2030" t="s">
        <v>524</v>
      </c>
      <c r="B2030" t="s">
        <v>525</v>
      </c>
      <c r="C2030" t="s">
        <v>526</v>
      </c>
      <c r="D2030" t="s">
        <v>32</v>
      </c>
      <c r="E2030" t="s">
        <v>160</v>
      </c>
      <c r="F2030">
        <v>0.75685859012061818</v>
      </c>
      <c r="G2030">
        <v>0.81371718024123629</v>
      </c>
      <c r="H2030">
        <v>0.7</v>
      </c>
      <c r="I2030">
        <v>152010426300</v>
      </c>
      <c r="J2030">
        <v>14.8</v>
      </c>
      <c r="K2030">
        <v>9</v>
      </c>
    </row>
    <row r="2031" spans="1:11" x14ac:dyDescent="0.25">
      <c r="A2031" t="s">
        <v>524</v>
      </c>
      <c r="B2031" t="s">
        <v>173</v>
      </c>
      <c r="C2031" t="s">
        <v>174</v>
      </c>
      <c r="D2031" t="s">
        <v>32</v>
      </c>
      <c r="E2031" t="s">
        <v>74</v>
      </c>
      <c r="F2031">
        <v>0.74981498610595998</v>
      </c>
      <c r="G2031">
        <v>0.89962997221191987</v>
      </c>
      <c r="H2031">
        <v>0.6</v>
      </c>
      <c r="I2031">
        <v>955640625600</v>
      </c>
      <c r="J2031">
        <v>16.100000000000001</v>
      </c>
      <c r="K2031">
        <v>10</v>
      </c>
    </row>
    <row r="2032" spans="1:11" x14ac:dyDescent="0.25">
      <c r="A2032" t="s">
        <v>524</v>
      </c>
      <c r="B2032" t="s">
        <v>469</v>
      </c>
      <c r="C2032" t="s">
        <v>470</v>
      </c>
      <c r="D2032" t="s">
        <v>18</v>
      </c>
      <c r="E2032" t="s">
        <v>29</v>
      </c>
      <c r="F2032">
        <v>0.74427570492428174</v>
      </c>
      <c r="G2032">
        <v>0.98855140984856349</v>
      </c>
      <c r="H2032">
        <v>0.5</v>
      </c>
      <c r="I2032">
        <v>10805345200</v>
      </c>
      <c r="J2032">
        <v>10.8</v>
      </c>
      <c r="K2032">
        <v>11</v>
      </c>
    </row>
    <row r="2033" spans="1:11" x14ac:dyDescent="0.25">
      <c r="A2033" t="s">
        <v>524</v>
      </c>
      <c r="B2033" t="s">
        <v>527</v>
      </c>
      <c r="C2033" t="s">
        <v>528</v>
      </c>
      <c r="D2033" t="s">
        <v>18</v>
      </c>
      <c r="E2033" t="s">
        <v>29</v>
      </c>
      <c r="F2033">
        <v>0.73846693512816552</v>
      </c>
      <c r="G2033">
        <v>0.97693387025633105</v>
      </c>
      <c r="H2033">
        <v>0.5</v>
      </c>
      <c r="I2033">
        <v>2560051600</v>
      </c>
      <c r="J2033">
        <v>7.9</v>
      </c>
      <c r="K2033">
        <v>12</v>
      </c>
    </row>
    <row r="2034" spans="1:11" x14ac:dyDescent="0.25">
      <c r="A2034" t="s">
        <v>524</v>
      </c>
      <c r="B2034" t="s">
        <v>335</v>
      </c>
      <c r="C2034" t="s">
        <v>336</v>
      </c>
      <c r="D2034" t="s">
        <v>18</v>
      </c>
      <c r="E2034" t="s">
        <v>33</v>
      </c>
      <c r="F2034">
        <v>0.73769411217781633</v>
      </c>
      <c r="G2034">
        <v>0.87538822435563268</v>
      </c>
      <c r="H2034">
        <v>0.6</v>
      </c>
      <c r="I2034">
        <v>7285628800</v>
      </c>
      <c r="J2034">
        <v>8.5</v>
      </c>
      <c r="K2034">
        <v>13</v>
      </c>
    </row>
    <row r="2035" spans="1:11" x14ac:dyDescent="0.25">
      <c r="A2035" t="s">
        <v>524</v>
      </c>
      <c r="B2035" t="s">
        <v>522</v>
      </c>
      <c r="C2035" t="s">
        <v>523</v>
      </c>
      <c r="D2035" t="s">
        <v>32</v>
      </c>
      <c r="E2035" t="s">
        <v>74</v>
      </c>
      <c r="F2035">
        <v>0.73055488268640878</v>
      </c>
      <c r="G2035">
        <v>0.71110976537281756</v>
      </c>
      <c r="H2035">
        <v>0.75</v>
      </c>
      <c r="I2035">
        <v>526564726200</v>
      </c>
      <c r="J2035">
        <v>28.75</v>
      </c>
      <c r="K2035">
        <v>14</v>
      </c>
    </row>
    <row r="2036" spans="1:11" x14ac:dyDescent="0.25">
      <c r="A2036" t="s">
        <v>524</v>
      </c>
      <c r="B2036" t="s">
        <v>345</v>
      </c>
      <c r="C2036" t="s">
        <v>346</v>
      </c>
      <c r="D2036" t="s">
        <v>32</v>
      </c>
      <c r="E2036" t="s">
        <v>23</v>
      </c>
      <c r="F2036">
        <v>0.72918239442027</v>
      </c>
      <c r="G2036">
        <v>0.80836478884053997</v>
      </c>
      <c r="H2036">
        <v>0.65</v>
      </c>
      <c r="I2036">
        <v>155163915700</v>
      </c>
      <c r="J2036">
        <v>19.350000000000001</v>
      </c>
      <c r="K2036">
        <v>15</v>
      </c>
    </row>
    <row r="2037" spans="1:11" x14ac:dyDescent="0.25">
      <c r="A2037" t="s">
        <v>524</v>
      </c>
      <c r="B2037" t="s">
        <v>481</v>
      </c>
      <c r="C2037" t="s">
        <v>482</v>
      </c>
      <c r="D2037" t="s">
        <v>32</v>
      </c>
      <c r="E2037" t="s">
        <v>236</v>
      </c>
      <c r="F2037">
        <v>0.72770511477280742</v>
      </c>
      <c r="G2037">
        <v>0.75541022954561488</v>
      </c>
      <c r="H2037">
        <v>0.7</v>
      </c>
      <c r="I2037">
        <v>4003458520</v>
      </c>
      <c r="J2037">
        <v>3.14</v>
      </c>
      <c r="K2037">
        <v>16</v>
      </c>
    </row>
    <row r="2038" spans="1:11" x14ac:dyDescent="0.25">
      <c r="A2038" t="s">
        <v>524</v>
      </c>
      <c r="B2038" t="s">
        <v>329</v>
      </c>
      <c r="C2038" t="s">
        <v>330</v>
      </c>
      <c r="D2038" t="s">
        <v>18</v>
      </c>
      <c r="E2038" t="s">
        <v>26</v>
      </c>
      <c r="F2038">
        <v>0.72337608400448938</v>
      </c>
      <c r="G2038">
        <v>0.89675216800897883</v>
      </c>
      <c r="H2038">
        <v>0.55000000000000004</v>
      </c>
      <c r="I2038">
        <v>9534683000</v>
      </c>
      <c r="J2038">
        <v>37.5</v>
      </c>
      <c r="K2038">
        <v>17</v>
      </c>
    </row>
    <row r="2039" spans="1:11" x14ac:dyDescent="0.25">
      <c r="A2039" t="s">
        <v>524</v>
      </c>
      <c r="B2039" t="s">
        <v>261</v>
      </c>
      <c r="C2039" t="s">
        <v>262</v>
      </c>
      <c r="D2039" t="s">
        <v>32</v>
      </c>
      <c r="E2039" t="s">
        <v>42</v>
      </c>
      <c r="F2039">
        <v>0.71619583615179461</v>
      </c>
      <c r="G2039">
        <v>0.63239167230358928</v>
      </c>
      <c r="H2039">
        <v>0.8</v>
      </c>
      <c r="I2039">
        <v>230042766800</v>
      </c>
      <c r="J2039">
        <v>76</v>
      </c>
      <c r="K2039">
        <v>18</v>
      </c>
    </row>
    <row r="2040" spans="1:11" x14ac:dyDescent="0.25">
      <c r="A2040" t="s">
        <v>524</v>
      </c>
      <c r="B2040" t="s">
        <v>486</v>
      </c>
      <c r="C2040" t="s">
        <v>487</v>
      </c>
      <c r="D2040" t="s">
        <v>18</v>
      </c>
      <c r="E2040" t="s">
        <v>26</v>
      </c>
      <c r="F2040">
        <v>0.71162618018095603</v>
      </c>
      <c r="G2040">
        <v>0.97325236036191198</v>
      </c>
      <c r="H2040">
        <v>0.45</v>
      </c>
      <c r="I2040">
        <v>4536973200</v>
      </c>
      <c r="J2040">
        <v>4.4000000000000004</v>
      </c>
      <c r="K2040">
        <v>19</v>
      </c>
    </row>
    <row r="2041" spans="1:11" x14ac:dyDescent="0.25">
      <c r="A2041" t="s">
        <v>524</v>
      </c>
      <c r="B2041" t="s">
        <v>108</v>
      </c>
      <c r="C2041" t="s">
        <v>109</v>
      </c>
      <c r="D2041" t="s">
        <v>32</v>
      </c>
      <c r="E2041" t="s">
        <v>33</v>
      </c>
      <c r="F2041">
        <v>0.70351904702358536</v>
      </c>
      <c r="G2041">
        <v>0.95703809404717066</v>
      </c>
      <c r="H2041">
        <v>0.45</v>
      </c>
      <c r="I2041">
        <v>171870711500</v>
      </c>
      <c r="J2041">
        <v>26.4</v>
      </c>
      <c r="K2041">
        <v>20</v>
      </c>
    </row>
    <row r="2042" spans="1:11" x14ac:dyDescent="0.25">
      <c r="A2042" t="s">
        <v>529</v>
      </c>
      <c r="B2042" t="s">
        <v>494</v>
      </c>
      <c r="C2042" t="s">
        <v>495</v>
      </c>
      <c r="D2042" t="s">
        <v>32</v>
      </c>
      <c r="E2042" t="s">
        <v>29</v>
      </c>
      <c r="F2042">
        <v>0.86211239755278579</v>
      </c>
      <c r="G2042">
        <v>0.97422479510557147</v>
      </c>
      <c r="H2042">
        <v>0.75</v>
      </c>
      <c r="I2042">
        <v>978793843500</v>
      </c>
      <c r="J2042">
        <v>33.299999999999997</v>
      </c>
      <c r="K2042">
        <v>1</v>
      </c>
    </row>
    <row r="2043" spans="1:11" x14ac:dyDescent="0.25">
      <c r="A2043" t="s">
        <v>529</v>
      </c>
      <c r="B2043" t="s">
        <v>135</v>
      </c>
      <c r="C2043" t="s">
        <v>136</v>
      </c>
      <c r="D2043" t="s">
        <v>32</v>
      </c>
      <c r="E2043" t="s">
        <v>29</v>
      </c>
      <c r="F2043">
        <v>0.82587661116763278</v>
      </c>
      <c r="G2043">
        <v>0.95175322233526549</v>
      </c>
      <c r="H2043">
        <v>0.7</v>
      </c>
      <c r="I2043">
        <v>549834746900</v>
      </c>
      <c r="J2043">
        <v>21.05</v>
      </c>
      <c r="K2043">
        <v>2</v>
      </c>
    </row>
    <row r="2044" spans="1:11" x14ac:dyDescent="0.25">
      <c r="A2044" t="s">
        <v>529</v>
      </c>
      <c r="B2044" t="s">
        <v>232</v>
      </c>
      <c r="C2044" t="s">
        <v>233</v>
      </c>
      <c r="D2044" t="s">
        <v>32</v>
      </c>
      <c r="E2044" t="s">
        <v>26</v>
      </c>
      <c r="F2044">
        <v>0.77618822446011282</v>
      </c>
      <c r="G2044">
        <v>0.85237644892022579</v>
      </c>
      <c r="H2044">
        <v>0.7</v>
      </c>
      <c r="I2044">
        <v>11338911780</v>
      </c>
      <c r="J2044">
        <v>11.3</v>
      </c>
      <c r="K2044">
        <v>3</v>
      </c>
    </row>
    <row r="2045" spans="1:11" x14ac:dyDescent="0.25">
      <c r="A2045" t="s">
        <v>529</v>
      </c>
      <c r="B2045" t="s">
        <v>418</v>
      </c>
      <c r="C2045" t="s">
        <v>419</v>
      </c>
      <c r="D2045" t="s">
        <v>32</v>
      </c>
      <c r="E2045" t="s">
        <v>74</v>
      </c>
      <c r="F2045">
        <v>0.76080115889081168</v>
      </c>
      <c r="G2045">
        <v>0.97160231778162331</v>
      </c>
      <c r="H2045">
        <v>0.55000000000000004</v>
      </c>
      <c r="I2045">
        <v>205155195600</v>
      </c>
      <c r="J2045">
        <v>13.75</v>
      </c>
      <c r="K2045">
        <v>4</v>
      </c>
    </row>
    <row r="2046" spans="1:11" x14ac:dyDescent="0.25">
      <c r="A2046" t="s">
        <v>529</v>
      </c>
      <c r="B2046" t="s">
        <v>287</v>
      </c>
      <c r="C2046" t="s">
        <v>288</v>
      </c>
      <c r="D2046" t="s">
        <v>14</v>
      </c>
      <c r="E2046" t="s">
        <v>59</v>
      </c>
      <c r="F2046">
        <v>0.74937455985190105</v>
      </c>
      <c r="G2046">
        <v>0.79874911970380225</v>
      </c>
      <c r="H2046">
        <v>0.7</v>
      </c>
      <c r="I2046">
        <v>64998348600</v>
      </c>
      <c r="J2046">
        <v>30.4</v>
      </c>
      <c r="K2046">
        <v>5</v>
      </c>
    </row>
    <row r="2047" spans="1:11" x14ac:dyDescent="0.25">
      <c r="A2047" t="s">
        <v>529</v>
      </c>
      <c r="B2047" t="s">
        <v>520</v>
      </c>
      <c r="C2047" t="s">
        <v>521</v>
      </c>
      <c r="D2047" t="s">
        <v>32</v>
      </c>
      <c r="E2047" t="s">
        <v>33</v>
      </c>
      <c r="F2047">
        <v>0.74783047433671701</v>
      </c>
      <c r="G2047">
        <v>0.94566094867343398</v>
      </c>
      <c r="H2047">
        <v>0.55000000000000004</v>
      </c>
      <c r="I2047">
        <v>396938208000</v>
      </c>
      <c r="J2047">
        <v>21.7</v>
      </c>
      <c r="K2047">
        <v>6</v>
      </c>
    </row>
    <row r="2048" spans="1:11" x14ac:dyDescent="0.25">
      <c r="A2048" t="s">
        <v>529</v>
      </c>
      <c r="B2048" t="s">
        <v>469</v>
      </c>
      <c r="C2048" t="s">
        <v>470</v>
      </c>
      <c r="D2048" t="s">
        <v>18</v>
      </c>
      <c r="E2048" t="s">
        <v>29</v>
      </c>
      <c r="F2048">
        <v>0.74621049416145113</v>
      </c>
      <c r="G2048">
        <v>0.99242098832290238</v>
      </c>
      <c r="H2048">
        <v>0.5</v>
      </c>
      <c r="I2048">
        <v>12462930800</v>
      </c>
      <c r="J2048">
        <v>11</v>
      </c>
      <c r="K2048">
        <v>7</v>
      </c>
    </row>
    <row r="2049" spans="1:11" x14ac:dyDescent="0.25">
      <c r="A2049" t="s">
        <v>529</v>
      </c>
      <c r="B2049" t="s">
        <v>164</v>
      </c>
      <c r="C2049" t="s">
        <v>165</v>
      </c>
      <c r="D2049" t="s">
        <v>32</v>
      </c>
      <c r="E2049" t="s">
        <v>33</v>
      </c>
      <c r="F2049">
        <v>0.74411580442960901</v>
      </c>
      <c r="G2049">
        <v>0.88823160885921804</v>
      </c>
      <c r="H2049">
        <v>0.6</v>
      </c>
      <c r="I2049">
        <v>411811184000</v>
      </c>
      <c r="J2049">
        <v>113.2</v>
      </c>
      <c r="K2049">
        <v>8</v>
      </c>
    </row>
    <row r="2050" spans="1:11" x14ac:dyDescent="0.25">
      <c r="A2050" t="s">
        <v>529</v>
      </c>
      <c r="B2050" t="s">
        <v>530</v>
      </c>
      <c r="C2050" t="s">
        <v>531</v>
      </c>
      <c r="D2050" t="s">
        <v>32</v>
      </c>
      <c r="E2050" t="s">
        <v>42</v>
      </c>
      <c r="F2050">
        <v>0.74026973951090391</v>
      </c>
      <c r="G2050">
        <v>0.98053947902180794</v>
      </c>
      <c r="H2050">
        <v>0.5</v>
      </c>
      <c r="I2050">
        <v>2060981680</v>
      </c>
      <c r="J2050">
        <v>10.7</v>
      </c>
      <c r="K2050">
        <v>9</v>
      </c>
    </row>
    <row r="2051" spans="1:11" x14ac:dyDescent="0.25">
      <c r="A2051" t="s">
        <v>529</v>
      </c>
      <c r="B2051" t="s">
        <v>486</v>
      </c>
      <c r="C2051" t="s">
        <v>487</v>
      </c>
      <c r="D2051" t="s">
        <v>18</v>
      </c>
      <c r="E2051" t="s">
        <v>26</v>
      </c>
      <c r="F2051">
        <v>0.73307413302841584</v>
      </c>
      <c r="G2051">
        <v>0.96614826605683179</v>
      </c>
      <c r="H2051">
        <v>0.5</v>
      </c>
      <c r="I2051">
        <v>4753044000</v>
      </c>
      <c r="J2051">
        <v>4.2</v>
      </c>
      <c r="K2051">
        <v>10</v>
      </c>
    </row>
    <row r="2052" spans="1:11" x14ac:dyDescent="0.25">
      <c r="A2052" t="s">
        <v>529</v>
      </c>
      <c r="B2052" t="s">
        <v>371</v>
      </c>
      <c r="C2052" t="s">
        <v>372</v>
      </c>
      <c r="D2052" t="s">
        <v>18</v>
      </c>
      <c r="E2052" t="s">
        <v>33</v>
      </c>
      <c r="F2052">
        <v>0.73013923860436536</v>
      </c>
      <c r="G2052">
        <v>0.96027847720873072</v>
      </c>
      <c r="H2052">
        <v>0.5</v>
      </c>
      <c r="I2052">
        <v>427600215600</v>
      </c>
      <c r="J2052">
        <v>22.6</v>
      </c>
      <c r="K2052">
        <v>11</v>
      </c>
    </row>
    <row r="2053" spans="1:11" x14ac:dyDescent="0.25">
      <c r="A2053" t="s">
        <v>529</v>
      </c>
      <c r="B2053" t="s">
        <v>278</v>
      </c>
      <c r="C2053" t="s">
        <v>279</v>
      </c>
      <c r="D2053" t="s">
        <v>32</v>
      </c>
      <c r="E2053" t="s">
        <v>23</v>
      </c>
      <c r="F2053">
        <v>0.72921336264023839</v>
      </c>
      <c r="G2053">
        <v>0.85842672528047692</v>
      </c>
      <c r="H2053">
        <v>0.6</v>
      </c>
      <c r="I2053">
        <v>5870515200</v>
      </c>
      <c r="J2053">
        <v>12.5</v>
      </c>
      <c r="K2053">
        <v>12</v>
      </c>
    </row>
    <row r="2054" spans="1:11" x14ac:dyDescent="0.25">
      <c r="A2054" t="s">
        <v>529</v>
      </c>
      <c r="B2054" t="s">
        <v>491</v>
      </c>
      <c r="C2054" t="s">
        <v>492</v>
      </c>
      <c r="D2054" t="s">
        <v>18</v>
      </c>
      <c r="E2054" t="s">
        <v>29</v>
      </c>
      <c r="F2054">
        <v>0.71978606079378471</v>
      </c>
      <c r="G2054">
        <v>0.98957212158756935</v>
      </c>
      <c r="H2054">
        <v>0.45</v>
      </c>
      <c r="I2054">
        <v>392387262800</v>
      </c>
      <c r="J2054">
        <v>19.8</v>
      </c>
      <c r="K2054">
        <v>13</v>
      </c>
    </row>
    <row r="2055" spans="1:11" x14ac:dyDescent="0.25">
      <c r="A2055" t="s">
        <v>529</v>
      </c>
      <c r="B2055" t="s">
        <v>201</v>
      </c>
      <c r="C2055" t="s">
        <v>202</v>
      </c>
      <c r="D2055" t="s">
        <v>32</v>
      </c>
      <c r="E2055" t="s">
        <v>26</v>
      </c>
      <c r="F2055">
        <v>0.71235126465384191</v>
      </c>
      <c r="G2055">
        <v>0.97470252930768386</v>
      </c>
      <c r="H2055">
        <v>0.45</v>
      </c>
      <c r="I2055">
        <v>55800789100</v>
      </c>
      <c r="J2055">
        <v>57</v>
      </c>
      <c r="K2055">
        <v>14</v>
      </c>
    </row>
    <row r="2056" spans="1:11" x14ac:dyDescent="0.25">
      <c r="A2056" t="s">
        <v>529</v>
      </c>
      <c r="B2056" t="s">
        <v>506</v>
      </c>
      <c r="C2056" t="s">
        <v>507</v>
      </c>
      <c r="D2056" t="s">
        <v>32</v>
      </c>
      <c r="E2056" t="s">
        <v>33</v>
      </c>
      <c r="F2056">
        <v>0.70310870239249823</v>
      </c>
      <c r="G2056">
        <v>0.95621740478499651</v>
      </c>
      <c r="H2056">
        <v>0.45</v>
      </c>
      <c r="I2056">
        <v>167522315200</v>
      </c>
      <c r="J2056">
        <v>32.35</v>
      </c>
      <c r="K2056">
        <v>15</v>
      </c>
    </row>
    <row r="2057" spans="1:11" x14ac:dyDescent="0.25">
      <c r="A2057" t="s">
        <v>529</v>
      </c>
      <c r="B2057" t="s">
        <v>403</v>
      </c>
      <c r="C2057" t="s">
        <v>404</v>
      </c>
      <c r="D2057" t="s">
        <v>32</v>
      </c>
      <c r="E2057" t="s">
        <v>33</v>
      </c>
      <c r="F2057">
        <v>0.69690238245843195</v>
      </c>
      <c r="G2057">
        <v>0.84380476491686374</v>
      </c>
      <c r="H2057">
        <v>0.55000000000000004</v>
      </c>
      <c r="I2057">
        <v>6221214660</v>
      </c>
      <c r="J2057">
        <v>3.26</v>
      </c>
      <c r="K2057">
        <v>16</v>
      </c>
    </row>
    <row r="2058" spans="1:11" x14ac:dyDescent="0.25">
      <c r="A2058" t="s">
        <v>529</v>
      </c>
      <c r="B2058" t="s">
        <v>162</v>
      </c>
      <c r="C2058" t="s">
        <v>163</v>
      </c>
      <c r="D2058" t="s">
        <v>32</v>
      </c>
      <c r="E2058" t="s">
        <v>29</v>
      </c>
      <c r="F2058">
        <v>0.69352881688544543</v>
      </c>
      <c r="G2058">
        <v>0.98705763377089084</v>
      </c>
      <c r="H2058">
        <v>0.4</v>
      </c>
      <c r="I2058">
        <v>794454850100</v>
      </c>
      <c r="J2058">
        <v>23.95</v>
      </c>
      <c r="K2058">
        <v>17</v>
      </c>
    </row>
    <row r="2059" spans="1:11" x14ac:dyDescent="0.25">
      <c r="A2059" t="s">
        <v>529</v>
      </c>
      <c r="B2059" t="s">
        <v>368</v>
      </c>
      <c r="C2059" t="s">
        <v>369</v>
      </c>
      <c r="D2059" t="s">
        <v>32</v>
      </c>
      <c r="E2059" t="s">
        <v>33</v>
      </c>
      <c r="F2059">
        <v>0.68679594770699604</v>
      </c>
      <c r="G2059">
        <v>0.87359189541399196</v>
      </c>
      <c r="H2059">
        <v>0.5</v>
      </c>
      <c r="I2059">
        <v>5080434800</v>
      </c>
      <c r="J2059">
        <v>28.7</v>
      </c>
      <c r="K2059">
        <v>18</v>
      </c>
    </row>
    <row r="2060" spans="1:11" x14ac:dyDescent="0.25">
      <c r="A2060" t="s">
        <v>529</v>
      </c>
      <c r="B2060" t="s">
        <v>337</v>
      </c>
      <c r="C2060" t="s">
        <v>338</v>
      </c>
      <c r="D2060" t="s">
        <v>18</v>
      </c>
      <c r="E2060" t="s">
        <v>33</v>
      </c>
      <c r="F2060">
        <v>0.68437944693208141</v>
      </c>
      <c r="G2060">
        <v>0.96875889386416292</v>
      </c>
      <c r="H2060">
        <v>0.4</v>
      </c>
      <c r="I2060">
        <v>9578125600</v>
      </c>
      <c r="J2060">
        <v>6.4</v>
      </c>
      <c r="K2060">
        <v>19</v>
      </c>
    </row>
    <row r="2061" spans="1:11" x14ac:dyDescent="0.25">
      <c r="A2061" t="s">
        <v>529</v>
      </c>
      <c r="B2061" t="s">
        <v>171</v>
      </c>
      <c r="C2061" t="s">
        <v>172</v>
      </c>
      <c r="D2061" t="s">
        <v>32</v>
      </c>
      <c r="E2061" t="s">
        <v>33</v>
      </c>
      <c r="F2061">
        <v>0.67819338324831757</v>
      </c>
      <c r="G2061">
        <v>0.95638676649663523</v>
      </c>
      <c r="H2061">
        <v>0.4</v>
      </c>
      <c r="I2061">
        <v>46747743580</v>
      </c>
      <c r="J2061">
        <v>11.05</v>
      </c>
      <c r="K2061">
        <v>20</v>
      </c>
    </row>
    <row r="2062" spans="1:11" x14ac:dyDescent="0.25">
      <c r="A2062" t="s">
        <v>532</v>
      </c>
      <c r="B2062" t="s">
        <v>135</v>
      </c>
      <c r="C2062" t="s">
        <v>136</v>
      </c>
      <c r="D2062" t="s">
        <v>32</v>
      </c>
      <c r="E2062" t="s">
        <v>29</v>
      </c>
      <c r="F2062">
        <v>0.98355250870714173</v>
      </c>
      <c r="G2062">
        <v>0.96710501741428334</v>
      </c>
      <c r="H2062">
        <v>1</v>
      </c>
      <c r="I2062">
        <v>569258428100</v>
      </c>
      <c r="J2062">
        <v>22.3</v>
      </c>
      <c r="K2062">
        <v>1</v>
      </c>
    </row>
    <row r="2063" spans="1:11" x14ac:dyDescent="0.25">
      <c r="A2063" t="s">
        <v>532</v>
      </c>
      <c r="B2063" t="s">
        <v>337</v>
      </c>
      <c r="C2063" t="s">
        <v>338</v>
      </c>
      <c r="D2063" t="s">
        <v>18</v>
      </c>
      <c r="E2063" t="s">
        <v>33</v>
      </c>
      <c r="F2063">
        <v>0.81928410460206968</v>
      </c>
      <c r="G2063">
        <v>0.98856820920413935</v>
      </c>
      <c r="H2063">
        <v>0.65</v>
      </c>
      <c r="I2063">
        <v>10310642000</v>
      </c>
      <c r="J2063">
        <v>7</v>
      </c>
      <c r="K2063">
        <v>2</v>
      </c>
    </row>
    <row r="2064" spans="1:11" x14ac:dyDescent="0.25">
      <c r="A2064" t="s">
        <v>532</v>
      </c>
      <c r="B2064" t="s">
        <v>120</v>
      </c>
      <c r="C2064" t="s">
        <v>121</v>
      </c>
      <c r="D2064" t="s">
        <v>32</v>
      </c>
      <c r="E2064" t="s">
        <v>29</v>
      </c>
      <c r="F2064">
        <v>0.79743860217672036</v>
      </c>
      <c r="G2064">
        <v>0.64487720435344076</v>
      </c>
      <c r="H2064">
        <v>0.95</v>
      </c>
      <c r="I2064">
        <v>434256500500</v>
      </c>
      <c r="J2064">
        <v>41.9</v>
      </c>
      <c r="K2064">
        <v>3</v>
      </c>
    </row>
    <row r="2065" spans="1:11" x14ac:dyDescent="0.25">
      <c r="A2065" t="s">
        <v>532</v>
      </c>
      <c r="B2065" t="s">
        <v>506</v>
      </c>
      <c r="C2065" t="s">
        <v>507</v>
      </c>
      <c r="D2065" t="s">
        <v>32</v>
      </c>
      <c r="E2065" t="s">
        <v>33</v>
      </c>
      <c r="F2065">
        <v>0.76336012856312552</v>
      </c>
      <c r="G2065">
        <v>0.92672025712625106</v>
      </c>
      <c r="H2065">
        <v>0.6</v>
      </c>
      <c r="I2065">
        <v>171424567000</v>
      </c>
      <c r="J2065">
        <v>32.700000000000003</v>
      </c>
      <c r="K2065">
        <v>4</v>
      </c>
    </row>
    <row r="2066" spans="1:11" x14ac:dyDescent="0.25">
      <c r="A2066" t="s">
        <v>532</v>
      </c>
      <c r="B2066" t="s">
        <v>418</v>
      </c>
      <c r="C2066" t="s">
        <v>419</v>
      </c>
      <c r="D2066" t="s">
        <v>32</v>
      </c>
      <c r="E2066" t="s">
        <v>74</v>
      </c>
      <c r="F2066">
        <v>0.7579392051426812</v>
      </c>
      <c r="G2066">
        <v>0.91587841028536243</v>
      </c>
      <c r="H2066">
        <v>0.6</v>
      </c>
      <c r="I2066">
        <v>212657338100</v>
      </c>
      <c r="J2066">
        <v>13.35</v>
      </c>
      <c r="K2066">
        <v>5</v>
      </c>
    </row>
    <row r="2067" spans="1:11" x14ac:dyDescent="0.25">
      <c r="A2067" t="s">
        <v>532</v>
      </c>
      <c r="B2067" t="s">
        <v>494</v>
      </c>
      <c r="C2067" t="s">
        <v>495</v>
      </c>
      <c r="D2067" t="s">
        <v>32</v>
      </c>
      <c r="E2067" t="s">
        <v>29</v>
      </c>
      <c r="F2067">
        <v>0.75732328133420557</v>
      </c>
      <c r="G2067">
        <v>0.96464656266841109</v>
      </c>
      <c r="H2067">
        <v>0.55000000000000004</v>
      </c>
      <c r="I2067">
        <v>1009948140600</v>
      </c>
      <c r="J2067">
        <v>33.9</v>
      </c>
      <c r="K2067">
        <v>6</v>
      </c>
    </row>
    <row r="2068" spans="1:11" x14ac:dyDescent="0.25">
      <c r="A2068" t="s">
        <v>532</v>
      </c>
      <c r="B2068" t="s">
        <v>173</v>
      </c>
      <c r="C2068" t="s">
        <v>174</v>
      </c>
      <c r="D2068" t="s">
        <v>32</v>
      </c>
      <c r="E2068" t="s">
        <v>74</v>
      </c>
      <c r="F2068">
        <v>0.75180153761656832</v>
      </c>
      <c r="G2068">
        <v>0.90360307523313677</v>
      </c>
      <c r="H2068">
        <v>0.6</v>
      </c>
      <c r="I2068">
        <v>1002132097200</v>
      </c>
      <c r="J2068">
        <v>16.100000000000001</v>
      </c>
      <c r="K2068">
        <v>7</v>
      </c>
    </row>
    <row r="2069" spans="1:11" x14ac:dyDescent="0.25">
      <c r="A2069" t="s">
        <v>532</v>
      </c>
      <c r="B2069" t="s">
        <v>533</v>
      </c>
      <c r="C2069" t="s">
        <v>534</v>
      </c>
      <c r="D2069" t="s">
        <v>14</v>
      </c>
      <c r="E2069" t="s">
        <v>33</v>
      </c>
      <c r="F2069">
        <v>0.74517437501788963</v>
      </c>
      <c r="G2069">
        <v>0.99034875003577927</v>
      </c>
      <c r="H2069">
        <v>0.5</v>
      </c>
      <c r="I2069">
        <v>2527394200</v>
      </c>
      <c r="J2069">
        <v>2.4</v>
      </c>
      <c r="K2069">
        <v>8</v>
      </c>
    </row>
    <row r="2070" spans="1:11" x14ac:dyDescent="0.25">
      <c r="A2070" t="s">
        <v>532</v>
      </c>
      <c r="B2070" t="s">
        <v>517</v>
      </c>
      <c r="C2070" t="s">
        <v>518</v>
      </c>
      <c r="D2070" t="s">
        <v>14</v>
      </c>
      <c r="E2070" t="s">
        <v>33</v>
      </c>
      <c r="F2070">
        <v>0.73579210841541132</v>
      </c>
      <c r="G2070">
        <v>0.97158421683082263</v>
      </c>
      <c r="H2070">
        <v>0.5</v>
      </c>
      <c r="I2070">
        <v>5132120000</v>
      </c>
      <c r="J2070">
        <v>16.899999999999999</v>
      </c>
      <c r="K2070">
        <v>9</v>
      </c>
    </row>
    <row r="2071" spans="1:11" x14ac:dyDescent="0.25">
      <c r="A2071" t="s">
        <v>532</v>
      </c>
      <c r="B2071" t="s">
        <v>535</v>
      </c>
      <c r="C2071" t="s">
        <v>536</v>
      </c>
      <c r="D2071" t="s">
        <v>18</v>
      </c>
      <c r="E2071" t="s">
        <v>26</v>
      </c>
      <c r="F2071">
        <v>0.71980397392072049</v>
      </c>
      <c r="G2071">
        <v>0.93960794784144097</v>
      </c>
      <c r="H2071">
        <v>0.5</v>
      </c>
      <c r="I2071">
        <v>29630573200</v>
      </c>
      <c r="J2071">
        <v>16.5</v>
      </c>
      <c r="K2071">
        <v>10</v>
      </c>
    </row>
    <row r="2072" spans="1:11" x14ac:dyDescent="0.25">
      <c r="A2072" t="s">
        <v>532</v>
      </c>
      <c r="B2072" t="s">
        <v>278</v>
      </c>
      <c r="C2072" t="s">
        <v>279</v>
      </c>
      <c r="D2072" t="s">
        <v>32</v>
      </c>
      <c r="E2072" t="s">
        <v>23</v>
      </c>
      <c r="F2072">
        <v>0.71334822498256756</v>
      </c>
      <c r="G2072">
        <v>0.82669644996513514</v>
      </c>
      <c r="H2072">
        <v>0.6</v>
      </c>
      <c r="I2072">
        <v>5884969000</v>
      </c>
      <c r="J2072">
        <v>12.55</v>
      </c>
      <c r="K2072">
        <v>11</v>
      </c>
    </row>
    <row r="2073" spans="1:11" x14ac:dyDescent="0.25">
      <c r="A2073" t="s">
        <v>532</v>
      </c>
      <c r="B2073" t="s">
        <v>190</v>
      </c>
      <c r="C2073" t="s">
        <v>191</v>
      </c>
      <c r="D2073" t="s">
        <v>32</v>
      </c>
      <c r="E2073" t="s">
        <v>74</v>
      </c>
      <c r="F2073">
        <v>0.69036388816277072</v>
      </c>
      <c r="G2073">
        <v>0.98072777632554153</v>
      </c>
      <c r="H2073">
        <v>0.4</v>
      </c>
      <c r="I2073">
        <v>722753272600</v>
      </c>
      <c r="J2073">
        <v>25.25</v>
      </c>
      <c r="K2073">
        <v>12</v>
      </c>
    </row>
    <row r="2074" spans="1:11" x14ac:dyDescent="0.25">
      <c r="A2074" t="s">
        <v>532</v>
      </c>
      <c r="B2074" t="s">
        <v>368</v>
      </c>
      <c r="C2074" t="s">
        <v>369</v>
      </c>
      <c r="D2074" t="s">
        <v>32</v>
      </c>
      <c r="E2074" t="s">
        <v>33</v>
      </c>
      <c r="F2074">
        <v>0.68679594770699604</v>
      </c>
      <c r="G2074">
        <v>0.87359189541399196</v>
      </c>
      <c r="H2074">
        <v>0.5</v>
      </c>
      <c r="I2074">
        <v>5080434800</v>
      </c>
      <c r="J2074">
        <v>28.7</v>
      </c>
      <c r="K2074">
        <v>13</v>
      </c>
    </row>
    <row r="2075" spans="1:11" x14ac:dyDescent="0.25">
      <c r="A2075" t="s">
        <v>532</v>
      </c>
      <c r="B2075" t="s">
        <v>55</v>
      </c>
      <c r="C2075" t="s">
        <v>56</v>
      </c>
      <c r="D2075" t="s">
        <v>32</v>
      </c>
      <c r="E2075" t="s">
        <v>29</v>
      </c>
      <c r="F2075">
        <v>0.68495171159191937</v>
      </c>
      <c r="G2075">
        <v>0.96990342318383871</v>
      </c>
      <c r="H2075">
        <v>0.4</v>
      </c>
      <c r="I2075">
        <v>93733157800</v>
      </c>
      <c r="J2075">
        <v>40.5</v>
      </c>
      <c r="K2075">
        <v>14</v>
      </c>
    </row>
    <row r="2076" spans="1:11" x14ac:dyDescent="0.25">
      <c r="A2076" t="s">
        <v>532</v>
      </c>
      <c r="B2076" t="s">
        <v>232</v>
      </c>
      <c r="C2076" t="s">
        <v>233</v>
      </c>
      <c r="D2076" t="s">
        <v>32</v>
      </c>
      <c r="E2076" t="s">
        <v>26</v>
      </c>
      <c r="F2076">
        <v>0.68342300860357463</v>
      </c>
      <c r="G2076">
        <v>0.9168460172071492</v>
      </c>
      <c r="H2076">
        <v>0.45</v>
      </c>
      <c r="I2076">
        <v>11677561080</v>
      </c>
      <c r="J2076">
        <v>11.8</v>
      </c>
      <c r="K2076">
        <v>15</v>
      </c>
    </row>
    <row r="2077" spans="1:11" x14ac:dyDescent="0.25">
      <c r="A2077" t="s">
        <v>532</v>
      </c>
      <c r="B2077" t="s">
        <v>520</v>
      </c>
      <c r="C2077" t="s">
        <v>521</v>
      </c>
      <c r="D2077" t="s">
        <v>32</v>
      </c>
      <c r="E2077" t="s">
        <v>33</v>
      </c>
      <c r="F2077">
        <v>0.68247789428306271</v>
      </c>
      <c r="G2077">
        <v>0.91495578856612547</v>
      </c>
      <c r="H2077">
        <v>0.45</v>
      </c>
      <c r="I2077">
        <v>407441491800</v>
      </c>
      <c r="J2077">
        <v>22.05</v>
      </c>
      <c r="K2077">
        <v>16</v>
      </c>
    </row>
    <row r="2078" spans="1:11" x14ac:dyDescent="0.25">
      <c r="A2078" t="s">
        <v>532</v>
      </c>
      <c r="B2078" t="s">
        <v>287</v>
      </c>
      <c r="C2078" t="s">
        <v>288</v>
      </c>
      <c r="D2078" t="s">
        <v>14</v>
      </c>
      <c r="E2078" t="s">
        <v>59</v>
      </c>
      <c r="F2078">
        <v>0.66973352717355283</v>
      </c>
      <c r="G2078">
        <v>0.78946705434710562</v>
      </c>
      <c r="H2078">
        <v>0.55000000000000004</v>
      </c>
      <c r="I2078">
        <v>64935435200</v>
      </c>
      <c r="J2078">
        <v>31.2</v>
      </c>
      <c r="K2078">
        <v>17</v>
      </c>
    </row>
    <row r="2079" spans="1:11" x14ac:dyDescent="0.25">
      <c r="A2079" t="s">
        <v>532</v>
      </c>
      <c r="B2079" t="s">
        <v>162</v>
      </c>
      <c r="C2079" t="s">
        <v>163</v>
      </c>
      <c r="D2079" t="s">
        <v>32</v>
      </c>
      <c r="E2079" t="s">
        <v>29</v>
      </c>
      <c r="F2079">
        <v>0.66716316740566084</v>
      </c>
      <c r="G2079">
        <v>0.9843263348113217</v>
      </c>
      <c r="H2079">
        <v>0.35</v>
      </c>
      <c r="I2079">
        <v>818577920900</v>
      </c>
      <c r="J2079">
        <v>25.6</v>
      </c>
      <c r="K2079">
        <v>18</v>
      </c>
    </row>
    <row r="2080" spans="1:11" x14ac:dyDescent="0.25">
      <c r="A2080" t="s">
        <v>532</v>
      </c>
      <c r="B2080" t="s">
        <v>301</v>
      </c>
      <c r="C2080" t="s">
        <v>302</v>
      </c>
      <c r="D2080" t="s">
        <v>32</v>
      </c>
      <c r="E2080" t="s">
        <v>74</v>
      </c>
      <c r="F2080">
        <v>0.66186086828357094</v>
      </c>
      <c r="G2080">
        <v>0.92372173656714196</v>
      </c>
      <c r="H2080">
        <v>0.4</v>
      </c>
      <c r="I2080">
        <v>14913053200</v>
      </c>
      <c r="J2080">
        <v>21.7</v>
      </c>
      <c r="K2080">
        <v>19</v>
      </c>
    </row>
    <row r="2081" spans="1:11" x14ac:dyDescent="0.25">
      <c r="A2081" t="s">
        <v>532</v>
      </c>
      <c r="B2081" t="s">
        <v>537</v>
      </c>
      <c r="C2081" t="s">
        <v>538</v>
      </c>
      <c r="D2081" t="s">
        <v>32</v>
      </c>
      <c r="E2081" t="s">
        <v>23</v>
      </c>
      <c r="F2081">
        <v>0.66014609599441276</v>
      </c>
      <c r="G2081">
        <v>0.87029219198882557</v>
      </c>
      <c r="H2081">
        <v>0.45</v>
      </c>
      <c r="I2081">
        <v>175887108500</v>
      </c>
      <c r="J2081">
        <v>16.5</v>
      </c>
      <c r="K2081">
        <v>20</v>
      </c>
    </row>
    <row r="2082" spans="1:11" x14ac:dyDescent="0.25">
      <c r="A2082" t="s">
        <v>539</v>
      </c>
      <c r="B2082" t="s">
        <v>135</v>
      </c>
      <c r="C2082" t="s">
        <v>136</v>
      </c>
      <c r="D2082" t="s">
        <v>32</v>
      </c>
      <c r="E2082" t="s">
        <v>29</v>
      </c>
      <c r="F2082">
        <v>0.98668182275040994</v>
      </c>
      <c r="G2082">
        <v>0.97336364550081977</v>
      </c>
      <c r="H2082">
        <v>1</v>
      </c>
      <c r="I2082">
        <v>577143332500</v>
      </c>
      <c r="J2082">
        <v>22.7</v>
      </c>
      <c r="K2082">
        <v>1</v>
      </c>
    </row>
    <row r="2083" spans="1:11" x14ac:dyDescent="0.25">
      <c r="A2083" t="s">
        <v>539</v>
      </c>
      <c r="B2083" t="s">
        <v>278</v>
      </c>
      <c r="C2083" t="s">
        <v>279</v>
      </c>
      <c r="D2083" t="s">
        <v>32</v>
      </c>
      <c r="E2083" t="s">
        <v>23</v>
      </c>
      <c r="F2083">
        <v>0.88018146925743701</v>
      </c>
      <c r="G2083">
        <v>0.91036293851487415</v>
      </c>
      <c r="H2083">
        <v>0.85</v>
      </c>
      <c r="I2083">
        <v>5754696400</v>
      </c>
      <c r="J2083">
        <v>13.2</v>
      </c>
      <c r="K2083">
        <v>2</v>
      </c>
    </row>
    <row r="2084" spans="1:11" x14ac:dyDescent="0.25">
      <c r="A2084" t="s">
        <v>539</v>
      </c>
      <c r="B2084" t="s">
        <v>403</v>
      </c>
      <c r="C2084" t="s">
        <v>404</v>
      </c>
      <c r="D2084" t="s">
        <v>32</v>
      </c>
      <c r="E2084" t="s">
        <v>33</v>
      </c>
      <c r="F2084">
        <v>0.84437623773245873</v>
      </c>
      <c r="G2084">
        <v>0.83875247546491749</v>
      </c>
      <c r="H2084">
        <v>0.85</v>
      </c>
      <c r="I2084">
        <v>6329273780</v>
      </c>
      <c r="J2084">
        <v>3.43</v>
      </c>
      <c r="K2084">
        <v>3</v>
      </c>
    </row>
    <row r="2085" spans="1:11" x14ac:dyDescent="0.25">
      <c r="A2085" t="s">
        <v>539</v>
      </c>
      <c r="B2085" t="s">
        <v>173</v>
      </c>
      <c r="C2085" t="s">
        <v>174</v>
      </c>
      <c r="D2085" t="s">
        <v>32</v>
      </c>
      <c r="E2085" t="s">
        <v>74</v>
      </c>
      <c r="F2085">
        <v>0.81041230649846152</v>
      </c>
      <c r="G2085">
        <v>0.97082461299692302</v>
      </c>
      <c r="H2085">
        <v>0.65</v>
      </c>
      <c r="I2085">
        <v>1043976887200</v>
      </c>
      <c r="J2085">
        <v>17.2</v>
      </c>
      <c r="K2085">
        <v>4</v>
      </c>
    </row>
    <row r="2086" spans="1:11" x14ac:dyDescent="0.25">
      <c r="A2086" t="s">
        <v>539</v>
      </c>
      <c r="B2086" t="s">
        <v>335</v>
      </c>
      <c r="C2086" t="s">
        <v>336</v>
      </c>
      <c r="D2086" t="s">
        <v>18</v>
      </c>
      <c r="E2086" t="s">
        <v>33</v>
      </c>
      <c r="F2086">
        <v>0.79391306746824641</v>
      </c>
      <c r="G2086">
        <v>0.98782613493649274</v>
      </c>
      <c r="H2086">
        <v>0.6</v>
      </c>
      <c r="I2086">
        <v>8240617200</v>
      </c>
      <c r="J2086">
        <v>9.9</v>
      </c>
      <c r="K2086">
        <v>5</v>
      </c>
    </row>
    <row r="2087" spans="1:11" x14ac:dyDescent="0.25">
      <c r="A2087" t="s">
        <v>539</v>
      </c>
      <c r="B2087" t="s">
        <v>517</v>
      </c>
      <c r="C2087" t="s">
        <v>518</v>
      </c>
      <c r="D2087" t="s">
        <v>14</v>
      </c>
      <c r="E2087" t="s">
        <v>33</v>
      </c>
      <c r="F2087">
        <v>0.76351905624400151</v>
      </c>
      <c r="G2087">
        <v>0.97703811248800299</v>
      </c>
      <c r="H2087">
        <v>0.55000000000000004</v>
      </c>
      <c r="I2087">
        <v>5320249400</v>
      </c>
      <c r="J2087">
        <v>17.3</v>
      </c>
      <c r="K2087">
        <v>6</v>
      </c>
    </row>
    <row r="2088" spans="1:11" x14ac:dyDescent="0.25">
      <c r="A2088" t="s">
        <v>539</v>
      </c>
      <c r="B2088" t="s">
        <v>494</v>
      </c>
      <c r="C2088" t="s">
        <v>495</v>
      </c>
      <c r="D2088" t="s">
        <v>32</v>
      </c>
      <c r="E2088" t="s">
        <v>29</v>
      </c>
      <c r="F2088">
        <v>0.75588943527859209</v>
      </c>
      <c r="G2088">
        <v>0.96177887055718425</v>
      </c>
      <c r="H2088">
        <v>0.55000000000000004</v>
      </c>
      <c r="I2088">
        <v>1030804782500</v>
      </c>
      <c r="J2088">
        <v>34.200000000000003</v>
      </c>
      <c r="K2088">
        <v>7</v>
      </c>
    </row>
    <row r="2089" spans="1:11" x14ac:dyDescent="0.25">
      <c r="A2089" t="s">
        <v>539</v>
      </c>
      <c r="B2089" t="s">
        <v>232</v>
      </c>
      <c r="C2089" t="s">
        <v>233</v>
      </c>
      <c r="D2089" t="s">
        <v>32</v>
      </c>
      <c r="E2089" t="s">
        <v>26</v>
      </c>
      <c r="F2089">
        <v>0.75330598341674992</v>
      </c>
      <c r="G2089">
        <v>0.95661196683349969</v>
      </c>
      <c r="H2089">
        <v>0.55000000000000004</v>
      </c>
      <c r="I2089">
        <v>11791445680</v>
      </c>
      <c r="J2089">
        <v>12.6</v>
      </c>
      <c r="K2089">
        <v>8</v>
      </c>
    </row>
    <row r="2090" spans="1:11" x14ac:dyDescent="0.25">
      <c r="A2090" t="s">
        <v>539</v>
      </c>
      <c r="B2090" t="s">
        <v>186</v>
      </c>
      <c r="C2090" t="s">
        <v>187</v>
      </c>
      <c r="D2090" t="s">
        <v>32</v>
      </c>
      <c r="E2090" t="s">
        <v>74</v>
      </c>
      <c r="F2090">
        <v>0.72889647453304263</v>
      </c>
      <c r="G2090">
        <v>0.90779294906608521</v>
      </c>
      <c r="H2090">
        <v>0.55000000000000004</v>
      </c>
      <c r="I2090">
        <v>24918498900</v>
      </c>
      <c r="J2090">
        <v>16.8</v>
      </c>
      <c r="K2090">
        <v>9</v>
      </c>
    </row>
    <row r="2091" spans="1:11" x14ac:dyDescent="0.25">
      <c r="A2091" t="s">
        <v>539</v>
      </c>
      <c r="B2091" t="s">
        <v>337</v>
      </c>
      <c r="C2091" t="s">
        <v>338</v>
      </c>
      <c r="D2091" t="s">
        <v>18</v>
      </c>
      <c r="E2091" t="s">
        <v>33</v>
      </c>
      <c r="F2091">
        <v>0.72182430915408413</v>
      </c>
      <c r="G2091">
        <v>0.9936486183081682</v>
      </c>
      <c r="H2091">
        <v>0.45</v>
      </c>
      <c r="I2091">
        <v>11282210000</v>
      </c>
      <c r="J2091">
        <v>7.7</v>
      </c>
      <c r="K2091">
        <v>10</v>
      </c>
    </row>
    <row r="2092" spans="1:11" x14ac:dyDescent="0.25">
      <c r="A2092" t="s">
        <v>539</v>
      </c>
      <c r="B2092" t="s">
        <v>540</v>
      </c>
      <c r="C2092" t="s">
        <v>541</v>
      </c>
      <c r="D2092" t="s">
        <v>18</v>
      </c>
      <c r="E2092" t="s">
        <v>26</v>
      </c>
      <c r="F2092">
        <v>0.71918184040511746</v>
      </c>
      <c r="G2092">
        <v>0.98836368081023496</v>
      </c>
      <c r="H2092">
        <v>0.45</v>
      </c>
      <c r="I2092">
        <v>3649042400</v>
      </c>
      <c r="J2092">
        <v>9.5</v>
      </c>
      <c r="K2092">
        <v>11</v>
      </c>
    </row>
    <row r="2093" spans="1:11" x14ac:dyDescent="0.25">
      <c r="A2093" t="s">
        <v>539</v>
      </c>
      <c r="B2093" t="s">
        <v>533</v>
      </c>
      <c r="C2093" t="s">
        <v>534</v>
      </c>
      <c r="D2093" t="s">
        <v>14</v>
      </c>
      <c r="E2093" t="s">
        <v>33</v>
      </c>
      <c r="F2093">
        <v>0.70945801570794254</v>
      </c>
      <c r="G2093">
        <v>0.96891603141588512</v>
      </c>
      <c r="H2093">
        <v>0.45</v>
      </c>
      <c r="I2093">
        <v>2688019600</v>
      </c>
      <c r="J2093">
        <v>2.2000000000000002</v>
      </c>
      <c r="K2093">
        <v>12</v>
      </c>
    </row>
    <row r="2094" spans="1:11" x14ac:dyDescent="0.25">
      <c r="A2094" t="s">
        <v>539</v>
      </c>
      <c r="B2094" t="s">
        <v>21</v>
      </c>
      <c r="C2094" t="s">
        <v>22</v>
      </c>
      <c r="D2094" t="s">
        <v>14</v>
      </c>
      <c r="E2094" t="s">
        <v>23</v>
      </c>
      <c r="F2094">
        <v>0.69676661653274752</v>
      </c>
      <c r="G2094">
        <v>0.7435332330654949</v>
      </c>
      <c r="H2094">
        <v>0.65</v>
      </c>
      <c r="I2094">
        <v>4966066800</v>
      </c>
      <c r="J2094">
        <v>8.4</v>
      </c>
      <c r="K2094">
        <v>13</v>
      </c>
    </row>
    <row r="2095" spans="1:11" x14ac:dyDescent="0.25">
      <c r="A2095" t="s">
        <v>539</v>
      </c>
      <c r="B2095" t="s">
        <v>530</v>
      </c>
      <c r="C2095" t="s">
        <v>531</v>
      </c>
      <c r="D2095" t="s">
        <v>32</v>
      </c>
      <c r="E2095" t="s">
        <v>42</v>
      </c>
      <c r="F2095">
        <v>0.69674653153735755</v>
      </c>
      <c r="G2095">
        <v>0.99349306307471519</v>
      </c>
      <c r="H2095">
        <v>0.4</v>
      </c>
      <c r="I2095">
        <v>2213086140</v>
      </c>
      <c r="J2095">
        <v>12.15</v>
      </c>
      <c r="K2095">
        <v>14</v>
      </c>
    </row>
    <row r="2096" spans="1:11" x14ac:dyDescent="0.25">
      <c r="A2096" t="s">
        <v>539</v>
      </c>
      <c r="B2096" t="s">
        <v>125</v>
      </c>
      <c r="C2096" t="s">
        <v>126</v>
      </c>
      <c r="D2096" t="s">
        <v>32</v>
      </c>
      <c r="E2096" t="s">
        <v>127</v>
      </c>
      <c r="F2096">
        <v>0.68928819005717512</v>
      </c>
      <c r="G2096">
        <v>0.92857638011435017</v>
      </c>
      <c r="H2096">
        <v>0.45</v>
      </c>
      <c r="I2096">
        <v>4114283680</v>
      </c>
      <c r="J2096">
        <v>8.09</v>
      </c>
      <c r="K2096">
        <v>15</v>
      </c>
    </row>
    <row r="2097" spans="1:11" x14ac:dyDescent="0.25">
      <c r="A2097" t="s">
        <v>539</v>
      </c>
      <c r="B2097" t="s">
        <v>368</v>
      </c>
      <c r="C2097" t="s">
        <v>369</v>
      </c>
      <c r="D2097" t="s">
        <v>32</v>
      </c>
      <c r="E2097" t="s">
        <v>33</v>
      </c>
      <c r="F2097">
        <v>0.68679594770699604</v>
      </c>
      <c r="G2097">
        <v>0.87359189541399196</v>
      </c>
      <c r="H2097">
        <v>0.5</v>
      </c>
      <c r="I2097">
        <v>5080434800</v>
      </c>
      <c r="J2097">
        <v>28.7</v>
      </c>
      <c r="K2097">
        <v>16</v>
      </c>
    </row>
    <row r="2098" spans="1:11" x14ac:dyDescent="0.25">
      <c r="A2098" t="s">
        <v>539</v>
      </c>
      <c r="B2098" t="s">
        <v>55</v>
      </c>
      <c r="C2098" t="s">
        <v>56</v>
      </c>
      <c r="D2098" t="s">
        <v>32</v>
      </c>
      <c r="E2098" t="s">
        <v>29</v>
      </c>
      <c r="F2098">
        <v>0.67977549984968733</v>
      </c>
      <c r="G2098">
        <v>0.95955099969937463</v>
      </c>
      <c r="H2098">
        <v>0.4</v>
      </c>
      <c r="I2098">
        <v>94771980200</v>
      </c>
      <c r="J2098">
        <v>40.799999999999997</v>
      </c>
      <c r="K2098">
        <v>17</v>
      </c>
    </row>
    <row r="2099" spans="1:11" x14ac:dyDescent="0.25">
      <c r="A2099" t="s">
        <v>539</v>
      </c>
      <c r="B2099" t="s">
        <v>520</v>
      </c>
      <c r="C2099" t="s">
        <v>521</v>
      </c>
      <c r="D2099" t="s">
        <v>32</v>
      </c>
      <c r="E2099" t="s">
        <v>33</v>
      </c>
      <c r="F2099">
        <v>0.67641205425364459</v>
      </c>
      <c r="G2099">
        <v>0.90282410850728922</v>
      </c>
      <c r="H2099">
        <v>0.45</v>
      </c>
      <c r="I2099">
        <v>420880754700</v>
      </c>
      <c r="J2099">
        <v>21.75</v>
      </c>
      <c r="K2099">
        <v>18</v>
      </c>
    </row>
    <row r="2100" spans="1:11" x14ac:dyDescent="0.25">
      <c r="A2100" t="s">
        <v>539</v>
      </c>
      <c r="B2100" t="s">
        <v>506</v>
      </c>
      <c r="C2100" t="s">
        <v>507</v>
      </c>
      <c r="D2100" t="s">
        <v>32</v>
      </c>
      <c r="E2100" t="s">
        <v>33</v>
      </c>
      <c r="F2100">
        <v>0.6650053249215846</v>
      </c>
      <c r="G2100">
        <v>0.98001064984316921</v>
      </c>
      <c r="H2100">
        <v>0.35</v>
      </c>
      <c r="I2100">
        <v>178395814600</v>
      </c>
      <c r="J2100">
        <v>34.950000000000003</v>
      </c>
      <c r="K2100">
        <v>19</v>
      </c>
    </row>
    <row r="2101" spans="1:11" x14ac:dyDescent="0.25">
      <c r="A2101" t="s">
        <v>539</v>
      </c>
      <c r="B2101" t="s">
        <v>82</v>
      </c>
      <c r="C2101" t="s">
        <v>83</v>
      </c>
      <c r="D2101" t="s">
        <v>32</v>
      </c>
      <c r="E2101" t="s">
        <v>39</v>
      </c>
      <c r="F2101">
        <v>0.64751384608904017</v>
      </c>
      <c r="G2101">
        <v>0.94502769217808036</v>
      </c>
      <c r="H2101">
        <v>0.35</v>
      </c>
      <c r="I2101">
        <v>31697457000</v>
      </c>
      <c r="J2101">
        <v>24.2</v>
      </c>
      <c r="K2101">
        <v>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B5DEA-A3BB-4C6C-8D6C-39A32ED786C6}">
  <dimension ref="A1:K35"/>
  <sheetViews>
    <sheetView workbookViewId="0">
      <pane ySplit="5" topLeftCell="A6" activePane="bottomLeft" state="frozen"/>
      <selection pane="bottomLeft" activeCell="BW22" sqref="BW22"/>
    </sheetView>
  </sheetViews>
  <sheetFormatPr defaultRowHeight="15" x14ac:dyDescent="0.25"/>
  <cols>
    <col min="1" max="1" width="11.42578125" customWidth="1"/>
    <col min="2" max="2" width="38.140625" customWidth="1"/>
    <col min="3" max="3" width="8" bestFit="1" customWidth="1"/>
    <col min="4" max="4" width="15.140625" bestFit="1" customWidth="1"/>
    <col min="5" max="5" width="7.85546875" bestFit="1" customWidth="1"/>
    <col min="6" max="6" width="19.28515625" bestFit="1" customWidth="1"/>
    <col min="7" max="7" width="17.7109375" bestFit="1" customWidth="1"/>
    <col min="9" max="9" width="42.42578125" bestFit="1" customWidth="1"/>
    <col min="10" max="10" width="30.42578125" customWidth="1"/>
    <col min="11" max="11" width="7.7109375" bestFit="1" customWidth="1"/>
  </cols>
  <sheetData>
    <row r="1" spans="1:11" ht="21" x14ac:dyDescent="0.35">
      <c r="A1" s="31" t="s">
        <v>546</v>
      </c>
      <c r="B1" s="31"/>
      <c r="C1" s="31"/>
      <c r="D1" s="31"/>
      <c r="E1" s="31"/>
      <c r="F1" s="31"/>
      <c r="G1" s="31"/>
    </row>
    <row r="2" spans="1:11" x14ac:dyDescent="0.25">
      <c r="A2" s="32" t="s">
        <v>547</v>
      </c>
      <c r="B2" s="32"/>
      <c r="C2" s="32"/>
      <c r="D2" s="32"/>
      <c r="E2" s="32"/>
      <c r="F2" s="32"/>
      <c r="G2" s="32"/>
    </row>
    <row r="4" spans="1:11" ht="15.75" x14ac:dyDescent="0.25">
      <c r="A4" s="5" t="s">
        <v>548</v>
      </c>
      <c r="I4" s="5" t="s">
        <v>556</v>
      </c>
    </row>
    <row r="5" spans="1:11" x14ac:dyDescent="0.25">
      <c r="A5" s="7" t="s">
        <v>549</v>
      </c>
      <c r="B5" s="7" t="s">
        <v>550</v>
      </c>
      <c r="C5" s="7" t="s">
        <v>551</v>
      </c>
      <c r="D5" s="7" t="s">
        <v>552</v>
      </c>
      <c r="E5" s="7" t="s">
        <v>553</v>
      </c>
      <c r="F5" s="7" t="s">
        <v>554</v>
      </c>
      <c r="G5" s="7" t="s">
        <v>555</v>
      </c>
      <c r="I5" s="7" t="s">
        <v>551</v>
      </c>
      <c r="J5" s="7" t="s">
        <v>557</v>
      </c>
      <c r="K5" s="7" t="s">
        <v>558</v>
      </c>
    </row>
    <row r="6" spans="1:11" x14ac:dyDescent="0.25">
      <c r="A6" s="9" t="s">
        <v>82</v>
      </c>
      <c r="B6" s="9" t="s">
        <v>83</v>
      </c>
      <c r="C6" s="9" t="s">
        <v>32</v>
      </c>
      <c r="D6" s="12">
        <v>73</v>
      </c>
      <c r="E6" s="16">
        <v>9.6999999999999993</v>
      </c>
      <c r="F6" s="20">
        <v>0.65500000000000003</v>
      </c>
      <c r="G6" s="24">
        <v>36.1</v>
      </c>
      <c r="I6" s="8" t="s">
        <v>32</v>
      </c>
      <c r="J6" s="8">
        <v>1439</v>
      </c>
      <c r="K6" s="28">
        <f>J6/SUM($J$6:$J$8)</f>
        <v>0.6852380952380952</v>
      </c>
    </row>
    <row r="7" spans="1:11" x14ac:dyDescent="0.25">
      <c r="A7" s="11" t="s">
        <v>179</v>
      </c>
      <c r="B7" s="11" t="s">
        <v>180</v>
      </c>
      <c r="C7" s="11" t="s">
        <v>32</v>
      </c>
      <c r="D7" s="13">
        <v>65</v>
      </c>
      <c r="E7" s="17">
        <v>9.3000000000000007</v>
      </c>
      <c r="F7" s="21">
        <v>0.66400000000000003</v>
      </c>
      <c r="G7" s="25">
        <v>345.8</v>
      </c>
      <c r="I7" t="s">
        <v>18</v>
      </c>
      <c r="J7">
        <v>356</v>
      </c>
      <c r="K7" s="29">
        <f>J7/SUM($J$6:$J$8)</f>
        <v>0.16952380952380952</v>
      </c>
    </row>
    <row r="8" spans="1:11" x14ac:dyDescent="0.25">
      <c r="A8" s="9" t="s">
        <v>287</v>
      </c>
      <c r="B8" s="9" t="s">
        <v>288</v>
      </c>
      <c r="C8" s="9" t="s">
        <v>14</v>
      </c>
      <c r="D8" s="12">
        <v>61</v>
      </c>
      <c r="E8" s="16">
        <v>9.8000000000000007</v>
      </c>
      <c r="F8" s="20">
        <v>0.66600000000000004</v>
      </c>
      <c r="G8" s="24">
        <v>56.2</v>
      </c>
      <c r="I8" s="8" t="s">
        <v>14</v>
      </c>
      <c r="J8" s="8">
        <v>305</v>
      </c>
      <c r="K8" s="28">
        <f>J8/SUM($J$6:$J$8)</f>
        <v>0.14523809523809525</v>
      </c>
    </row>
    <row r="9" spans="1:11" x14ac:dyDescent="0.25">
      <c r="A9" s="11" t="s">
        <v>88</v>
      </c>
      <c r="B9" s="11" t="s">
        <v>89</v>
      </c>
      <c r="C9" s="11" t="s">
        <v>32</v>
      </c>
      <c r="D9" s="13">
        <v>59</v>
      </c>
      <c r="E9" s="17">
        <v>10.199999999999999</v>
      </c>
      <c r="F9" s="21">
        <v>0.65900000000000003</v>
      </c>
      <c r="G9" s="25">
        <v>59.4</v>
      </c>
      <c r="I9" s="6" t="s">
        <v>559</v>
      </c>
      <c r="J9" s="6">
        <f>SUM(J6:J8)</f>
        <v>2100</v>
      </c>
      <c r="K9" s="30">
        <f>SUM(K6:K8)</f>
        <v>1</v>
      </c>
    </row>
    <row r="10" spans="1:11" x14ac:dyDescent="0.25">
      <c r="A10" s="9" t="s">
        <v>84</v>
      </c>
      <c r="B10" s="9" t="s">
        <v>85</v>
      </c>
      <c r="C10" s="9" t="s">
        <v>14</v>
      </c>
      <c r="D10" s="12">
        <v>43</v>
      </c>
      <c r="E10" s="16">
        <v>10.1</v>
      </c>
      <c r="F10" s="20">
        <v>0.66100000000000003</v>
      </c>
      <c r="G10" s="24">
        <v>8.1999999999999993</v>
      </c>
    </row>
    <row r="11" spans="1:11" ht="15.75" x14ac:dyDescent="0.25">
      <c r="A11" s="10" t="s">
        <v>340</v>
      </c>
      <c r="B11" s="10" t="s">
        <v>341</v>
      </c>
      <c r="C11" s="10" t="s">
        <v>14</v>
      </c>
      <c r="D11" s="14">
        <v>39</v>
      </c>
      <c r="E11" s="18">
        <v>4.5999999999999996</v>
      </c>
      <c r="F11" s="22">
        <v>0.751</v>
      </c>
      <c r="G11" s="26">
        <v>2.2000000000000002</v>
      </c>
      <c r="I11" s="5" t="s">
        <v>560</v>
      </c>
    </row>
    <row r="12" spans="1:11" x14ac:dyDescent="0.25">
      <c r="A12" s="8" t="s">
        <v>403</v>
      </c>
      <c r="B12" s="8" t="s">
        <v>404</v>
      </c>
      <c r="C12" s="8" t="s">
        <v>32</v>
      </c>
      <c r="D12" s="15">
        <v>37</v>
      </c>
      <c r="E12" s="19">
        <v>6.7</v>
      </c>
      <c r="F12" s="23">
        <v>0.73</v>
      </c>
      <c r="G12" s="27">
        <v>3.4</v>
      </c>
      <c r="I12" s="7" t="s">
        <v>561</v>
      </c>
      <c r="J12" s="7" t="s">
        <v>562</v>
      </c>
      <c r="K12" s="7" t="s">
        <v>563</v>
      </c>
    </row>
    <row r="13" spans="1:11" x14ac:dyDescent="0.25">
      <c r="A13" s="10" t="s">
        <v>173</v>
      </c>
      <c r="B13" s="10" t="s">
        <v>174</v>
      </c>
      <c r="C13" s="10" t="s">
        <v>32</v>
      </c>
      <c r="D13" s="14">
        <v>35</v>
      </c>
      <c r="E13" s="18">
        <v>8.6</v>
      </c>
      <c r="F13" s="22">
        <v>0.68100000000000005</v>
      </c>
      <c r="G13" s="26">
        <v>545.1</v>
      </c>
      <c r="I13" s="8">
        <v>8630</v>
      </c>
      <c r="J13" s="8" t="s">
        <v>564</v>
      </c>
      <c r="K13" s="8">
        <v>534</v>
      </c>
    </row>
    <row r="14" spans="1:11" x14ac:dyDescent="0.25">
      <c r="A14" s="8" t="s">
        <v>229</v>
      </c>
      <c r="B14" s="8" t="s">
        <v>230</v>
      </c>
      <c r="C14" s="8" t="s">
        <v>18</v>
      </c>
      <c r="D14" s="15">
        <v>35</v>
      </c>
      <c r="E14" s="19">
        <v>9.1999999999999993</v>
      </c>
      <c r="F14" s="23">
        <v>0.65700000000000003</v>
      </c>
      <c r="G14" s="27">
        <v>33</v>
      </c>
      <c r="I14">
        <v>8780</v>
      </c>
      <c r="J14" t="s">
        <v>565</v>
      </c>
      <c r="K14">
        <v>253</v>
      </c>
    </row>
    <row r="15" spans="1:11" x14ac:dyDescent="0.25">
      <c r="A15" s="10" t="s">
        <v>162</v>
      </c>
      <c r="B15" s="10" t="s">
        <v>163</v>
      </c>
      <c r="C15" s="10" t="s">
        <v>32</v>
      </c>
      <c r="D15" s="14">
        <v>34</v>
      </c>
      <c r="E15" s="18">
        <v>10.6</v>
      </c>
      <c r="F15" s="22">
        <v>0.66900000000000004</v>
      </c>
      <c r="G15" s="26">
        <v>515.29999999999995</v>
      </c>
      <c r="I15" s="8">
        <v>2350</v>
      </c>
      <c r="J15" s="8" t="s">
        <v>566</v>
      </c>
      <c r="K15" s="8">
        <v>205</v>
      </c>
    </row>
    <row r="16" spans="1:11" x14ac:dyDescent="0.25">
      <c r="A16" s="8" t="s">
        <v>261</v>
      </c>
      <c r="B16" s="8" t="s">
        <v>262</v>
      </c>
      <c r="C16" s="8" t="s">
        <v>32</v>
      </c>
      <c r="D16" s="15">
        <v>33</v>
      </c>
      <c r="E16" s="19">
        <v>5.4</v>
      </c>
      <c r="F16" s="23">
        <v>0.73099999999999998</v>
      </c>
      <c r="G16" s="27">
        <v>127.9</v>
      </c>
      <c r="I16">
        <v>8350</v>
      </c>
      <c r="J16" t="s">
        <v>567</v>
      </c>
      <c r="K16">
        <v>190</v>
      </c>
    </row>
    <row r="17" spans="1:11" x14ac:dyDescent="0.25">
      <c r="A17" s="10" t="s">
        <v>24</v>
      </c>
      <c r="B17" s="10" t="s">
        <v>25</v>
      </c>
      <c r="C17" s="10" t="s">
        <v>18</v>
      </c>
      <c r="D17" s="14">
        <v>32</v>
      </c>
      <c r="E17" s="18">
        <v>9.6</v>
      </c>
      <c r="F17" s="22">
        <v>0.65600000000000003</v>
      </c>
      <c r="G17" s="26">
        <v>8.1999999999999993</v>
      </c>
      <c r="I17" s="8">
        <v>1350</v>
      </c>
      <c r="J17" s="8" t="s">
        <v>568</v>
      </c>
      <c r="K17" s="8">
        <v>144</v>
      </c>
    </row>
    <row r="18" spans="1:11" x14ac:dyDescent="0.25">
      <c r="A18" s="8" t="s">
        <v>237</v>
      </c>
      <c r="B18" s="8" t="s">
        <v>238</v>
      </c>
      <c r="C18" s="8" t="s">
        <v>32</v>
      </c>
      <c r="D18" s="15">
        <v>32</v>
      </c>
      <c r="E18" s="19">
        <v>6.9</v>
      </c>
      <c r="F18" s="23">
        <v>0.70899999999999996</v>
      </c>
      <c r="G18" s="27">
        <v>553.5</v>
      </c>
      <c r="I18">
        <v>1770</v>
      </c>
      <c r="J18" t="s">
        <v>569</v>
      </c>
      <c r="K18">
        <v>131</v>
      </c>
    </row>
    <row r="19" spans="1:11" x14ac:dyDescent="0.25">
      <c r="A19" s="10" t="s">
        <v>110</v>
      </c>
      <c r="B19" s="10" t="s">
        <v>111</v>
      </c>
      <c r="C19" s="10" t="s">
        <v>32</v>
      </c>
      <c r="D19" s="14">
        <v>31</v>
      </c>
      <c r="E19" s="18">
        <v>7.5</v>
      </c>
      <c r="F19" s="22">
        <v>0.70799999999999996</v>
      </c>
      <c r="G19" s="26">
        <v>3.6</v>
      </c>
      <c r="I19" s="8">
        <v>3570</v>
      </c>
      <c r="J19" s="8" t="s">
        <v>570</v>
      </c>
      <c r="K19" s="8">
        <v>128</v>
      </c>
    </row>
    <row r="20" spans="1:11" x14ac:dyDescent="0.25">
      <c r="A20" s="8" t="s">
        <v>135</v>
      </c>
      <c r="B20" s="8" t="s">
        <v>136</v>
      </c>
      <c r="C20" s="8" t="s">
        <v>32</v>
      </c>
      <c r="D20" s="15">
        <v>31</v>
      </c>
      <c r="E20" s="19">
        <v>10.199999999999999</v>
      </c>
      <c r="F20" s="23">
        <v>0.68600000000000005</v>
      </c>
      <c r="G20" s="27">
        <v>357.4</v>
      </c>
      <c r="I20">
        <v>2770</v>
      </c>
      <c r="J20" t="s">
        <v>571</v>
      </c>
      <c r="K20">
        <v>80</v>
      </c>
    </row>
    <row r="21" spans="1:11" x14ac:dyDescent="0.25">
      <c r="A21" s="10" t="s">
        <v>176</v>
      </c>
      <c r="B21" s="10" t="s">
        <v>177</v>
      </c>
      <c r="C21" s="10" t="s">
        <v>32</v>
      </c>
      <c r="D21" s="14">
        <v>29</v>
      </c>
      <c r="E21" s="18">
        <v>11.4</v>
      </c>
      <c r="F21" s="22">
        <v>0.63100000000000001</v>
      </c>
      <c r="G21" s="26">
        <v>2.8</v>
      </c>
      <c r="I21" s="8">
        <v>2730</v>
      </c>
      <c r="J21" s="8" t="s">
        <v>572</v>
      </c>
      <c r="K21" s="8">
        <v>75</v>
      </c>
    </row>
    <row r="22" spans="1:11" x14ac:dyDescent="0.25">
      <c r="A22" s="8" t="s">
        <v>183</v>
      </c>
      <c r="B22" s="8" t="s">
        <v>184</v>
      </c>
      <c r="C22" s="8" t="s">
        <v>32</v>
      </c>
      <c r="D22" s="15">
        <v>29</v>
      </c>
      <c r="E22" s="19">
        <v>13.5</v>
      </c>
      <c r="F22" s="23">
        <v>0.625</v>
      </c>
      <c r="G22" s="27">
        <v>4.5999999999999996</v>
      </c>
      <c r="I22">
        <v>8350</v>
      </c>
      <c r="J22" t="s">
        <v>573</v>
      </c>
      <c r="K22">
        <f>2100-SUM(K13:K21)</f>
        <v>360</v>
      </c>
    </row>
    <row r="23" spans="1:11" x14ac:dyDescent="0.25">
      <c r="A23" s="10" t="s">
        <v>186</v>
      </c>
      <c r="B23" s="10" t="s">
        <v>187</v>
      </c>
      <c r="C23" s="10" t="s">
        <v>32</v>
      </c>
      <c r="D23" s="14">
        <v>27</v>
      </c>
      <c r="E23" s="18">
        <v>9</v>
      </c>
      <c r="F23" s="22">
        <v>0.67400000000000004</v>
      </c>
      <c r="G23" s="26">
        <v>15</v>
      </c>
    </row>
    <row r="24" spans="1:11" x14ac:dyDescent="0.25">
      <c r="A24" s="8" t="s">
        <v>263</v>
      </c>
      <c r="B24" s="8" t="s">
        <v>264</v>
      </c>
      <c r="C24" s="8" t="s">
        <v>32</v>
      </c>
      <c r="D24" s="15">
        <v>27</v>
      </c>
      <c r="E24" s="19">
        <v>10</v>
      </c>
      <c r="F24" s="23">
        <v>0.67200000000000004</v>
      </c>
      <c r="G24" s="27">
        <v>95.5</v>
      </c>
    </row>
    <row r="25" spans="1:11" x14ac:dyDescent="0.25">
      <c r="A25" s="10" t="s">
        <v>171</v>
      </c>
      <c r="B25" s="10" t="s">
        <v>172</v>
      </c>
      <c r="C25" s="10" t="s">
        <v>32</v>
      </c>
      <c r="D25" s="14">
        <v>26</v>
      </c>
      <c r="E25" s="18">
        <v>14.1</v>
      </c>
      <c r="F25" s="22">
        <v>0.622</v>
      </c>
      <c r="G25" s="26">
        <v>20.399999999999999</v>
      </c>
    </row>
    <row r="26" spans="1:11" x14ac:dyDescent="0.25">
      <c r="A26" s="8" t="s">
        <v>122</v>
      </c>
      <c r="B26" s="8" t="s">
        <v>123</v>
      </c>
      <c r="C26" s="8" t="s">
        <v>32</v>
      </c>
      <c r="D26" s="15">
        <v>25</v>
      </c>
      <c r="E26" s="19">
        <v>10.9</v>
      </c>
      <c r="F26" s="23">
        <v>0.64700000000000002</v>
      </c>
      <c r="G26" s="27">
        <v>70.099999999999994</v>
      </c>
    </row>
    <row r="27" spans="1:11" x14ac:dyDescent="0.25">
      <c r="A27" s="10" t="s">
        <v>199</v>
      </c>
      <c r="B27" s="10" t="s">
        <v>200</v>
      </c>
      <c r="C27" s="10" t="s">
        <v>32</v>
      </c>
      <c r="D27" s="14">
        <v>25</v>
      </c>
      <c r="E27" s="18">
        <v>10.4</v>
      </c>
      <c r="F27" s="22">
        <v>0.64400000000000002</v>
      </c>
      <c r="G27" s="26">
        <v>4.9000000000000004</v>
      </c>
    </row>
    <row r="28" spans="1:11" x14ac:dyDescent="0.25">
      <c r="A28" s="8" t="s">
        <v>45</v>
      </c>
      <c r="B28" s="8" t="s">
        <v>46</v>
      </c>
      <c r="C28" s="8" t="s">
        <v>14</v>
      </c>
      <c r="D28" s="15">
        <v>24</v>
      </c>
      <c r="E28" s="19">
        <v>5.2</v>
      </c>
      <c r="F28" s="23">
        <v>0.71399999999999997</v>
      </c>
      <c r="G28" s="27">
        <v>3.5</v>
      </c>
    </row>
    <row r="29" spans="1:11" x14ac:dyDescent="0.25">
      <c r="A29" s="10" t="s">
        <v>169</v>
      </c>
      <c r="B29" s="10" t="s">
        <v>170</v>
      </c>
      <c r="C29" s="10" t="s">
        <v>32</v>
      </c>
      <c r="D29" s="14">
        <v>24</v>
      </c>
      <c r="E29" s="18">
        <v>8.9</v>
      </c>
      <c r="F29" s="22">
        <v>0.67800000000000005</v>
      </c>
      <c r="G29" s="26">
        <v>4.5999999999999996</v>
      </c>
    </row>
    <row r="30" spans="1:11" x14ac:dyDescent="0.25">
      <c r="A30" s="8" t="s">
        <v>188</v>
      </c>
      <c r="B30" s="8" t="s">
        <v>189</v>
      </c>
      <c r="C30" s="8" t="s">
        <v>32</v>
      </c>
      <c r="D30" s="15">
        <v>23</v>
      </c>
      <c r="E30" s="19">
        <v>8.4</v>
      </c>
      <c r="F30" s="23">
        <v>0.68700000000000006</v>
      </c>
      <c r="G30" s="27">
        <v>6.6</v>
      </c>
    </row>
    <row r="31" spans="1:11" x14ac:dyDescent="0.25">
      <c r="A31" s="10" t="s">
        <v>164</v>
      </c>
      <c r="B31" s="10" t="s">
        <v>165</v>
      </c>
      <c r="C31" s="10" t="s">
        <v>32</v>
      </c>
      <c r="D31" s="14">
        <v>22</v>
      </c>
      <c r="E31" s="18">
        <v>10.5</v>
      </c>
      <c r="F31" s="22">
        <v>0.66200000000000003</v>
      </c>
      <c r="G31" s="26">
        <v>374.3</v>
      </c>
    </row>
    <row r="32" spans="1:11" x14ac:dyDescent="0.25">
      <c r="A32" s="8" t="s">
        <v>309</v>
      </c>
      <c r="B32" s="8" t="s">
        <v>310</v>
      </c>
      <c r="C32" s="8" t="s">
        <v>32</v>
      </c>
      <c r="D32" s="15">
        <v>22</v>
      </c>
      <c r="E32" s="19">
        <v>8</v>
      </c>
      <c r="F32" s="23">
        <v>0.68400000000000005</v>
      </c>
      <c r="G32" s="27">
        <v>242.6</v>
      </c>
    </row>
    <row r="33" spans="1:7" x14ac:dyDescent="0.25">
      <c r="A33" s="10" t="s">
        <v>99</v>
      </c>
      <c r="B33" s="10" t="s">
        <v>100</v>
      </c>
      <c r="C33" s="10" t="s">
        <v>32</v>
      </c>
      <c r="D33" s="14">
        <v>21</v>
      </c>
      <c r="E33" s="18">
        <v>11.6</v>
      </c>
      <c r="F33" s="22">
        <v>0.63600000000000001</v>
      </c>
      <c r="G33" s="26">
        <v>33.9</v>
      </c>
    </row>
    <row r="34" spans="1:7" x14ac:dyDescent="0.25">
      <c r="A34" s="8" t="s">
        <v>108</v>
      </c>
      <c r="B34" s="8" t="s">
        <v>109</v>
      </c>
      <c r="C34" s="8" t="s">
        <v>32</v>
      </c>
      <c r="D34" s="15">
        <v>21</v>
      </c>
      <c r="E34" s="19">
        <v>9.5</v>
      </c>
      <c r="F34" s="23">
        <v>0.69899999999999995</v>
      </c>
      <c r="G34" s="27">
        <v>149</v>
      </c>
    </row>
    <row r="35" spans="1:7" x14ac:dyDescent="0.25">
      <c r="A35" s="10" t="s">
        <v>19</v>
      </c>
      <c r="B35" s="10" t="s">
        <v>20</v>
      </c>
      <c r="C35" s="10" t="s">
        <v>18</v>
      </c>
      <c r="D35" s="14">
        <v>20</v>
      </c>
      <c r="E35" s="18">
        <v>11.7</v>
      </c>
      <c r="F35" s="22">
        <v>0.63</v>
      </c>
      <c r="G35" s="26">
        <v>3.1</v>
      </c>
    </row>
  </sheetData>
  <mergeCells count="2">
    <mergeCell ref="A1:G1"/>
    <mergeCell ref="A2:G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AD317-407A-43F1-88EA-CDC1B32062DA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Analysis</vt:lpstr>
      <vt:lpstr>Charts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Vinh Tran</cp:lastModifiedBy>
  <dcterms:created xsi:type="dcterms:W3CDTF">2026-05-01T06:11:17Z</dcterms:created>
  <dcterms:modified xsi:type="dcterms:W3CDTF">2026-05-01T07:21:37Z</dcterms:modified>
</cp:coreProperties>
</file>